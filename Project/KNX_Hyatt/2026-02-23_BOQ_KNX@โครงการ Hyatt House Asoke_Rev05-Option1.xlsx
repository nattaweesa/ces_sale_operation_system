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/>
  <xr:revisionPtr revIDLastSave="0" documentId="8_{27DE41A3-3CAE-48C4-8959-A3DBB4AC675C}" xr6:coauthVersionLast="47" xr6:coauthVersionMax="47" xr10:uidLastSave="{00000000-0000-0000-0000-000000000000}"/>
  <bookViews>
    <workbookView xWindow="-105" yWindow="0" windowWidth="14610" windowHeight="15585" tabRatio="827" xr2:uid="{00000000-000D-0000-FFFF-FFFF00000000}"/>
  </bookViews>
  <sheets>
    <sheet name="KNX_Option1" sheetId="16" r:id="rId1"/>
  </sheets>
  <definedNames>
    <definedName name="_xlnm.Print_Area" localSheetId="0">KNX_Option1!$A$1:$W$516</definedName>
    <definedName name="_xlnm.Print_Titles" localSheetId="0">KNX_Option1!$1:$5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50" i="16" l="1"/>
  <c r="G449" i="16"/>
  <c r="G448" i="16"/>
  <c r="G447" i="16"/>
  <c r="G446" i="16"/>
  <c r="G445" i="16"/>
  <c r="G444" i="16"/>
  <c r="G443" i="16"/>
  <c r="G442" i="16"/>
  <c r="G452" i="16" s="1"/>
  <c r="G434" i="16"/>
  <c r="G433" i="16"/>
  <c r="G432" i="16"/>
  <c r="G431" i="16"/>
  <c r="G430" i="16"/>
  <c r="G429" i="16"/>
  <c r="G428" i="16"/>
  <c r="G427" i="16"/>
  <c r="G426" i="16"/>
  <c r="G418" i="16"/>
  <c r="G417" i="16"/>
  <c r="G416" i="16"/>
  <c r="G415" i="16"/>
  <c r="G414" i="16"/>
  <c r="G413" i="16"/>
  <c r="G412" i="16"/>
  <c r="G411" i="16"/>
  <c r="G410" i="16"/>
  <c r="G403" i="16"/>
  <c r="G402" i="16"/>
  <c r="G401" i="16"/>
  <c r="G400" i="16"/>
  <c r="G399" i="16"/>
  <c r="G398" i="16"/>
  <c r="G397" i="16"/>
  <c r="G396" i="16"/>
  <c r="G395" i="16"/>
  <c r="G388" i="16"/>
  <c r="G387" i="16"/>
  <c r="G386" i="16"/>
  <c r="G385" i="16"/>
  <c r="G384" i="16"/>
  <c r="G383" i="16"/>
  <c r="G382" i="16"/>
  <c r="G381" i="16"/>
  <c r="G380" i="16"/>
  <c r="G373" i="16"/>
  <c r="G372" i="16"/>
  <c r="G371" i="16"/>
  <c r="G370" i="16"/>
  <c r="G369" i="16"/>
  <c r="G368" i="16"/>
  <c r="G367" i="16"/>
  <c r="G366" i="16"/>
  <c r="G365" i="16"/>
  <c r="G327" i="16"/>
  <c r="G326" i="16"/>
  <c r="G325" i="16"/>
  <c r="G324" i="16"/>
  <c r="G323" i="16"/>
  <c r="G322" i="16"/>
  <c r="G321" i="16"/>
  <c r="G320" i="16"/>
  <c r="G319" i="16"/>
  <c r="G312" i="16"/>
  <c r="G311" i="16"/>
  <c r="G310" i="16"/>
  <c r="G309" i="16"/>
  <c r="G308" i="16"/>
  <c r="G307" i="16"/>
  <c r="G306" i="16"/>
  <c r="G305" i="16"/>
  <c r="G304" i="16"/>
  <c r="G297" i="16"/>
  <c r="G296" i="16"/>
  <c r="G295" i="16"/>
  <c r="G294" i="16"/>
  <c r="G293" i="16"/>
  <c r="G292" i="16"/>
  <c r="G291" i="16"/>
  <c r="G290" i="16"/>
  <c r="G289" i="16"/>
  <c r="G282" i="16"/>
  <c r="G281" i="16"/>
  <c r="G280" i="16"/>
  <c r="G279" i="16"/>
  <c r="G278" i="16"/>
  <c r="G277" i="16"/>
  <c r="G276" i="16"/>
  <c r="G275" i="16"/>
  <c r="G274" i="16"/>
  <c r="G267" i="16"/>
  <c r="G266" i="16"/>
  <c r="G265" i="16"/>
  <c r="G264" i="16"/>
  <c r="G263" i="16"/>
  <c r="G262" i="16"/>
  <c r="G261" i="16"/>
  <c r="G260" i="16"/>
  <c r="G259" i="16"/>
  <c r="G252" i="16"/>
  <c r="G251" i="16"/>
  <c r="G250" i="16"/>
  <c r="G249" i="16"/>
  <c r="G248" i="16"/>
  <c r="G247" i="16"/>
  <c r="G246" i="16"/>
  <c r="G245" i="16"/>
  <c r="G244" i="16"/>
  <c r="G237" i="16"/>
  <c r="G236" i="16"/>
  <c r="G235" i="16"/>
  <c r="G234" i="16"/>
  <c r="G233" i="16"/>
  <c r="G232" i="16"/>
  <c r="G231" i="16"/>
  <c r="G230" i="16"/>
  <c r="G229" i="16"/>
  <c r="G222" i="16"/>
  <c r="G221" i="16"/>
  <c r="G220" i="16"/>
  <c r="G219" i="16"/>
  <c r="G218" i="16"/>
  <c r="G217" i="16"/>
  <c r="G216" i="16"/>
  <c r="G215" i="16"/>
  <c r="G214" i="16"/>
  <c r="G207" i="16"/>
  <c r="G206" i="16"/>
  <c r="G205" i="16"/>
  <c r="G204" i="16"/>
  <c r="G203" i="16"/>
  <c r="G202" i="16"/>
  <c r="G201" i="16"/>
  <c r="G200" i="16"/>
  <c r="G199" i="16"/>
  <c r="G192" i="16"/>
  <c r="G191" i="16"/>
  <c r="G190" i="16"/>
  <c r="G189" i="16"/>
  <c r="G188" i="16"/>
  <c r="G187" i="16"/>
  <c r="G186" i="16"/>
  <c r="G185" i="16"/>
  <c r="G184" i="16"/>
  <c r="G177" i="16"/>
  <c r="G176" i="16"/>
  <c r="G175" i="16"/>
  <c r="G174" i="16"/>
  <c r="G173" i="16"/>
  <c r="G172" i="16"/>
  <c r="G171" i="16"/>
  <c r="G170" i="16"/>
  <c r="G169" i="16"/>
  <c r="G162" i="16"/>
  <c r="G161" i="16"/>
  <c r="G160" i="16"/>
  <c r="G159" i="16"/>
  <c r="G158" i="16"/>
  <c r="G157" i="16"/>
  <c r="G156" i="16"/>
  <c r="G155" i="16"/>
  <c r="G154" i="16"/>
  <c r="G145" i="16"/>
  <c r="G147" i="16"/>
  <c r="G146" i="16"/>
  <c r="G144" i="16"/>
  <c r="G143" i="16"/>
  <c r="G142" i="16"/>
  <c r="G141" i="16"/>
  <c r="G140" i="16"/>
  <c r="G139" i="16"/>
  <c r="G436" i="16" l="1"/>
  <c r="G420" i="16"/>
  <c r="G390" i="16"/>
  <c r="G405" i="16"/>
  <c r="G375" i="16"/>
  <c r="G329" i="16"/>
  <c r="G284" i="16"/>
  <c r="G299" i="16"/>
  <c r="G314" i="16"/>
  <c r="G269" i="16"/>
  <c r="G254" i="16"/>
  <c r="G224" i="16"/>
  <c r="G239" i="16"/>
  <c r="G194" i="16"/>
  <c r="G209" i="16"/>
  <c r="G164" i="16"/>
  <c r="G179" i="16"/>
  <c r="G149" i="16"/>
  <c r="G70" i="16" l="1"/>
  <c r="G69" i="16"/>
  <c r="G68" i="16"/>
  <c r="G67" i="16"/>
  <c r="G66" i="16"/>
  <c r="G65" i="16"/>
  <c r="G64" i="16"/>
  <c r="G63" i="16"/>
  <c r="G62" i="16"/>
  <c r="G55" i="16"/>
  <c r="G54" i="16"/>
  <c r="G53" i="16"/>
  <c r="G52" i="16"/>
  <c r="G51" i="16"/>
  <c r="G50" i="16"/>
  <c r="G49" i="16"/>
  <c r="G48" i="16"/>
  <c r="G47" i="16"/>
  <c r="G482" i="16"/>
  <c r="G481" i="16"/>
  <c r="G480" i="16"/>
  <c r="G479" i="16"/>
  <c r="G478" i="16"/>
  <c r="G477" i="16"/>
  <c r="G476" i="16"/>
  <c r="G475" i="16"/>
  <c r="G474" i="16"/>
  <c r="G466" i="16"/>
  <c r="G465" i="16"/>
  <c r="G464" i="16"/>
  <c r="G463" i="16"/>
  <c r="G462" i="16"/>
  <c r="G461" i="16"/>
  <c r="G460" i="16"/>
  <c r="G459" i="16"/>
  <c r="G458" i="16"/>
  <c r="G358" i="16"/>
  <c r="G357" i="16"/>
  <c r="G356" i="16"/>
  <c r="G355" i="16"/>
  <c r="G354" i="16"/>
  <c r="G353" i="16"/>
  <c r="G352" i="16"/>
  <c r="G351" i="16"/>
  <c r="G350" i="16"/>
  <c r="G343" i="16"/>
  <c r="G342" i="16"/>
  <c r="G341" i="16"/>
  <c r="G340" i="16"/>
  <c r="G339" i="16"/>
  <c r="G338" i="16"/>
  <c r="G337" i="16"/>
  <c r="G336" i="16"/>
  <c r="G335" i="16"/>
  <c r="G132" i="16"/>
  <c r="G131" i="16"/>
  <c r="G130" i="16"/>
  <c r="G129" i="16"/>
  <c r="G128" i="16"/>
  <c r="G127" i="16"/>
  <c r="G126" i="16"/>
  <c r="G125" i="16"/>
  <c r="G124" i="16"/>
  <c r="G117" i="16"/>
  <c r="G116" i="16"/>
  <c r="G115" i="16"/>
  <c r="G114" i="16"/>
  <c r="G113" i="16"/>
  <c r="G112" i="16"/>
  <c r="G111" i="16"/>
  <c r="G110" i="16"/>
  <c r="G109" i="16"/>
  <c r="G101" i="16"/>
  <c r="G100" i="16"/>
  <c r="G99" i="16"/>
  <c r="G98" i="16"/>
  <c r="G97" i="16"/>
  <c r="G96" i="16"/>
  <c r="G95" i="16"/>
  <c r="G94" i="16"/>
  <c r="G93" i="16"/>
  <c r="G86" i="16"/>
  <c r="G85" i="16"/>
  <c r="G84" i="16"/>
  <c r="G83" i="16"/>
  <c r="G82" i="16"/>
  <c r="G81" i="16"/>
  <c r="G80" i="16"/>
  <c r="G79" i="16"/>
  <c r="G78" i="16"/>
  <c r="G36" i="16"/>
  <c r="G35" i="16"/>
  <c r="G34" i="16"/>
  <c r="G72" i="16" l="1"/>
  <c r="G57" i="16"/>
  <c r="G103" i="16"/>
  <c r="G484" i="16"/>
  <c r="G468" i="16"/>
  <c r="G345" i="16"/>
  <c r="G360" i="16"/>
  <c r="G134" i="16"/>
  <c r="G119" i="16"/>
  <c r="G88" i="16"/>
  <c r="G38" i="16"/>
  <c r="G40" i="16" l="1"/>
  <c r="G39" i="16"/>
  <c r="G37" i="16"/>
  <c r="G33" i="16"/>
  <c r="G32" i="16"/>
  <c r="G42" i="16" l="1"/>
</calcChain>
</file>

<file path=xl/sharedStrings.xml><?xml version="1.0" encoding="utf-8"?>
<sst xmlns="http://schemas.openxmlformats.org/spreadsheetml/2006/main" count="1102" uniqueCount="86">
  <si>
    <t>Phuket : 34/23 M.1, Sakdidej Rd, T.Wichit, A.Muang, Phuket 83000</t>
  </si>
  <si>
    <t>Chiangmai : 12 M.4, T.Saimoon, A.Sankampheang, Chiangmai 50130</t>
  </si>
  <si>
    <t>www.ces-asia.com</t>
  </si>
  <si>
    <t xml:space="preserve">Control Panel </t>
  </si>
  <si>
    <t>Local</t>
  </si>
  <si>
    <t xml:space="preserve">Complete Electrical Solutions Co.,Ltd.  </t>
  </si>
  <si>
    <t>Price List For Control Panel &amp; Wiring</t>
  </si>
  <si>
    <t>DB2000</t>
  </si>
  <si>
    <t>Central control</t>
  </si>
  <si>
    <t>-</t>
  </si>
  <si>
    <t>Computer&amp;UPS</t>
  </si>
  <si>
    <t>Net price=60000</t>
  </si>
  <si>
    <t xml:space="preserve">SPACELYNK LOGIC CONTROLLER ( LSS100200 )
</t>
  </si>
  <si>
    <t>ea.</t>
  </si>
  <si>
    <t>Power supply REG, AC 24 V/0.6 A : ABLM1A24006</t>
  </si>
  <si>
    <t xml:space="preserve">Interface BAS 
</t>
  </si>
  <si>
    <t>Tablet  For touch Screen</t>
  </si>
  <si>
    <t>MTN6705-0008</t>
  </si>
  <si>
    <t>SpaceLogic KNX Uni. Switch Master 8ch 10AX/16AC1</t>
  </si>
  <si>
    <t>MTN6805-0008</t>
  </si>
  <si>
    <t>SpaceLogic KNX Uni. Switch Extension 8ch 10AX/16AC1</t>
  </si>
  <si>
    <t xml:space="preserve">KNX Control Panel </t>
  </si>
  <si>
    <t>Merten</t>
  </si>
  <si>
    <t>MTN646991</t>
  </si>
  <si>
    <t>Dim 0-10V ,3 CH 16A</t>
  </si>
  <si>
    <t>Testing &amp; Commisioning</t>
  </si>
  <si>
    <t>10% ของราคารวมทั้งหมด</t>
  </si>
  <si>
    <t>MTN6710-0004</t>
  </si>
  <si>
    <t>KNX universal dimming actuator LL REG-K/4x230/250W</t>
  </si>
  <si>
    <t>Dimmer Booster ,10A.</t>
  </si>
  <si>
    <t>1. Control แบบ On/Off  จำนวนโหลดต้องไม่เกิน 16A ต่อ 1 วงจร เท่านั้น</t>
  </si>
  <si>
    <t>2. ราคาที่นำเสนอนี้ วงจรที่เป็น DIM PHASE ระบบ C-Bus จะคอนโทรลแบบ Dim Phase จำนวนโหลดต้องไม่เกิน 250 วัตต์ ต่อ 1 วงจร.เท่านั้น</t>
  </si>
  <si>
    <t>Total</t>
  </si>
  <si>
    <t xml:space="preserve">Bangkok : Sathorn Prime Building, Floor 10th, Unit 07, Address No.26, Naradhiwas Rajanagarindra Road, Yannawa, Sathorn, Bangkok 10120 | Tel : +66 21 070 970 </t>
  </si>
  <si>
    <r>
      <rPr>
        <b/>
        <sz val="20"/>
        <color rgb="FFFF0000"/>
        <rFont val="Angsana New"/>
        <family val="1"/>
      </rPr>
      <t xml:space="preserve">Remark </t>
    </r>
    <r>
      <rPr>
        <b/>
        <sz val="16"/>
        <color rgb="FFFF0000"/>
        <rFont val="Angsana New"/>
        <family val="1"/>
      </rPr>
      <t xml:space="preserve">: ตู้คอนโทรลจะต้องเชื่อมต่อถึงกัน โดยสาย KNX เท่านั้น </t>
    </r>
  </si>
  <si>
    <t>KNX push button, Cuadro H, 15mA, 21-30 VDC, 8 gang, white25</t>
  </si>
  <si>
    <r>
      <t xml:space="preserve">C2E616401_WE_C1  </t>
    </r>
    <r>
      <rPr>
        <sz val="16"/>
        <color rgb="FFFF0000"/>
        <rFont val="Angsana New"/>
        <family val="1"/>
      </rPr>
      <t>8 Key</t>
    </r>
  </si>
  <si>
    <t>KNX pow.sup. REG-K/1280mA lgr (MTN6513-1201)</t>
  </si>
  <si>
    <t xml:space="preserve">4. ราคานี้ รวม Computer Central control </t>
  </si>
  <si>
    <t>6. ราคาที่นำเสนอนี้ ไม่ได้เชื่อมต่อกับระบบ lighting control เดิมและไม่ได้เชื่อมต่อกับระบบอื่นๆ</t>
  </si>
  <si>
    <t>8. ราคาที่นำเสนอนี้ ไม่รวมงานติดตั้งและการเดินสาย Wiring ระหว่างชั้นและอุปกรณ์ต่างๆที่เชื่อมต่อกับระบบอื่นๆ</t>
  </si>
  <si>
    <t>MTN6710-0102</t>
  </si>
  <si>
    <t>SpaceLogic KNX Universal Dimmer Master 2 channel</t>
  </si>
  <si>
    <t>MTN6810-0102</t>
  </si>
  <si>
    <t>SpaceLogic KNX Universal Dimming, Extension 2 channel</t>
  </si>
  <si>
    <t xml:space="preserve">SpaceLogic KNX Coupler (MTN6500-0101)
</t>
  </si>
  <si>
    <t>KNX pow.sup. REG-K/640mA lgr (MTN6513-1202)</t>
  </si>
  <si>
    <t xml:space="preserve">KNX-Merten Control Panel : Duct Fl ( On/Off = 7วงจร ,Dim0-10V= 0วงจร,Dim220V= 0วงจร ) </t>
  </si>
  <si>
    <t xml:space="preserve">BOQ : </t>
  </si>
  <si>
    <t>KNX-Merten Control Panel : FACADE-LIGHTING: (On/Off= 23วงจร ,Dim220V= 0วงจร ,Dim0-10V= 8วงจร)</t>
  </si>
  <si>
    <t>Project : Hyatt House Asoke_Rev04_KNX-Option1</t>
  </si>
  <si>
    <t xml:space="preserve">3. ราคานี้ นำเสนอตามเอกสาร แบบ _31 OCT 2024 เท่านั้น </t>
  </si>
  <si>
    <t>5. ราคานี้ ไม่รวมคอนโทรลม่าน ,แอร์ , และ motion sensor</t>
  </si>
  <si>
    <t xml:space="preserve">KNX-Merten Control Panel : RF ( On/Off = 8วงจร ,Dim0-10V= 0วงจร,Dim220V= 0วงจร ) </t>
  </si>
  <si>
    <t xml:space="preserve">KNX-Merten Control Panel : B1 ( On/Off = 24วงจร ,Dim0-10V= 0วงจร,Dim220V= 0วงจร ) </t>
  </si>
  <si>
    <t xml:space="preserve">KNX-Merten Control Panel : B2 ( On/Off = 24วงจร ,Dim0-10V= 0วงจร,Dim220V= 0วงจร ) </t>
  </si>
  <si>
    <t xml:space="preserve">KNX-Merten Control Panel : B3 ( On/Off = 48วงจร ,Dim0-10V= 0วงจร,Dim220V= 0วงจร ) </t>
  </si>
  <si>
    <t>Stair-1,2=2ea.</t>
  </si>
  <si>
    <t xml:space="preserve">9. ราคาที่นำเสนอนี้ ไม่รวมตู้ B3.1 , B3.2,B3.3,B3.4 เพราะไม่มีข้อมูล </t>
  </si>
  <si>
    <t xml:space="preserve">KNX-Merten Control Panel : FL1 ( On/Off = 9วงจร ,Dim0-10V= 27วงจร,Dim220V= 52วงจร ) </t>
  </si>
  <si>
    <t>พื้นที่ละ 1 ตัว</t>
  </si>
  <si>
    <t xml:space="preserve">KNX-Merten Control Panel : FL2 ( On/Off = 9วงจร ,Dim0-10V= 4วงจร,Dim220V= 27วงจร ) </t>
  </si>
  <si>
    <t xml:space="preserve">KNX-Merten Control Panel : FL3 ( On/Off = 2วงจร ,Dim0-10V= 3วงจร,Dim220V= 22วงจร ) </t>
  </si>
  <si>
    <t xml:space="preserve">KNX-Merten Control Panel : FL4 ( On/Off = 2วงจร ,Dim0-10V= 3วงจร,Dim220V= 22วงจร ) </t>
  </si>
  <si>
    <t xml:space="preserve">KNX-Merten Control Panel : FL5 ( On/Off = 2วงจร ,Dim0-10V= 3วงจร,Dim220V= 22วงจร ) </t>
  </si>
  <si>
    <t xml:space="preserve">KNX-Merten Control Panel : FL6 ( On/Off = 2วงจร ,Dim0-10V= 3วงจร,Dim220V= 22วงจร ) </t>
  </si>
  <si>
    <t xml:space="preserve">KNX-Merten Control Panel : FL7( On/Off = 2วงจร ,Dim0-10V= 3วงจร,Dim220V= 22วงจร ) </t>
  </si>
  <si>
    <t xml:space="preserve">KNX-Merten Control Panel : FL8 ( On/Off = 2วงจร ,Dim0-10V= 3วงจร,Dim220V= 22วงจร ) </t>
  </si>
  <si>
    <t xml:space="preserve">KNX-Merten Control Panel : FL9 ( On/Off = 2วงจร ,Dim0-10V= 3วงจร,Dim220V= 22วงจร ) </t>
  </si>
  <si>
    <t xml:space="preserve">KNX-Merten Control Panel : FL10 ( On/Off = 2วงจร ,Dim0-10V= 3วงจร,Dim220V= 22วงจร ) </t>
  </si>
  <si>
    <t xml:space="preserve">KNX-Merten Control Panel : FL11 ( On/Off = 2วงจร ,Dim0-10V= 3วงจร,Dim220V= 22วงจร ) </t>
  </si>
  <si>
    <t xml:space="preserve">KNX-Merten Control Panel : FL12 ( On/Off = 2วงจร ,Dim0-10V= 3วงจร,Dim220V= 22วงจร ) </t>
  </si>
  <si>
    <t xml:space="preserve">KNX-Merten Control Panel : FL13 ( On/Off = 2วงจร ,Dim0-10V= 3วงจร,Dim220V= 22วงจร ) </t>
  </si>
  <si>
    <t xml:space="preserve">KNX-Merten Control Panel : FL14 ( On/Off = 2วงจร ,Dim0-10V= 3วงจร,Dim220V= 22วงจร ) </t>
  </si>
  <si>
    <t xml:space="preserve">KNX-Merten Control Panel : FL15 ( On/Off = 2วงจร ,Dim0-10V= 3วงจร,Dim220V= 22วงจร ) </t>
  </si>
  <si>
    <t xml:space="preserve">KNX-Merten Control Panel : FL16 ( On/Off = 2วงจร ,Dim0-10V= 3วงจร,Dim220V= 22วงจร ) </t>
  </si>
  <si>
    <t xml:space="preserve">KNX-Merten Control Panel : FL17 ( On/Off = 3วงจร ,Dim0-10V= 0วงจร,Dim220V=32วงจร ) </t>
  </si>
  <si>
    <t xml:space="preserve">KNX-Merten Control Panel : FL18 ( On/Off = 2วงจร ,Dim0-10V= 0วงจร,Dim220V= 22วงจร ) </t>
  </si>
  <si>
    <t xml:space="preserve">KNX-Merten Control Panel : FL19 ( On/Off = 2วงจร ,Dim0-10V= 0วงจร,Dim220V= 22วงจร ) </t>
  </si>
  <si>
    <t xml:space="preserve">KNX-Merten Control Panel : FL20 ( On/Off = 2วงจร ,Dim0-10V= 0วงจร,Dim220V= 22วงจร ) </t>
  </si>
  <si>
    <t xml:space="preserve">KNX-Merten Control Panel : FL21 ( On/Off = 2วงจร ,Dim0-10V= 0วงจร,Dim220V= 22วงจร ) </t>
  </si>
  <si>
    <t xml:space="preserve">KNX-Merten Control Panel : FL22 ( On/Off = 2วงจร ,Dim0-10V= 0วงจร,Dim220V= 22วงจร ) </t>
  </si>
  <si>
    <t xml:space="preserve">KNX-Merten Control Panel : FL23 ( On/Off = 2วงจร ,Dim0-10V= 0วงจร,Dim220V= 22วงจร ) </t>
  </si>
  <si>
    <t xml:space="preserve">KNX-Merten Control Panel : FL24 ( On/Off = 2วงจร ,Dim0-10V= 0วงจร,Dim220V= 22วงจร ) </t>
  </si>
  <si>
    <t>พี่หุยให้ตัดออก</t>
  </si>
  <si>
    <t xml:space="preserve">7. ราคาที่นำเสนอนี้ ไม่รวมคอมพิวเตอร์ระบบ BAS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</si>
</sst>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scheme val="minor"/>
    </font>
    <font>
      <sz val="15"/>
      <name val="BrowalliaUPC"/>
      <family val="2"/>
    </font>
    <font>
      <b/>
      <sz val="14"/>
      <name val="BrowalliaUPC"/>
      <family val="2"/>
    </font>
    <font>
      <sz val="14"/>
      <name val="BrowalliaUPC"/>
      <family val="2"/>
    </font>
    <font>
      <b/>
      <sz val="26"/>
      <name val="BrowalliaUPC"/>
      <family val="2"/>
    </font>
    <font>
      <sz val="26"/>
      <name val="BrowalliaUPC"/>
      <family val="2"/>
    </font>
    <font>
      <b/>
      <sz val="14"/>
      <color theme="1"/>
      <name val="Browallia New"/>
      <family val="2"/>
    </font>
    <font>
      <u/>
      <sz val="11"/>
      <color theme="10"/>
      <name val="Tahoma"/>
      <family val="2"/>
      <scheme val="minor"/>
    </font>
    <font>
      <u/>
      <sz val="11"/>
      <color theme="11"/>
      <name val="Tahoma"/>
      <family val="2"/>
      <scheme val="minor"/>
    </font>
    <font>
      <b/>
      <sz val="16"/>
      <color rgb="FFFF0000"/>
      <name val="Angsana New"/>
      <family val="1"/>
    </font>
    <font>
      <sz val="16"/>
      <color theme="1"/>
      <name val="Tahoma"/>
      <family val="2"/>
      <scheme val="minor"/>
    </font>
    <font>
      <b/>
      <sz val="20"/>
      <color rgb="FFFF0000"/>
      <name val="Angsana New"/>
      <family val="1"/>
    </font>
    <font>
      <b/>
      <sz val="18"/>
      <name val="BrowalliaUPC"/>
      <family val="2"/>
    </font>
    <font>
      <sz val="16"/>
      <color theme="1"/>
      <name val="Angsana New"/>
      <family val="1"/>
    </font>
    <font>
      <sz val="10"/>
      <color rgb="FF000000"/>
      <name val="Times New Roman"/>
      <family val="1"/>
    </font>
    <font>
      <b/>
      <sz val="12"/>
      <color rgb="FFFF0000"/>
      <name val="Angsana New"/>
      <family val="1"/>
    </font>
    <font>
      <sz val="12"/>
      <name val="BrowalliaUPC"/>
      <family val="2"/>
    </font>
    <font>
      <sz val="12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12"/>
      <color theme="1"/>
      <name val="Browallia New"/>
      <family val="2"/>
    </font>
    <font>
      <sz val="16"/>
      <name val="Angsana New"/>
      <family val="1"/>
    </font>
    <font>
      <sz val="16"/>
      <color rgb="FFFF0000"/>
      <name val="Angsana New"/>
      <family val="1"/>
    </font>
    <font>
      <sz val="20"/>
      <color theme="1"/>
      <name val="Tahoma"/>
      <family val="2"/>
      <scheme val="minor"/>
    </font>
    <font>
      <b/>
      <sz val="16"/>
      <color theme="1"/>
      <name val="Angsana New"/>
      <family val="1"/>
    </font>
    <font>
      <b/>
      <u/>
      <sz val="16"/>
      <name val="Angsana New"/>
      <family val="1"/>
    </font>
    <font>
      <b/>
      <sz val="16"/>
      <name val="Angsana New"/>
      <family val="1"/>
    </font>
    <font>
      <sz val="16"/>
      <color indexed="10"/>
      <name val="Angsana New"/>
      <family val="1"/>
    </font>
    <font>
      <sz val="16"/>
      <name val="BrowalliaUPC"/>
      <family val="2"/>
    </font>
    <font>
      <sz val="16"/>
      <color rgb="FF000000"/>
      <name val="Angsana New"/>
      <family val="1"/>
    </font>
    <font>
      <b/>
      <u val="singleAccounting"/>
      <sz val="14"/>
      <color rgb="FFFF0000"/>
      <name val="BrowalliaUPC"/>
      <family val="2"/>
    </font>
    <font>
      <sz val="14"/>
      <color theme="1"/>
      <name val="BrowalliaUPC"/>
      <family val="2"/>
    </font>
    <font>
      <b/>
      <sz val="14"/>
      <color theme="1"/>
      <name val="Angsana New"/>
      <family val="1"/>
    </font>
    <font>
      <b/>
      <sz val="26"/>
      <name val="Angsana New"/>
      <family val="1"/>
    </font>
    <font>
      <b/>
      <sz val="20"/>
      <color theme="1"/>
      <name val="Angsana New"/>
      <family val="1"/>
    </font>
    <font>
      <sz val="12"/>
      <color rgb="FF000000"/>
      <name val="AngsanaUPC"/>
      <family val="1"/>
    </font>
    <font>
      <sz val="20"/>
      <color rgb="FFFF0000"/>
      <name val="Angsana New"/>
      <family val="1"/>
    </font>
    <font>
      <b/>
      <sz val="18"/>
      <color theme="1"/>
      <name val="Browallia New"/>
      <family val="2"/>
    </font>
    <font>
      <sz val="14"/>
      <color rgb="FFFF0000"/>
      <name val="BrowalliaUPC"/>
      <family val="2"/>
    </font>
    <font>
      <b/>
      <u/>
      <sz val="18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5">
    <xf numFmtId="0" fontId="0" fillId="0" borderId="0"/>
    <xf numFmtId="0" fontId="2" fillId="0" borderId="0"/>
    <xf numFmtId="0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/>
  </cellStyleXfs>
  <cellXfs count="89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9" fillId="0" borderId="0" xfId="0" applyFont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0" fillId="0" borderId="7" xfId="0" applyBorder="1"/>
    <xf numFmtId="0" fontId="13" fillId="0" borderId="0" xfId="0" applyFont="1"/>
    <xf numFmtId="0" fontId="12" fillId="3" borderId="0" xfId="0" applyFont="1" applyFill="1"/>
    <xf numFmtId="0" fontId="16" fillId="3" borderId="0" xfId="0" applyFont="1" applyFill="1" applyAlignment="1">
      <alignment horizontal="center"/>
    </xf>
    <xf numFmtId="0" fontId="15" fillId="0" borderId="0" xfId="0" applyFont="1" applyAlignment="1">
      <alignment vertical="center"/>
    </xf>
    <xf numFmtId="0" fontId="18" fillId="3" borderId="0" xfId="0" applyFont="1" applyFill="1"/>
    <xf numFmtId="0" fontId="5" fillId="3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6" fillId="2" borderId="0" xfId="0" applyFont="1" applyFill="1"/>
    <xf numFmtId="0" fontId="26" fillId="2" borderId="1" xfId="0" applyFont="1" applyFill="1" applyBorder="1"/>
    <xf numFmtId="0" fontId="26" fillId="0" borderId="0" xfId="0" applyFont="1"/>
    <xf numFmtId="0" fontId="16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2" fontId="16" fillId="2" borderId="1" xfId="0" applyNumberFormat="1" applyFont="1" applyFill="1" applyBorder="1" applyAlignment="1">
      <alignment horizontal="left" vertical="center"/>
    </xf>
    <xf numFmtId="0" fontId="16" fillId="2" borderId="1" xfId="0" applyFont="1" applyFill="1" applyBorder="1"/>
    <xf numFmtId="0" fontId="16" fillId="0" borderId="1" xfId="0" applyFont="1" applyBorder="1" applyAlignment="1">
      <alignment horizontal="left" vertical="center"/>
    </xf>
    <xf numFmtId="0" fontId="27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9" fillId="0" borderId="0" xfId="4" applyFont="1" applyAlignment="1">
      <alignment vertical="center"/>
    </xf>
    <xf numFmtId="0" fontId="16" fillId="0" borderId="0" xfId="0" applyFont="1"/>
    <xf numFmtId="0" fontId="23" fillId="0" borderId="7" xfId="1" applyFont="1" applyBorder="1" applyAlignment="1">
      <alignment vertical="center"/>
    </xf>
    <xf numFmtId="0" fontId="28" fillId="0" borderId="7" xfId="1" applyFont="1" applyBorder="1" applyAlignment="1">
      <alignment vertical="center"/>
    </xf>
    <xf numFmtId="0" fontId="29" fillId="0" borderId="7" xfId="4" applyFont="1" applyBorder="1" applyAlignment="1">
      <alignment vertical="center"/>
    </xf>
    <xf numFmtId="0" fontId="16" fillId="0" borderId="7" xfId="0" applyFont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 vertical="center"/>
    </xf>
    <xf numFmtId="9" fontId="24" fillId="0" borderId="1" xfId="0" applyNumberFormat="1" applyFont="1" applyBorder="1" applyAlignment="1">
      <alignment horizontal="right" vertical="center"/>
    </xf>
    <xf numFmtId="0" fontId="23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43" fontId="23" fillId="0" borderId="1" xfId="3" quotePrefix="1" applyFont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readingOrder="1"/>
    </xf>
    <xf numFmtId="0" fontId="16" fillId="0" borderId="2" xfId="0" applyFont="1" applyBorder="1" applyAlignment="1">
      <alignment horizontal="left"/>
    </xf>
    <xf numFmtId="43" fontId="23" fillId="0" borderId="1" xfId="3" quotePrefix="1" applyFont="1" applyBorder="1" applyAlignment="1">
      <alignment horizontal="right" vertical="center" wrapText="1"/>
    </xf>
    <xf numFmtId="43" fontId="23" fillId="0" borderId="4" xfId="3" applyFont="1" applyBorder="1" applyAlignment="1">
      <alignment horizontal="right" vertical="center"/>
    </xf>
    <xf numFmtId="43" fontId="23" fillId="0" borderId="1" xfId="3" quotePrefix="1" applyFont="1" applyBorder="1" applyAlignment="1">
      <alignment vertical="center" wrapText="1"/>
    </xf>
    <xf numFmtId="2" fontId="23" fillId="0" borderId="1" xfId="0" applyNumberFormat="1" applyFont="1" applyBorder="1" applyAlignment="1">
      <alignment horizontal="left" vertical="center"/>
    </xf>
    <xf numFmtId="0" fontId="23" fillId="0" borderId="1" xfId="0" applyFont="1" applyBorder="1"/>
    <xf numFmtId="43" fontId="23" fillId="0" borderId="4" xfId="3" quotePrefix="1" applyFont="1" applyBorder="1" applyAlignment="1">
      <alignment horizontal="center" vertical="center" wrapText="1"/>
    </xf>
    <xf numFmtId="43" fontId="30" fillId="0" borderId="4" xfId="3" applyFont="1" applyBorder="1" applyAlignment="1">
      <alignment horizontal="right" vertical="center"/>
    </xf>
    <xf numFmtId="0" fontId="6" fillId="0" borderId="10" xfId="0" quotePrefix="1" applyFont="1" applyBorder="1" applyAlignment="1">
      <alignment horizontal="center" vertical="center" wrapText="1"/>
    </xf>
    <xf numFmtId="43" fontId="32" fillId="3" borderId="1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4" fillId="0" borderId="0" xfId="0" applyFont="1"/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6" fillId="0" borderId="0" xfId="0" applyFont="1"/>
    <xf numFmtId="0" fontId="16" fillId="2" borderId="0" xfId="0" applyFont="1" applyFill="1"/>
    <xf numFmtId="0" fontId="23" fillId="0" borderId="0" xfId="1" applyFont="1" applyAlignment="1">
      <alignment vertical="center"/>
    </xf>
    <xf numFmtId="0" fontId="0" fillId="0" borderId="0" xfId="0" applyAlignment="1">
      <alignment horizontal="left" vertical="top"/>
    </xf>
    <xf numFmtId="0" fontId="37" fillId="0" borderId="0" xfId="14" applyFont="1" applyAlignment="1">
      <alignment horizontal="left" vertical="center"/>
    </xf>
    <xf numFmtId="1" fontId="31" fillId="0" borderId="0" xfId="0" applyNumberFormat="1" applyFont="1" applyAlignment="1">
      <alignment horizontal="center" vertical="center" shrinkToFi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39" fillId="0" borderId="0" xfId="0" applyFont="1"/>
    <xf numFmtId="43" fontId="23" fillId="0" borderId="4" xfId="3" applyFont="1" applyBorder="1" applyAlignment="1">
      <alignment vertical="center"/>
    </xf>
    <xf numFmtId="0" fontId="16" fillId="0" borderId="1" xfId="0" applyFont="1" applyBorder="1" applyAlignment="1">
      <alignment horizontal="left" wrapText="1"/>
    </xf>
    <xf numFmtId="0" fontId="40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2" borderId="1" xfId="0" applyFont="1" applyFill="1" applyBorder="1"/>
    <xf numFmtId="0" fontId="12" fillId="2" borderId="1" xfId="0" applyFont="1" applyFill="1" applyBorder="1"/>
    <xf numFmtId="0" fontId="38" fillId="3" borderId="8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1" fillId="2" borderId="8" xfId="0" applyFont="1" applyFill="1" applyBorder="1" applyAlignment="1">
      <alignment horizontal="left"/>
    </xf>
  </cellXfs>
  <cellStyles count="15">
    <cellStyle name="Comma 2" xfId="2" xr:uid="{00000000-0005-0000-0000-000001000000}"/>
    <cellStyle name="Comma 3" xfId="11" xr:uid="{C6686F5A-E8DA-4D20-8924-CC04761DDD21}"/>
    <cellStyle name="Followed Hyperlink" xfId="6" builtinId="9" hidden="1"/>
    <cellStyle name="Followed Hyperlink" xfId="8" builtinId="9" hidden="1"/>
    <cellStyle name="Followed Hyperlink" xfId="10" builtinId="9" hidden="1"/>
    <cellStyle name="Hyperlink" xfId="5" builtinId="8" hidden="1"/>
    <cellStyle name="Hyperlink" xfId="7" builtinId="8" hidden="1"/>
    <cellStyle name="Hyperlink" xfId="9" builtinId="8" hidden="1"/>
    <cellStyle name="Normal 2" xfId="1" xr:uid="{00000000-0005-0000-0000-000009000000}"/>
    <cellStyle name="Normal 3" xfId="12" xr:uid="{3B6FDC87-FECA-4B36-807D-CE1E63FD4844}"/>
    <cellStyle name="Normal 3 6" xfId="14" xr:uid="{8E33FC39-FDD4-4603-8039-20DA4AC5A1D4}"/>
    <cellStyle name="Normal 4" xfId="13" xr:uid="{6A8B2DD3-DE13-4FDF-881F-AFB53404C2FA}"/>
    <cellStyle name="Normal_Q_C-Bus_025-05W # Baan Yamu Courtyard Villa 121 engineering" xfId="4" xr:uid="{00000000-0005-0000-0000-00000A000000}"/>
    <cellStyle name="จุลภาค" xfId="3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294215</xdr:colOff>
      <xdr:row>0</xdr:row>
      <xdr:rowOff>59267</xdr:rowOff>
    </xdr:from>
    <xdr:to>
      <xdr:col>2</xdr:col>
      <xdr:colOff>953557</xdr:colOff>
      <xdr:row>0</xdr:row>
      <xdr:rowOff>454735</xdr:rowOff>
    </xdr:to>
    <xdr:pic>
      <xdr:nvPicPr>
        <xdr:cNvPr id="3" name="รูปภาพ 5" descr="ces logo.jpg">
          <a:extLst>
            <a:ext uri="{FF2B5EF4-FFF2-40B4-BE49-F238E27FC236}">
              <a16:creationId xmlns:a16="http://schemas.microsoft.com/office/drawing/2014/main" id="{91C08926-C37C-4ABE-835E-76936C9E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82" b="12820"/>
        <a:stretch>
          <a:fillRect/>
        </a:stretch>
      </xdr:blipFill>
      <xdr:spPr bwMode="auto">
        <a:xfrm>
          <a:off x="4129615" y="59267"/>
          <a:ext cx="659342" cy="39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286871</xdr:colOff>
      <xdr:row>75</xdr:row>
      <xdr:rowOff>0</xdr:rowOff>
    </xdr:from>
    <xdr:to>
      <xdr:col>16</xdr:col>
      <xdr:colOff>381912</xdr:colOff>
      <xdr:row>80</xdr:row>
      <xdr:rowOff>183902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1CDBB6F-4A9B-9203-89FC-488587CA5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50753" y="18521083"/>
          <a:ext cx="5357324" cy="1447925"/>
        </a:xfrm>
        <a:prstGeom prst="rect">
          <a:avLst/>
        </a:prstGeom>
      </xdr:spPr>
    </xdr:pic>
    <xdr:clientData/>
  </xdr:twoCellAnchor>
  <xdr:oneCellAnchor>
    <xdr:from>
      <xdr:col>10</xdr:col>
      <xdr:colOff>286871</xdr:colOff>
      <xdr:row>90</xdr:row>
      <xdr:rowOff>0</xdr:rowOff>
    </xdr:from>
    <xdr:ext cx="5357324" cy="1447925"/>
    <xdr:pic>
      <xdr:nvPicPr>
        <xdr:cNvPr id="4" name="Picture 3">
          <a:extLst>
            <a:ext uri="{FF2B5EF4-FFF2-40B4-BE49-F238E27FC236}">
              <a16:creationId xmlns:a16="http://schemas.microsoft.com/office/drawing/2014/main" id="{70963488-8B50-4DBD-AEB8-C4DA20F8E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50753" y="13097435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106</xdr:row>
      <xdr:rowOff>0</xdr:rowOff>
    </xdr:from>
    <xdr:ext cx="5357324" cy="1447925"/>
    <xdr:pic>
      <xdr:nvPicPr>
        <xdr:cNvPr id="6" name="Picture 5">
          <a:extLst>
            <a:ext uri="{FF2B5EF4-FFF2-40B4-BE49-F238E27FC236}">
              <a16:creationId xmlns:a16="http://schemas.microsoft.com/office/drawing/2014/main" id="{08F489C4-5749-461C-B13E-897F7585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50753" y="17337741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121</xdr:row>
      <xdr:rowOff>0</xdr:rowOff>
    </xdr:from>
    <xdr:ext cx="5357324" cy="1447925"/>
    <xdr:pic>
      <xdr:nvPicPr>
        <xdr:cNvPr id="7" name="Picture 6">
          <a:extLst>
            <a:ext uri="{FF2B5EF4-FFF2-40B4-BE49-F238E27FC236}">
              <a16:creationId xmlns:a16="http://schemas.microsoft.com/office/drawing/2014/main" id="{69D68646-FEEE-4FB6-A9AE-077152BAA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50753" y="21909741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136</xdr:row>
      <xdr:rowOff>0</xdr:rowOff>
    </xdr:from>
    <xdr:ext cx="5357324" cy="1447925"/>
    <xdr:pic>
      <xdr:nvPicPr>
        <xdr:cNvPr id="8" name="Picture 7">
          <a:extLst>
            <a:ext uri="{FF2B5EF4-FFF2-40B4-BE49-F238E27FC236}">
              <a16:creationId xmlns:a16="http://schemas.microsoft.com/office/drawing/2014/main" id="{2FB2532C-B230-4D2A-B457-A5A92C8C4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50753" y="26150047"/>
          <a:ext cx="5357324" cy="1447925"/>
        </a:xfrm>
        <a:prstGeom prst="rect">
          <a:avLst/>
        </a:prstGeom>
      </xdr:spPr>
    </xdr:pic>
    <xdr:clientData/>
  </xdr:oneCellAnchor>
  <xdr:twoCellAnchor editAs="oneCell">
    <xdr:from>
      <xdr:col>4</xdr:col>
      <xdr:colOff>268944</xdr:colOff>
      <xdr:row>7</xdr:row>
      <xdr:rowOff>107577</xdr:rowOff>
    </xdr:from>
    <xdr:to>
      <xdr:col>8</xdr:col>
      <xdr:colOff>2739622</xdr:colOff>
      <xdr:row>16</xdr:row>
      <xdr:rowOff>20766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E52729-73E2-4B86-BC54-2063C7591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4591" y="2456330"/>
          <a:ext cx="6047596" cy="2575707"/>
        </a:xfrm>
        <a:prstGeom prst="rect">
          <a:avLst/>
        </a:prstGeom>
      </xdr:spPr>
    </xdr:pic>
    <xdr:clientData/>
  </xdr:twoCellAnchor>
  <xdr:oneCellAnchor>
    <xdr:from>
      <xdr:col>10</xdr:col>
      <xdr:colOff>286871</xdr:colOff>
      <xdr:row>136</xdr:row>
      <xdr:rowOff>0</xdr:rowOff>
    </xdr:from>
    <xdr:ext cx="5357324" cy="1447925"/>
    <xdr:pic>
      <xdr:nvPicPr>
        <xdr:cNvPr id="2" name="Picture 1">
          <a:extLst>
            <a:ext uri="{FF2B5EF4-FFF2-40B4-BE49-F238E27FC236}">
              <a16:creationId xmlns:a16="http://schemas.microsoft.com/office/drawing/2014/main" id="{86DEC123-1D4E-442A-9DB4-0C6D9DD99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3241129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151</xdr:row>
      <xdr:rowOff>0</xdr:rowOff>
    </xdr:from>
    <xdr:ext cx="5357324" cy="1447925"/>
    <xdr:pic>
      <xdr:nvPicPr>
        <xdr:cNvPr id="5" name="Picture 4">
          <a:extLst>
            <a:ext uri="{FF2B5EF4-FFF2-40B4-BE49-F238E27FC236}">
              <a16:creationId xmlns:a16="http://schemas.microsoft.com/office/drawing/2014/main" id="{B1A9F050-6B80-4C4D-A2F7-6DE80F406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3241129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166</xdr:row>
      <xdr:rowOff>0</xdr:rowOff>
    </xdr:from>
    <xdr:ext cx="5357324" cy="1447925"/>
    <xdr:pic>
      <xdr:nvPicPr>
        <xdr:cNvPr id="9" name="Picture 8">
          <a:extLst>
            <a:ext uri="{FF2B5EF4-FFF2-40B4-BE49-F238E27FC236}">
              <a16:creationId xmlns:a16="http://schemas.microsoft.com/office/drawing/2014/main" id="{7ED5981B-753F-4407-81E5-F75A6514C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7266282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166</xdr:row>
      <xdr:rowOff>0</xdr:rowOff>
    </xdr:from>
    <xdr:ext cx="5357324" cy="1447925"/>
    <xdr:pic>
      <xdr:nvPicPr>
        <xdr:cNvPr id="11" name="Picture 10">
          <a:extLst>
            <a:ext uri="{FF2B5EF4-FFF2-40B4-BE49-F238E27FC236}">
              <a16:creationId xmlns:a16="http://schemas.microsoft.com/office/drawing/2014/main" id="{0A8B9AA1-578D-4EC0-ADCF-A9C3BBC7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7266282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181</xdr:row>
      <xdr:rowOff>0</xdr:rowOff>
    </xdr:from>
    <xdr:ext cx="5357324" cy="1447925"/>
    <xdr:pic>
      <xdr:nvPicPr>
        <xdr:cNvPr id="14" name="Picture 13">
          <a:extLst>
            <a:ext uri="{FF2B5EF4-FFF2-40B4-BE49-F238E27FC236}">
              <a16:creationId xmlns:a16="http://schemas.microsoft.com/office/drawing/2014/main" id="{892C518C-B5D0-4898-AE2B-BFC5FE2D3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3241129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196</xdr:row>
      <xdr:rowOff>0</xdr:rowOff>
    </xdr:from>
    <xdr:ext cx="5357324" cy="1447925"/>
    <xdr:pic>
      <xdr:nvPicPr>
        <xdr:cNvPr id="15" name="Picture 14">
          <a:extLst>
            <a:ext uri="{FF2B5EF4-FFF2-40B4-BE49-F238E27FC236}">
              <a16:creationId xmlns:a16="http://schemas.microsoft.com/office/drawing/2014/main" id="{F673094C-4684-4456-9ACC-338C774F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7266282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196</xdr:row>
      <xdr:rowOff>0</xdr:rowOff>
    </xdr:from>
    <xdr:ext cx="5357324" cy="1447925"/>
    <xdr:pic>
      <xdr:nvPicPr>
        <xdr:cNvPr id="16" name="Picture 15">
          <a:extLst>
            <a:ext uri="{FF2B5EF4-FFF2-40B4-BE49-F238E27FC236}">
              <a16:creationId xmlns:a16="http://schemas.microsoft.com/office/drawing/2014/main" id="{040EF6F2-A17B-4D0C-837B-8E915629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37266282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211</xdr:row>
      <xdr:rowOff>0</xdr:rowOff>
    </xdr:from>
    <xdr:ext cx="5357324" cy="1447925"/>
    <xdr:pic>
      <xdr:nvPicPr>
        <xdr:cNvPr id="17" name="Picture 16">
          <a:extLst>
            <a:ext uri="{FF2B5EF4-FFF2-40B4-BE49-F238E27FC236}">
              <a16:creationId xmlns:a16="http://schemas.microsoft.com/office/drawing/2014/main" id="{BD34953E-1113-462C-B9BC-03635FD4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41291435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226</xdr:row>
      <xdr:rowOff>0</xdr:rowOff>
    </xdr:from>
    <xdr:ext cx="5357324" cy="1447925"/>
    <xdr:pic>
      <xdr:nvPicPr>
        <xdr:cNvPr id="18" name="Picture 17">
          <a:extLst>
            <a:ext uri="{FF2B5EF4-FFF2-40B4-BE49-F238E27FC236}">
              <a16:creationId xmlns:a16="http://schemas.microsoft.com/office/drawing/2014/main" id="{8E9A310D-8F67-4A18-BCBD-6BDF85656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45316588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226</xdr:row>
      <xdr:rowOff>0</xdr:rowOff>
    </xdr:from>
    <xdr:ext cx="5357324" cy="1447925"/>
    <xdr:pic>
      <xdr:nvPicPr>
        <xdr:cNvPr id="19" name="Picture 18">
          <a:extLst>
            <a:ext uri="{FF2B5EF4-FFF2-40B4-BE49-F238E27FC236}">
              <a16:creationId xmlns:a16="http://schemas.microsoft.com/office/drawing/2014/main" id="{AB552C88-7145-45CA-AB26-4C612D608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45316588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241</xdr:row>
      <xdr:rowOff>0</xdr:rowOff>
    </xdr:from>
    <xdr:ext cx="5357324" cy="1447925"/>
    <xdr:pic>
      <xdr:nvPicPr>
        <xdr:cNvPr id="20" name="Picture 19">
          <a:extLst>
            <a:ext uri="{FF2B5EF4-FFF2-40B4-BE49-F238E27FC236}">
              <a16:creationId xmlns:a16="http://schemas.microsoft.com/office/drawing/2014/main" id="{7D2520BD-0D80-484E-8B20-6DF545534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1417200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241</xdr:row>
      <xdr:rowOff>0</xdr:rowOff>
    </xdr:from>
    <xdr:ext cx="5357324" cy="1447925"/>
    <xdr:pic>
      <xdr:nvPicPr>
        <xdr:cNvPr id="21" name="Picture 20">
          <a:extLst>
            <a:ext uri="{FF2B5EF4-FFF2-40B4-BE49-F238E27FC236}">
              <a16:creationId xmlns:a16="http://schemas.microsoft.com/office/drawing/2014/main" id="{9AB9895B-4B71-49F5-B5D5-5594CD14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1417200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256</xdr:row>
      <xdr:rowOff>0</xdr:rowOff>
    </xdr:from>
    <xdr:ext cx="5357324" cy="1447925"/>
    <xdr:pic>
      <xdr:nvPicPr>
        <xdr:cNvPr id="22" name="Picture 21">
          <a:extLst>
            <a:ext uri="{FF2B5EF4-FFF2-40B4-BE49-F238E27FC236}">
              <a16:creationId xmlns:a16="http://schemas.microsoft.com/office/drawing/2014/main" id="{10D8639D-1F3D-4919-97DC-EBAB431FE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5442353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256</xdr:row>
      <xdr:rowOff>0</xdr:rowOff>
    </xdr:from>
    <xdr:ext cx="5357324" cy="1447925"/>
    <xdr:pic>
      <xdr:nvPicPr>
        <xdr:cNvPr id="23" name="Picture 22">
          <a:extLst>
            <a:ext uri="{FF2B5EF4-FFF2-40B4-BE49-F238E27FC236}">
              <a16:creationId xmlns:a16="http://schemas.microsoft.com/office/drawing/2014/main" id="{3E0DEAF0-B6EC-4114-97B8-3EA48744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5442353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271</xdr:row>
      <xdr:rowOff>0</xdr:rowOff>
    </xdr:from>
    <xdr:ext cx="5357324" cy="1447925"/>
    <xdr:pic>
      <xdr:nvPicPr>
        <xdr:cNvPr id="24" name="Picture 23">
          <a:extLst>
            <a:ext uri="{FF2B5EF4-FFF2-40B4-BE49-F238E27FC236}">
              <a16:creationId xmlns:a16="http://schemas.microsoft.com/office/drawing/2014/main" id="{7E09D8EA-2D66-4B33-BDFD-9BB96356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57392047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286</xdr:row>
      <xdr:rowOff>0</xdr:rowOff>
    </xdr:from>
    <xdr:ext cx="5357324" cy="1447925"/>
    <xdr:pic>
      <xdr:nvPicPr>
        <xdr:cNvPr id="25" name="Picture 24">
          <a:extLst>
            <a:ext uri="{FF2B5EF4-FFF2-40B4-BE49-F238E27FC236}">
              <a16:creationId xmlns:a16="http://schemas.microsoft.com/office/drawing/2014/main" id="{DAE9BD50-5CD9-449B-A00D-36F4613D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1417200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286</xdr:row>
      <xdr:rowOff>0</xdr:rowOff>
    </xdr:from>
    <xdr:ext cx="5357324" cy="1447925"/>
    <xdr:pic>
      <xdr:nvPicPr>
        <xdr:cNvPr id="26" name="Picture 25">
          <a:extLst>
            <a:ext uri="{FF2B5EF4-FFF2-40B4-BE49-F238E27FC236}">
              <a16:creationId xmlns:a16="http://schemas.microsoft.com/office/drawing/2014/main" id="{6D7CB7BF-1A72-47CD-AA3A-34894322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1417200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301</xdr:row>
      <xdr:rowOff>0</xdr:rowOff>
    </xdr:from>
    <xdr:ext cx="5357324" cy="1447925"/>
    <xdr:pic>
      <xdr:nvPicPr>
        <xdr:cNvPr id="27" name="Picture 26">
          <a:extLst>
            <a:ext uri="{FF2B5EF4-FFF2-40B4-BE49-F238E27FC236}">
              <a16:creationId xmlns:a16="http://schemas.microsoft.com/office/drawing/2014/main" id="{45F0574C-9EFD-43E3-9713-6E34E831E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5442353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301</xdr:row>
      <xdr:rowOff>0</xdr:rowOff>
    </xdr:from>
    <xdr:ext cx="5357324" cy="1447925"/>
    <xdr:pic>
      <xdr:nvPicPr>
        <xdr:cNvPr id="28" name="Picture 27">
          <a:extLst>
            <a:ext uri="{FF2B5EF4-FFF2-40B4-BE49-F238E27FC236}">
              <a16:creationId xmlns:a16="http://schemas.microsoft.com/office/drawing/2014/main" id="{8472B0DC-B9B2-45B1-9509-6E9F33E7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5442353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316</xdr:row>
      <xdr:rowOff>0</xdr:rowOff>
    </xdr:from>
    <xdr:ext cx="5357324" cy="1447925"/>
    <xdr:pic>
      <xdr:nvPicPr>
        <xdr:cNvPr id="29" name="Picture 28">
          <a:extLst>
            <a:ext uri="{FF2B5EF4-FFF2-40B4-BE49-F238E27FC236}">
              <a16:creationId xmlns:a16="http://schemas.microsoft.com/office/drawing/2014/main" id="{0BA1E3E1-DA7B-45AE-A799-83C93571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9467506"/>
          <a:ext cx="5357324" cy="1447925"/>
        </a:xfrm>
        <a:prstGeom prst="rect">
          <a:avLst/>
        </a:prstGeom>
      </xdr:spPr>
    </xdr:pic>
    <xdr:clientData/>
  </xdr:oneCellAnchor>
  <xdr:oneCellAnchor>
    <xdr:from>
      <xdr:col>10</xdr:col>
      <xdr:colOff>286871</xdr:colOff>
      <xdr:row>316</xdr:row>
      <xdr:rowOff>0</xdr:rowOff>
    </xdr:from>
    <xdr:ext cx="5357324" cy="1447925"/>
    <xdr:pic>
      <xdr:nvPicPr>
        <xdr:cNvPr id="30" name="Picture 29">
          <a:extLst>
            <a:ext uri="{FF2B5EF4-FFF2-40B4-BE49-F238E27FC236}">
              <a16:creationId xmlns:a16="http://schemas.microsoft.com/office/drawing/2014/main" id="{D8397473-127D-4E14-9488-CE16E3438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7" y="69467506"/>
          <a:ext cx="5357324" cy="1447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5BE7-6663-4711-BD34-E763D747E41D}">
  <sheetPr>
    <tabColor theme="9" tint="-0.249977111117893"/>
  </sheetPr>
  <dimension ref="A1:W488"/>
  <sheetViews>
    <sheetView tabSelected="1" view="pageBreakPreview" topLeftCell="A10" zoomScale="90" zoomScaleNormal="90" zoomScaleSheetLayoutView="90" workbookViewId="0">
      <selection activeCell="C27" sqref="C27"/>
    </sheetView>
  </sheetViews>
  <sheetFormatPr defaultColWidth="8.875" defaultRowHeight="21.75" x14ac:dyDescent="0.2"/>
  <cols>
    <col min="1" max="1" width="6.875" style="1" customWidth="1"/>
    <col min="2" max="2" width="47.375" style="1" customWidth="1"/>
    <col min="3" max="3" width="63.25" style="1" customWidth="1"/>
    <col min="4" max="4" width="7.25" style="1" customWidth="1"/>
    <col min="5" max="5" width="13.375" style="1" customWidth="1"/>
    <col min="6" max="6" width="9.125" style="1" bestFit="1" customWidth="1"/>
    <col min="7" max="7" width="14" style="1" customWidth="1"/>
    <col min="8" max="8" width="10.5" style="1" bestFit="1" customWidth="1"/>
    <col min="9" max="9" width="45.125" style="1" bestFit="1" customWidth="1"/>
    <col min="10" max="11" width="14.25" style="1" bestFit="1" customWidth="1"/>
    <col min="12" max="12" width="11.25" style="1" bestFit="1" customWidth="1"/>
    <col min="13" max="14" width="11.125" style="1" bestFit="1" customWidth="1"/>
    <col min="15" max="15" width="10.625" style="1" bestFit="1" customWidth="1"/>
    <col min="16" max="18" width="10.875" style="1" bestFit="1" customWidth="1"/>
    <col min="19" max="244" width="8.875" style="1"/>
    <col min="245" max="245" width="4.875" style="1" customWidth="1"/>
    <col min="246" max="246" width="15.125" style="1" customWidth="1"/>
    <col min="247" max="247" width="58.125" style="1" bestFit="1" customWidth="1"/>
    <col min="248" max="248" width="12.375" style="1" customWidth="1"/>
    <col min="249" max="249" width="6.125" style="1" customWidth="1"/>
    <col min="250" max="250" width="15.375" style="1" bestFit="1" customWidth="1"/>
    <col min="251" max="251" width="8.875" style="1"/>
    <col min="252" max="252" width="11.375" style="1" bestFit="1" customWidth="1"/>
    <col min="253" max="253" width="10" style="1" bestFit="1" customWidth="1"/>
    <col min="254" max="254" width="8.875" style="1"/>
    <col min="255" max="255" width="8.375" style="1" bestFit="1" customWidth="1"/>
    <col min="256" max="500" width="8.875" style="1"/>
    <col min="501" max="501" width="4.875" style="1" customWidth="1"/>
    <col min="502" max="502" width="15.125" style="1" customWidth="1"/>
    <col min="503" max="503" width="58.125" style="1" bestFit="1" customWidth="1"/>
    <col min="504" max="504" width="12.375" style="1" customWidth="1"/>
    <col min="505" max="505" width="6.125" style="1" customWidth="1"/>
    <col min="506" max="506" width="15.375" style="1" bestFit="1" customWidth="1"/>
    <col min="507" max="507" width="8.875" style="1"/>
    <col min="508" max="508" width="11.375" style="1" bestFit="1" customWidth="1"/>
    <col min="509" max="509" width="10" style="1" bestFit="1" customWidth="1"/>
    <col min="510" max="510" width="8.875" style="1"/>
    <col min="511" max="511" width="8.375" style="1" bestFit="1" customWidth="1"/>
    <col min="512" max="756" width="8.875" style="1"/>
    <col min="757" max="757" width="4.875" style="1" customWidth="1"/>
    <col min="758" max="758" width="15.125" style="1" customWidth="1"/>
    <col min="759" max="759" width="58.125" style="1" bestFit="1" customWidth="1"/>
    <col min="760" max="760" width="12.375" style="1" customWidth="1"/>
    <col min="761" max="761" width="6.125" style="1" customWidth="1"/>
    <col min="762" max="762" width="15.375" style="1" bestFit="1" customWidth="1"/>
    <col min="763" max="763" width="8.875" style="1"/>
    <col min="764" max="764" width="11.375" style="1" bestFit="1" customWidth="1"/>
    <col min="765" max="765" width="10" style="1" bestFit="1" customWidth="1"/>
    <col min="766" max="766" width="8.875" style="1"/>
    <col min="767" max="767" width="8.375" style="1" bestFit="1" customWidth="1"/>
    <col min="768" max="1012" width="8.875" style="1"/>
    <col min="1013" max="1013" width="4.875" style="1" customWidth="1"/>
    <col min="1014" max="1014" width="15.125" style="1" customWidth="1"/>
    <col min="1015" max="1015" width="58.125" style="1" bestFit="1" customWidth="1"/>
    <col min="1016" max="1016" width="12.375" style="1" customWidth="1"/>
    <col min="1017" max="1017" width="6.125" style="1" customWidth="1"/>
    <col min="1018" max="1018" width="15.375" style="1" bestFit="1" customWidth="1"/>
    <col min="1019" max="1019" width="8.875" style="1"/>
    <col min="1020" max="1020" width="11.375" style="1" bestFit="1" customWidth="1"/>
    <col min="1021" max="1021" width="10" style="1" bestFit="1" customWidth="1"/>
    <col min="1022" max="1022" width="8.875" style="1"/>
    <col min="1023" max="1023" width="8.375" style="1" bestFit="1" customWidth="1"/>
    <col min="1024" max="1268" width="8.875" style="1"/>
    <col min="1269" max="1269" width="4.875" style="1" customWidth="1"/>
    <col min="1270" max="1270" width="15.125" style="1" customWidth="1"/>
    <col min="1271" max="1271" width="58.125" style="1" bestFit="1" customWidth="1"/>
    <col min="1272" max="1272" width="12.375" style="1" customWidth="1"/>
    <col min="1273" max="1273" width="6.125" style="1" customWidth="1"/>
    <col min="1274" max="1274" width="15.375" style="1" bestFit="1" customWidth="1"/>
    <col min="1275" max="1275" width="8.875" style="1"/>
    <col min="1276" max="1276" width="11.375" style="1" bestFit="1" customWidth="1"/>
    <col min="1277" max="1277" width="10" style="1" bestFit="1" customWidth="1"/>
    <col min="1278" max="1278" width="8.875" style="1"/>
    <col min="1279" max="1279" width="8.375" style="1" bestFit="1" customWidth="1"/>
    <col min="1280" max="1524" width="8.875" style="1"/>
    <col min="1525" max="1525" width="4.875" style="1" customWidth="1"/>
    <col min="1526" max="1526" width="15.125" style="1" customWidth="1"/>
    <col min="1527" max="1527" width="58.125" style="1" bestFit="1" customWidth="1"/>
    <col min="1528" max="1528" width="12.375" style="1" customWidth="1"/>
    <col min="1529" max="1529" width="6.125" style="1" customWidth="1"/>
    <col min="1530" max="1530" width="15.375" style="1" bestFit="1" customWidth="1"/>
    <col min="1531" max="1531" width="8.875" style="1"/>
    <col min="1532" max="1532" width="11.375" style="1" bestFit="1" customWidth="1"/>
    <col min="1533" max="1533" width="10" style="1" bestFit="1" customWidth="1"/>
    <col min="1534" max="1534" width="8.875" style="1"/>
    <col min="1535" max="1535" width="8.375" style="1" bestFit="1" customWidth="1"/>
    <col min="1536" max="1780" width="8.875" style="1"/>
    <col min="1781" max="1781" width="4.875" style="1" customWidth="1"/>
    <col min="1782" max="1782" width="15.125" style="1" customWidth="1"/>
    <col min="1783" max="1783" width="58.125" style="1" bestFit="1" customWidth="1"/>
    <col min="1784" max="1784" width="12.375" style="1" customWidth="1"/>
    <col min="1785" max="1785" width="6.125" style="1" customWidth="1"/>
    <col min="1786" max="1786" width="15.375" style="1" bestFit="1" customWidth="1"/>
    <col min="1787" max="1787" width="8.875" style="1"/>
    <col min="1788" max="1788" width="11.375" style="1" bestFit="1" customWidth="1"/>
    <col min="1789" max="1789" width="10" style="1" bestFit="1" customWidth="1"/>
    <col min="1790" max="1790" width="8.875" style="1"/>
    <col min="1791" max="1791" width="8.375" style="1" bestFit="1" customWidth="1"/>
    <col min="1792" max="2036" width="8.875" style="1"/>
    <col min="2037" max="2037" width="4.875" style="1" customWidth="1"/>
    <col min="2038" max="2038" width="15.125" style="1" customWidth="1"/>
    <col min="2039" max="2039" width="58.125" style="1" bestFit="1" customWidth="1"/>
    <col min="2040" max="2040" width="12.375" style="1" customWidth="1"/>
    <col min="2041" max="2041" width="6.125" style="1" customWidth="1"/>
    <col min="2042" max="2042" width="15.375" style="1" bestFit="1" customWidth="1"/>
    <col min="2043" max="2043" width="8.875" style="1"/>
    <col min="2044" max="2044" width="11.375" style="1" bestFit="1" customWidth="1"/>
    <col min="2045" max="2045" width="10" style="1" bestFit="1" customWidth="1"/>
    <col min="2046" max="2046" width="8.875" style="1"/>
    <col min="2047" max="2047" width="8.375" style="1" bestFit="1" customWidth="1"/>
    <col min="2048" max="2292" width="8.875" style="1"/>
    <col min="2293" max="2293" width="4.875" style="1" customWidth="1"/>
    <col min="2294" max="2294" width="15.125" style="1" customWidth="1"/>
    <col min="2295" max="2295" width="58.125" style="1" bestFit="1" customWidth="1"/>
    <col min="2296" max="2296" width="12.375" style="1" customWidth="1"/>
    <col min="2297" max="2297" width="6.125" style="1" customWidth="1"/>
    <col min="2298" max="2298" width="15.375" style="1" bestFit="1" customWidth="1"/>
    <col min="2299" max="2299" width="8.875" style="1"/>
    <col min="2300" max="2300" width="11.375" style="1" bestFit="1" customWidth="1"/>
    <col min="2301" max="2301" width="10" style="1" bestFit="1" customWidth="1"/>
    <col min="2302" max="2302" width="8.875" style="1"/>
    <col min="2303" max="2303" width="8.375" style="1" bestFit="1" customWidth="1"/>
    <col min="2304" max="2548" width="8.875" style="1"/>
    <col min="2549" max="2549" width="4.875" style="1" customWidth="1"/>
    <col min="2550" max="2550" width="15.125" style="1" customWidth="1"/>
    <col min="2551" max="2551" width="58.125" style="1" bestFit="1" customWidth="1"/>
    <col min="2552" max="2552" width="12.375" style="1" customWidth="1"/>
    <col min="2553" max="2553" width="6.125" style="1" customWidth="1"/>
    <col min="2554" max="2554" width="15.375" style="1" bestFit="1" customWidth="1"/>
    <col min="2555" max="2555" width="8.875" style="1"/>
    <col min="2556" max="2556" width="11.375" style="1" bestFit="1" customWidth="1"/>
    <col min="2557" max="2557" width="10" style="1" bestFit="1" customWidth="1"/>
    <col min="2558" max="2558" width="8.875" style="1"/>
    <col min="2559" max="2559" width="8.375" style="1" bestFit="1" customWidth="1"/>
    <col min="2560" max="2804" width="8.875" style="1"/>
    <col min="2805" max="2805" width="4.875" style="1" customWidth="1"/>
    <col min="2806" max="2806" width="15.125" style="1" customWidth="1"/>
    <col min="2807" max="2807" width="58.125" style="1" bestFit="1" customWidth="1"/>
    <col min="2808" max="2808" width="12.375" style="1" customWidth="1"/>
    <col min="2809" max="2809" width="6.125" style="1" customWidth="1"/>
    <col min="2810" max="2810" width="15.375" style="1" bestFit="1" customWidth="1"/>
    <col min="2811" max="2811" width="8.875" style="1"/>
    <col min="2812" max="2812" width="11.375" style="1" bestFit="1" customWidth="1"/>
    <col min="2813" max="2813" width="10" style="1" bestFit="1" customWidth="1"/>
    <col min="2814" max="2814" width="8.875" style="1"/>
    <col min="2815" max="2815" width="8.375" style="1" bestFit="1" customWidth="1"/>
    <col min="2816" max="3060" width="8.875" style="1"/>
    <col min="3061" max="3061" width="4.875" style="1" customWidth="1"/>
    <col min="3062" max="3062" width="15.125" style="1" customWidth="1"/>
    <col min="3063" max="3063" width="58.125" style="1" bestFit="1" customWidth="1"/>
    <col min="3064" max="3064" width="12.375" style="1" customWidth="1"/>
    <col min="3065" max="3065" width="6.125" style="1" customWidth="1"/>
    <col min="3066" max="3066" width="15.375" style="1" bestFit="1" customWidth="1"/>
    <col min="3067" max="3067" width="8.875" style="1"/>
    <col min="3068" max="3068" width="11.375" style="1" bestFit="1" customWidth="1"/>
    <col min="3069" max="3069" width="10" style="1" bestFit="1" customWidth="1"/>
    <col min="3070" max="3070" width="8.875" style="1"/>
    <col min="3071" max="3071" width="8.375" style="1" bestFit="1" customWidth="1"/>
    <col min="3072" max="3316" width="8.875" style="1"/>
    <col min="3317" max="3317" width="4.875" style="1" customWidth="1"/>
    <col min="3318" max="3318" width="15.125" style="1" customWidth="1"/>
    <col min="3319" max="3319" width="58.125" style="1" bestFit="1" customWidth="1"/>
    <col min="3320" max="3320" width="12.375" style="1" customWidth="1"/>
    <col min="3321" max="3321" width="6.125" style="1" customWidth="1"/>
    <col min="3322" max="3322" width="15.375" style="1" bestFit="1" customWidth="1"/>
    <col min="3323" max="3323" width="8.875" style="1"/>
    <col min="3324" max="3324" width="11.375" style="1" bestFit="1" customWidth="1"/>
    <col min="3325" max="3325" width="10" style="1" bestFit="1" customWidth="1"/>
    <col min="3326" max="3326" width="8.875" style="1"/>
    <col min="3327" max="3327" width="8.375" style="1" bestFit="1" customWidth="1"/>
    <col min="3328" max="3572" width="8.875" style="1"/>
    <col min="3573" max="3573" width="4.875" style="1" customWidth="1"/>
    <col min="3574" max="3574" width="15.125" style="1" customWidth="1"/>
    <col min="3575" max="3575" width="58.125" style="1" bestFit="1" customWidth="1"/>
    <col min="3576" max="3576" width="12.375" style="1" customWidth="1"/>
    <col min="3577" max="3577" width="6.125" style="1" customWidth="1"/>
    <col min="3578" max="3578" width="15.375" style="1" bestFit="1" customWidth="1"/>
    <col min="3579" max="3579" width="8.875" style="1"/>
    <col min="3580" max="3580" width="11.375" style="1" bestFit="1" customWidth="1"/>
    <col min="3581" max="3581" width="10" style="1" bestFit="1" customWidth="1"/>
    <col min="3582" max="3582" width="8.875" style="1"/>
    <col min="3583" max="3583" width="8.375" style="1" bestFit="1" customWidth="1"/>
    <col min="3584" max="3828" width="8.875" style="1"/>
    <col min="3829" max="3829" width="4.875" style="1" customWidth="1"/>
    <col min="3830" max="3830" width="15.125" style="1" customWidth="1"/>
    <col min="3831" max="3831" width="58.125" style="1" bestFit="1" customWidth="1"/>
    <col min="3832" max="3832" width="12.375" style="1" customWidth="1"/>
    <col min="3833" max="3833" width="6.125" style="1" customWidth="1"/>
    <col min="3834" max="3834" width="15.375" style="1" bestFit="1" customWidth="1"/>
    <col min="3835" max="3835" width="8.875" style="1"/>
    <col min="3836" max="3836" width="11.375" style="1" bestFit="1" customWidth="1"/>
    <col min="3837" max="3837" width="10" style="1" bestFit="1" customWidth="1"/>
    <col min="3838" max="3838" width="8.875" style="1"/>
    <col min="3839" max="3839" width="8.375" style="1" bestFit="1" customWidth="1"/>
    <col min="3840" max="4084" width="8.875" style="1"/>
    <col min="4085" max="4085" width="4.875" style="1" customWidth="1"/>
    <col min="4086" max="4086" width="15.125" style="1" customWidth="1"/>
    <col min="4087" max="4087" width="58.125" style="1" bestFit="1" customWidth="1"/>
    <col min="4088" max="4088" width="12.375" style="1" customWidth="1"/>
    <col min="4089" max="4089" width="6.125" style="1" customWidth="1"/>
    <col min="4090" max="4090" width="15.375" style="1" bestFit="1" customWidth="1"/>
    <col min="4091" max="4091" width="8.875" style="1"/>
    <col min="4092" max="4092" width="11.375" style="1" bestFit="1" customWidth="1"/>
    <col min="4093" max="4093" width="10" style="1" bestFit="1" customWidth="1"/>
    <col min="4094" max="4094" width="8.875" style="1"/>
    <col min="4095" max="4095" width="8.375" style="1" bestFit="1" customWidth="1"/>
    <col min="4096" max="4340" width="8.875" style="1"/>
    <col min="4341" max="4341" width="4.875" style="1" customWidth="1"/>
    <col min="4342" max="4342" width="15.125" style="1" customWidth="1"/>
    <col min="4343" max="4343" width="58.125" style="1" bestFit="1" customWidth="1"/>
    <col min="4344" max="4344" width="12.375" style="1" customWidth="1"/>
    <col min="4345" max="4345" width="6.125" style="1" customWidth="1"/>
    <col min="4346" max="4346" width="15.375" style="1" bestFit="1" customWidth="1"/>
    <col min="4347" max="4347" width="8.875" style="1"/>
    <col min="4348" max="4348" width="11.375" style="1" bestFit="1" customWidth="1"/>
    <col min="4349" max="4349" width="10" style="1" bestFit="1" customWidth="1"/>
    <col min="4350" max="4350" width="8.875" style="1"/>
    <col min="4351" max="4351" width="8.375" style="1" bestFit="1" customWidth="1"/>
    <col min="4352" max="4596" width="8.875" style="1"/>
    <col min="4597" max="4597" width="4.875" style="1" customWidth="1"/>
    <col min="4598" max="4598" width="15.125" style="1" customWidth="1"/>
    <col min="4599" max="4599" width="58.125" style="1" bestFit="1" customWidth="1"/>
    <col min="4600" max="4600" width="12.375" style="1" customWidth="1"/>
    <col min="4601" max="4601" width="6.125" style="1" customWidth="1"/>
    <col min="4602" max="4602" width="15.375" style="1" bestFit="1" customWidth="1"/>
    <col min="4603" max="4603" width="8.875" style="1"/>
    <col min="4604" max="4604" width="11.375" style="1" bestFit="1" customWidth="1"/>
    <col min="4605" max="4605" width="10" style="1" bestFit="1" customWidth="1"/>
    <col min="4606" max="4606" width="8.875" style="1"/>
    <col min="4607" max="4607" width="8.375" style="1" bestFit="1" customWidth="1"/>
    <col min="4608" max="4852" width="8.875" style="1"/>
    <col min="4853" max="4853" width="4.875" style="1" customWidth="1"/>
    <col min="4854" max="4854" width="15.125" style="1" customWidth="1"/>
    <col min="4855" max="4855" width="58.125" style="1" bestFit="1" customWidth="1"/>
    <col min="4856" max="4856" width="12.375" style="1" customWidth="1"/>
    <col min="4857" max="4857" width="6.125" style="1" customWidth="1"/>
    <col min="4858" max="4858" width="15.375" style="1" bestFit="1" customWidth="1"/>
    <col min="4859" max="4859" width="8.875" style="1"/>
    <col min="4860" max="4860" width="11.375" style="1" bestFit="1" customWidth="1"/>
    <col min="4861" max="4861" width="10" style="1" bestFit="1" customWidth="1"/>
    <col min="4862" max="4862" width="8.875" style="1"/>
    <col min="4863" max="4863" width="8.375" style="1" bestFit="1" customWidth="1"/>
    <col min="4864" max="5108" width="8.875" style="1"/>
    <col min="5109" max="5109" width="4.875" style="1" customWidth="1"/>
    <col min="5110" max="5110" width="15.125" style="1" customWidth="1"/>
    <col min="5111" max="5111" width="58.125" style="1" bestFit="1" customWidth="1"/>
    <col min="5112" max="5112" width="12.375" style="1" customWidth="1"/>
    <col min="5113" max="5113" width="6.125" style="1" customWidth="1"/>
    <col min="5114" max="5114" width="15.375" style="1" bestFit="1" customWidth="1"/>
    <col min="5115" max="5115" width="8.875" style="1"/>
    <col min="5116" max="5116" width="11.375" style="1" bestFit="1" customWidth="1"/>
    <col min="5117" max="5117" width="10" style="1" bestFit="1" customWidth="1"/>
    <col min="5118" max="5118" width="8.875" style="1"/>
    <col min="5119" max="5119" width="8.375" style="1" bestFit="1" customWidth="1"/>
    <col min="5120" max="5364" width="8.875" style="1"/>
    <col min="5365" max="5365" width="4.875" style="1" customWidth="1"/>
    <col min="5366" max="5366" width="15.125" style="1" customWidth="1"/>
    <col min="5367" max="5367" width="58.125" style="1" bestFit="1" customWidth="1"/>
    <col min="5368" max="5368" width="12.375" style="1" customWidth="1"/>
    <col min="5369" max="5369" width="6.125" style="1" customWidth="1"/>
    <col min="5370" max="5370" width="15.375" style="1" bestFit="1" customWidth="1"/>
    <col min="5371" max="5371" width="8.875" style="1"/>
    <col min="5372" max="5372" width="11.375" style="1" bestFit="1" customWidth="1"/>
    <col min="5373" max="5373" width="10" style="1" bestFit="1" customWidth="1"/>
    <col min="5374" max="5374" width="8.875" style="1"/>
    <col min="5375" max="5375" width="8.375" style="1" bestFit="1" customWidth="1"/>
    <col min="5376" max="5620" width="8.875" style="1"/>
    <col min="5621" max="5621" width="4.875" style="1" customWidth="1"/>
    <col min="5622" max="5622" width="15.125" style="1" customWidth="1"/>
    <col min="5623" max="5623" width="58.125" style="1" bestFit="1" customWidth="1"/>
    <col min="5624" max="5624" width="12.375" style="1" customWidth="1"/>
    <col min="5625" max="5625" width="6.125" style="1" customWidth="1"/>
    <col min="5626" max="5626" width="15.375" style="1" bestFit="1" customWidth="1"/>
    <col min="5627" max="5627" width="8.875" style="1"/>
    <col min="5628" max="5628" width="11.375" style="1" bestFit="1" customWidth="1"/>
    <col min="5629" max="5629" width="10" style="1" bestFit="1" customWidth="1"/>
    <col min="5630" max="5630" width="8.875" style="1"/>
    <col min="5631" max="5631" width="8.375" style="1" bestFit="1" customWidth="1"/>
    <col min="5632" max="5876" width="8.875" style="1"/>
    <col min="5877" max="5877" width="4.875" style="1" customWidth="1"/>
    <col min="5878" max="5878" width="15.125" style="1" customWidth="1"/>
    <col min="5879" max="5879" width="58.125" style="1" bestFit="1" customWidth="1"/>
    <col min="5880" max="5880" width="12.375" style="1" customWidth="1"/>
    <col min="5881" max="5881" width="6.125" style="1" customWidth="1"/>
    <col min="5882" max="5882" width="15.375" style="1" bestFit="1" customWidth="1"/>
    <col min="5883" max="5883" width="8.875" style="1"/>
    <col min="5884" max="5884" width="11.375" style="1" bestFit="1" customWidth="1"/>
    <col min="5885" max="5885" width="10" style="1" bestFit="1" customWidth="1"/>
    <col min="5886" max="5886" width="8.875" style="1"/>
    <col min="5887" max="5887" width="8.375" style="1" bestFit="1" customWidth="1"/>
    <col min="5888" max="6132" width="8.875" style="1"/>
    <col min="6133" max="6133" width="4.875" style="1" customWidth="1"/>
    <col min="6134" max="6134" width="15.125" style="1" customWidth="1"/>
    <col min="6135" max="6135" width="58.125" style="1" bestFit="1" customWidth="1"/>
    <col min="6136" max="6136" width="12.375" style="1" customWidth="1"/>
    <col min="6137" max="6137" width="6.125" style="1" customWidth="1"/>
    <col min="6138" max="6138" width="15.375" style="1" bestFit="1" customWidth="1"/>
    <col min="6139" max="6139" width="8.875" style="1"/>
    <col min="6140" max="6140" width="11.375" style="1" bestFit="1" customWidth="1"/>
    <col min="6141" max="6141" width="10" style="1" bestFit="1" customWidth="1"/>
    <col min="6142" max="6142" width="8.875" style="1"/>
    <col min="6143" max="6143" width="8.375" style="1" bestFit="1" customWidth="1"/>
    <col min="6144" max="6388" width="8.875" style="1"/>
    <col min="6389" max="6389" width="4.875" style="1" customWidth="1"/>
    <col min="6390" max="6390" width="15.125" style="1" customWidth="1"/>
    <col min="6391" max="6391" width="58.125" style="1" bestFit="1" customWidth="1"/>
    <col min="6392" max="6392" width="12.375" style="1" customWidth="1"/>
    <col min="6393" max="6393" width="6.125" style="1" customWidth="1"/>
    <col min="6394" max="6394" width="15.375" style="1" bestFit="1" customWidth="1"/>
    <col min="6395" max="6395" width="8.875" style="1"/>
    <col min="6396" max="6396" width="11.375" style="1" bestFit="1" customWidth="1"/>
    <col min="6397" max="6397" width="10" style="1" bestFit="1" customWidth="1"/>
    <col min="6398" max="6398" width="8.875" style="1"/>
    <col min="6399" max="6399" width="8.375" style="1" bestFit="1" customWidth="1"/>
    <col min="6400" max="6644" width="8.875" style="1"/>
    <col min="6645" max="6645" width="4.875" style="1" customWidth="1"/>
    <col min="6646" max="6646" width="15.125" style="1" customWidth="1"/>
    <col min="6647" max="6647" width="58.125" style="1" bestFit="1" customWidth="1"/>
    <col min="6648" max="6648" width="12.375" style="1" customWidth="1"/>
    <col min="6649" max="6649" width="6.125" style="1" customWidth="1"/>
    <col min="6650" max="6650" width="15.375" style="1" bestFit="1" customWidth="1"/>
    <col min="6651" max="6651" width="8.875" style="1"/>
    <col min="6652" max="6652" width="11.375" style="1" bestFit="1" customWidth="1"/>
    <col min="6653" max="6653" width="10" style="1" bestFit="1" customWidth="1"/>
    <col min="6654" max="6654" width="8.875" style="1"/>
    <col min="6655" max="6655" width="8.375" style="1" bestFit="1" customWidth="1"/>
    <col min="6656" max="6900" width="8.875" style="1"/>
    <col min="6901" max="6901" width="4.875" style="1" customWidth="1"/>
    <col min="6902" max="6902" width="15.125" style="1" customWidth="1"/>
    <col min="6903" max="6903" width="58.125" style="1" bestFit="1" customWidth="1"/>
    <col min="6904" max="6904" width="12.375" style="1" customWidth="1"/>
    <col min="6905" max="6905" width="6.125" style="1" customWidth="1"/>
    <col min="6906" max="6906" width="15.375" style="1" bestFit="1" customWidth="1"/>
    <col min="6907" max="6907" width="8.875" style="1"/>
    <col min="6908" max="6908" width="11.375" style="1" bestFit="1" customWidth="1"/>
    <col min="6909" max="6909" width="10" style="1" bestFit="1" customWidth="1"/>
    <col min="6910" max="6910" width="8.875" style="1"/>
    <col min="6911" max="6911" width="8.375" style="1" bestFit="1" customWidth="1"/>
    <col min="6912" max="7156" width="8.875" style="1"/>
    <col min="7157" max="7157" width="4.875" style="1" customWidth="1"/>
    <col min="7158" max="7158" width="15.125" style="1" customWidth="1"/>
    <col min="7159" max="7159" width="58.125" style="1" bestFit="1" customWidth="1"/>
    <col min="7160" max="7160" width="12.375" style="1" customWidth="1"/>
    <col min="7161" max="7161" width="6.125" style="1" customWidth="1"/>
    <col min="7162" max="7162" width="15.375" style="1" bestFit="1" customWidth="1"/>
    <col min="7163" max="7163" width="8.875" style="1"/>
    <col min="7164" max="7164" width="11.375" style="1" bestFit="1" customWidth="1"/>
    <col min="7165" max="7165" width="10" style="1" bestFit="1" customWidth="1"/>
    <col min="7166" max="7166" width="8.875" style="1"/>
    <col min="7167" max="7167" width="8.375" style="1" bestFit="1" customWidth="1"/>
    <col min="7168" max="7412" width="8.875" style="1"/>
    <col min="7413" max="7413" width="4.875" style="1" customWidth="1"/>
    <col min="7414" max="7414" width="15.125" style="1" customWidth="1"/>
    <col min="7415" max="7415" width="58.125" style="1" bestFit="1" customWidth="1"/>
    <col min="7416" max="7416" width="12.375" style="1" customWidth="1"/>
    <col min="7417" max="7417" width="6.125" style="1" customWidth="1"/>
    <col min="7418" max="7418" width="15.375" style="1" bestFit="1" customWidth="1"/>
    <col min="7419" max="7419" width="8.875" style="1"/>
    <col min="7420" max="7420" width="11.375" style="1" bestFit="1" customWidth="1"/>
    <col min="7421" max="7421" width="10" style="1" bestFit="1" customWidth="1"/>
    <col min="7422" max="7422" width="8.875" style="1"/>
    <col min="7423" max="7423" width="8.375" style="1" bestFit="1" customWidth="1"/>
    <col min="7424" max="7668" width="8.875" style="1"/>
    <col min="7669" max="7669" width="4.875" style="1" customWidth="1"/>
    <col min="7670" max="7670" width="15.125" style="1" customWidth="1"/>
    <col min="7671" max="7671" width="58.125" style="1" bestFit="1" customWidth="1"/>
    <col min="7672" max="7672" width="12.375" style="1" customWidth="1"/>
    <col min="7673" max="7673" width="6.125" style="1" customWidth="1"/>
    <col min="7674" max="7674" width="15.375" style="1" bestFit="1" customWidth="1"/>
    <col min="7675" max="7675" width="8.875" style="1"/>
    <col min="7676" max="7676" width="11.375" style="1" bestFit="1" customWidth="1"/>
    <col min="7677" max="7677" width="10" style="1" bestFit="1" customWidth="1"/>
    <col min="7678" max="7678" width="8.875" style="1"/>
    <col min="7679" max="7679" width="8.375" style="1" bestFit="1" customWidth="1"/>
    <col min="7680" max="7924" width="8.875" style="1"/>
    <col min="7925" max="7925" width="4.875" style="1" customWidth="1"/>
    <col min="7926" max="7926" width="15.125" style="1" customWidth="1"/>
    <col min="7927" max="7927" width="58.125" style="1" bestFit="1" customWidth="1"/>
    <col min="7928" max="7928" width="12.375" style="1" customWidth="1"/>
    <col min="7929" max="7929" width="6.125" style="1" customWidth="1"/>
    <col min="7930" max="7930" width="15.375" style="1" bestFit="1" customWidth="1"/>
    <col min="7931" max="7931" width="8.875" style="1"/>
    <col min="7932" max="7932" width="11.375" style="1" bestFit="1" customWidth="1"/>
    <col min="7933" max="7933" width="10" style="1" bestFit="1" customWidth="1"/>
    <col min="7934" max="7934" width="8.875" style="1"/>
    <col min="7935" max="7935" width="8.375" style="1" bestFit="1" customWidth="1"/>
    <col min="7936" max="8180" width="8.875" style="1"/>
    <col min="8181" max="8181" width="4.875" style="1" customWidth="1"/>
    <col min="8182" max="8182" width="15.125" style="1" customWidth="1"/>
    <col min="8183" max="8183" width="58.125" style="1" bestFit="1" customWidth="1"/>
    <col min="8184" max="8184" width="12.375" style="1" customWidth="1"/>
    <col min="8185" max="8185" width="6.125" style="1" customWidth="1"/>
    <col min="8186" max="8186" width="15.375" style="1" bestFit="1" customWidth="1"/>
    <col min="8187" max="8187" width="8.875" style="1"/>
    <col min="8188" max="8188" width="11.375" style="1" bestFit="1" customWidth="1"/>
    <col min="8189" max="8189" width="10" style="1" bestFit="1" customWidth="1"/>
    <col min="8190" max="8190" width="8.875" style="1"/>
    <col min="8191" max="8191" width="8.375" style="1" bestFit="1" customWidth="1"/>
    <col min="8192" max="8436" width="8.875" style="1"/>
    <col min="8437" max="8437" width="4.875" style="1" customWidth="1"/>
    <col min="8438" max="8438" width="15.125" style="1" customWidth="1"/>
    <col min="8439" max="8439" width="58.125" style="1" bestFit="1" customWidth="1"/>
    <col min="8440" max="8440" width="12.375" style="1" customWidth="1"/>
    <col min="8441" max="8441" width="6.125" style="1" customWidth="1"/>
    <col min="8442" max="8442" width="15.375" style="1" bestFit="1" customWidth="1"/>
    <col min="8443" max="8443" width="8.875" style="1"/>
    <col min="8444" max="8444" width="11.375" style="1" bestFit="1" customWidth="1"/>
    <col min="8445" max="8445" width="10" style="1" bestFit="1" customWidth="1"/>
    <col min="8446" max="8446" width="8.875" style="1"/>
    <col min="8447" max="8447" width="8.375" style="1" bestFit="1" customWidth="1"/>
    <col min="8448" max="8692" width="8.875" style="1"/>
    <col min="8693" max="8693" width="4.875" style="1" customWidth="1"/>
    <col min="8694" max="8694" width="15.125" style="1" customWidth="1"/>
    <col min="8695" max="8695" width="58.125" style="1" bestFit="1" customWidth="1"/>
    <col min="8696" max="8696" width="12.375" style="1" customWidth="1"/>
    <col min="8697" max="8697" width="6.125" style="1" customWidth="1"/>
    <col min="8698" max="8698" width="15.375" style="1" bestFit="1" customWidth="1"/>
    <col min="8699" max="8699" width="8.875" style="1"/>
    <col min="8700" max="8700" width="11.375" style="1" bestFit="1" customWidth="1"/>
    <col min="8701" max="8701" width="10" style="1" bestFit="1" customWidth="1"/>
    <col min="8702" max="8702" width="8.875" style="1"/>
    <col min="8703" max="8703" width="8.375" style="1" bestFit="1" customWidth="1"/>
    <col min="8704" max="8948" width="8.875" style="1"/>
    <col min="8949" max="8949" width="4.875" style="1" customWidth="1"/>
    <col min="8950" max="8950" width="15.125" style="1" customWidth="1"/>
    <col min="8951" max="8951" width="58.125" style="1" bestFit="1" customWidth="1"/>
    <col min="8952" max="8952" width="12.375" style="1" customWidth="1"/>
    <col min="8953" max="8953" width="6.125" style="1" customWidth="1"/>
    <col min="8954" max="8954" width="15.375" style="1" bestFit="1" customWidth="1"/>
    <col min="8955" max="8955" width="8.875" style="1"/>
    <col min="8956" max="8956" width="11.375" style="1" bestFit="1" customWidth="1"/>
    <col min="8957" max="8957" width="10" style="1" bestFit="1" customWidth="1"/>
    <col min="8958" max="8958" width="8.875" style="1"/>
    <col min="8959" max="8959" width="8.375" style="1" bestFit="1" customWidth="1"/>
    <col min="8960" max="9204" width="8.875" style="1"/>
    <col min="9205" max="9205" width="4.875" style="1" customWidth="1"/>
    <col min="9206" max="9206" width="15.125" style="1" customWidth="1"/>
    <col min="9207" max="9207" width="58.125" style="1" bestFit="1" customWidth="1"/>
    <col min="9208" max="9208" width="12.375" style="1" customWidth="1"/>
    <col min="9209" max="9209" width="6.125" style="1" customWidth="1"/>
    <col min="9210" max="9210" width="15.375" style="1" bestFit="1" customWidth="1"/>
    <col min="9211" max="9211" width="8.875" style="1"/>
    <col min="9212" max="9212" width="11.375" style="1" bestFit="1" customWidth="1"/>
    <col min="9213" max="9213" width="10" style="1" bestFit="1" customWidth="1"/>
    <col min="9214" max="9214" width="8.875" style="1"/>
    <col min="9215" max="9215" width="8.375" style="1" bestFit="1" customWidth="1"/>
    <col min="9216" max="9460" width="8.875" style="1"/>
    <col min="9461" max="9461" width="4.875" style="1" customWidth="1"/>
    <col min="9462" max="9462" width="15.125" style="1" customWidth="1"/>
    <col min="9463" max="9463" width="58.125" style="1" bestFit="1" customWidth="1"/>
    <col min="9464" max="9464" width="12.375" style="1" customWidth="1"/>
    <col min="9465" max="9465" width="6.125" style="1" customWidth="1"/>
    <col min="9466" max="9466" width="15.375" style="1" bestFit="1" customWidth="1"/>
    <col min="9467" max="9467" width="8.875" style="1"/>
    <col min="9468" max="9468" width="11.375" style="1" bestFit="1" customWidth="1"/>
    <col min="9469" max="9469" width="10" style="1" bestFit="1" customWidth="1"/>
    <col min="9470" max="9470" width="8.875" style="1"/>
    <col min="9471" max="9471" width="8.375" style="1" bestFit="1" customWidth="1"/>
    <col min="9472" max="9716" width="8.875" style="1"/>
    <col min="9717" max="9717" width="4.875" style="1" customWidth="1"/>
    <col min="9718" max="9718" width="15.125" style="1" customWidth="1"/>
    <col min="9719" max="9719" width="58.125" style="1" bestFit="1" customWidth="1"/>
    <col min="9720" max="9720" width="12.375" style="1" customWidth="1"/>
    <col min="9721" max="9721" width="6.125" style="1" customWidth="1"/>
    <col min="9722" max="9722" width="15.375" style="1" bestFit="1" customWidth="1"/>
    <col min="9723" max="9723" width="8.875" style="1"/>
    <col min="9724" max="9724" width="11.375" style="1" bestFit="1" customWidth="1"/>
    <col min="9725" max="9725" width="10" style="1" bestFit="1" customWidth="1"/>
    <col min="9726" max="9726" width="8.875" style="1"/>
    <col min="9727" max="9727" width="8.375" style="1" bestFit="1" customWidth="1"/>
    <col min="9728" max="9972" width="8.875" style="1"/>
    <col min="9973" max="9973" width="4.875" style="1" customWidth="1"/>
    <col min="9974" max="9974" width="15.125" style="1" customWidth="1"/>
    <col min="9975" max="9975" width="58.125" style="1" bestFit="1" customWidth="1"/>
    <col min="9976" max="9976" width="12.375" style="1" customWidth="1"/>
    <col min="9977" max="9977" width="6.125" style="1" customWidth="1"/>
    <col min="9978" max="9978" width="15.375" style="1" bestFit="1" customWidth="1"/>
    <col min="9979" max="9979" width="8.875" style="1"/>
    <col min="9980" max="9980" width="11.375" style="1" bestFit="1" customWidth="1"/>
    <col min="9981" max="9981" width="10" style="1" bestFit="1" customWidth="1"/>
    <col min="9982" max="9982" width="8.875" style="1"/>
    <col min="9983" max="9983" width="8.375" style="1" bestFit="1" customWidth="1"/>
    <col min="9984" max="10228" width="8.875" style="1"/>
    <col min="10229" max="10229" width="4.875" style="1" customWidth="1"/>
    <col min="10230" max="10230" width="15.125" style="1" customWidth="1"/>
    <col min="10231" max="10231" width="58.125" style="1" bestFit="1" customWidth="1"/>
    <col min="10232" max="10232" width="12.375" style="1" customWidth="1"/>
    <col min="10233" max="10233" width="6.125" style="1" customWidth="1"/>
    <col min="10234" max="10234" width="15.375" style="1" bestFit="1" customWidth="1"/>
    <col min="10235" max="10235" width="8.875" style="1"/>
    <col min="10236" max="10236" width="11.375" style="1" bestFit="1" customWidth="1"/>
    <col min="10237" max="10237" width="10" style="1" bestFit="1" customWidth="1"/>
    <col min="10238" max="10238" width="8.875" style="1"/>
    <col min="10239" max="10239" width="8.375" style="1" bestFit="1" customWidth="1"/>
    <col min="10240" max="10484" width="8.875" style="1"/>
    <col min="10485" max="10485" width="4.875" style="1" customWidth="1"/>
    <col min="10486" max="10486" width="15.125" style="1" customWidth="1"/>
    <col min="10487" max="10487" width="58.125" style="1" bestFit="1" customWidth="1"/>
    <col min="10488" max="10488" width="12.375" style="1" customWidth="1"/>
    <col min="10489" max="10489" width="6.125" style="1" customWidth="1"/>
    <col min="10490" max="10490" width="15.375" style="1" bestFit="1" customWidth="1"/>
    <col min="10491" max="10491" width="8.875" style="1"/>
    <col min="10492" max="10492" width="11.375" style="1" bestFit="1" customWidth="1"/>
    <col min="10493" max="10493" width="10" style="1" bestFit="1" customWidth="1"/>
    <col min="10494" max="10494" width="8.875" style="1"/>
    <col min="10495" max="10495" width="8.375" style="1" bestFit="1" customWidth="1"/>
    <col min="10496" max="10740" width="8.875" style="1"/>
    <col min="10741" max="10741" width="4.875" style="1" customWidth="1"/>
    <col min="10742" max="10742" width="15.125" style="1" customWidth="1"/>
    <col min="10743" max="10743" width="58.125" style="1" bestFit="1" customWidth="1"/>
    <col min="10744" max="10744" width="12.375" style="1" customWidth="1"/>
    <col min="10745" max="10745" width="6.125" style="1" customWidth="1"/>
    <col min="10746" max="10746" width="15.375" style="1" bestFit="1" customWidth="1"/>
    <col min="10747" max="10747" width="8.875" style="1"/>
    <col min="10748" max="10748" width="11.375" style="1" bestFit="1" customWidth="1"/>
    <col min="10749" max="10749" width="10" style="1" bestFit="1" customWidth="1"/>
    <col min="10750" max="10750" width="8.875" style="1"/>
    <col min="10751" max="10751" width="8.375" style="1" bestFit="1" customWidth="1"/>
    <col min="10752" max="10996" width="8.875" style="1"/>
    <col min="10997" max="10997" width="4.875" style="1" customWidth="1"/>
    <col min="10998" max="10998" width="15.125" style="1" customWidth="1"/>
    <col min="10999" max="10999" width="58.125" style="1" bestFit="1" customWidth="1"/>
    <col min="11000" max="11000" width="12.375" style="1" customWidth="1"/>
    <col min="11001" max="11001" width="6.125" style="1" customWidth="1"/>
    <col min="11002" max="11002" width="15.375" style="1" bestFit="1" customWidth="1"/>
    <col min="11003" max="11003" width="8.875" style="1"/>
    <col min="11004" max="11004" width="11.375" style="1" bestFit="1" customWidth="1"/>
    <col min="11005" max="11005" width="10" style="1" bestFit="1" customWidth="1"/>
    <col min="11006" max="11006" width="8.875" style="1"/>
    <col min="11007" max="11007" width="8.375" style="1" bestFit="1" customWidth="1"/>
    <col min="11008" max="11252" width="8.875" style="1"/>
    <col min="11253" max="11253" width="4.875" style="1" customWidth="1"/>
    <col min="11254" max="11254" width="15.125" style="1" customWidth="1"/>
    <col min="11255" max="11255" width="58.125" style="1" bestFit="1" customWidth="1"/>
    <col min="11256" max="11256" width="12.375" style="1" customWidth="1"/>
    <col min="11257" max="11257" width="6.125" style="1" customWidth="1"/>
    <col min="11258" max="11258" width="15.375" style="1" bestFit="1" customWidth="1"/>
    <col min="11259" max="11259" width="8.875" style="1"/>
    <col min="11260" max="11260" width="11.375" style="1" bestFit="1" customWidth="1"/>
    <col min="11261" max="11261" width="10" style="1" bestFit="1" customWidth="1"/>
    <col min="11262" max="11262" width="8.875" style="1"/>
    <col min="11263" max="11263" width="8.375" style="1" bestFit="1" customWidth="1"/>
    <col min="11264" max="11508" width="8.875" style="1"/>
    <col min="11509" max="11509" width="4.875" style="1" customWidth="1"/>
    <col min="11510" max="11510" width="15.125" style="1" customWidth="1"/>
    <col min="11511" max="11511" width="58.125" style="1" bestFit="1" customWidth="1"/>
    <col min="11512" max="11512" width="12.375" style="1" customWidth="1"/>
    <col min="11513" max="11513" width="6.125" style="1" customWidth="1"/>
    <col min="11514" max="11514" width="15.375" style="1" bestFit="1" customWidth="1"/>
    <col min="11515" max="11515" width="8.875" style="1"/>
    <col min="11516" max="11516" width="11.375" style="1" bestFit="1" customWidth="1"/>
    <col min="11517" max="11517" width="10" style="1" bestFit="1" customWidth="1"/>
    <col min="11518" max="11518" width="8.875" style="1"/>
    <col min="11519" max="11519" width="8.375" style="1" bestFit="1" customWidth="1"/>
    <col min="11520" max="11764" width="8.875" style="1"/>
    <col min="11765" max="11765" width="4.875" style="1" customWidth="1"/>
    <col min="11766" max="11766" width="15.125" style="1" customWidth="1"/>
    <col min="11767" max="11767" width="58.125" style="1" bestFit="1" customWidth="1"/>
    <col min="11768" max="11768" width="12.375" style="1" customWidth="1"/>
    <col min="11769" max="11769" width="6.125" style="1" customWidth="1"/>
    <col min="11770" max="11770" width="15.375" style="1" bestFit="1" customWidth="1"/>
    <col min="11771" max="11771" width="8.875" style="1"/>
    <col min="11772" max="11772" width="11.375" style="1" bestFit="1" customWidth="1"/>
    <col min="11773" max="11773" width="10" style="1" bestFit="1" customWidth="1"/>
    <col min="11774" max="11774" width="8.875" style="1"/>
    <col min="11775" max="11775" width="8.375" style="1" bestFit="1" customWidth="1"/>
    <col min="11776" max="12020" width="8.875" style="1"/>
    <col min="12021" max="12021" width="4.875" style="1" customWidth="1"/>
    <col min="12022" max="12022" width="15.125" style="1" customWidth="1"/>
    <col min="12023" max="12023" width="58.125" style="1" bestFit="1" customWidth="1"/>
    <col min="12024" max="12024" width="12.375" style="1" customWidth="1"/>
    <col min="12025" max="12025" width="6.125" style="1" customWidth="1"/>
    <col min="12026" max="12026" width="15.375" style="1" bestFit="1" customWidth="1"/>
    <col min="12027" max="12027" width="8.875" style="1"/>
    <col min="12028" max="12028" width="11.375" style="1" bestFit="1" customWidth="1"/>
    <col min="12029" max="12029" width="10" style="1" bestFit="1" customWidth="1"/>
    <col min="12030" max="12030" width="8.875" style="1"/>
    <col min="12031" max="12031" width="8.375" style="1" bestFit="1" customWidth="1"/>
    <col min="12032" max="12276" width="8.875" style="1"/>
    <col min="12277" max="12277" width="4.875" style="1" customWidth="1"/>
    <col min="12278" max="12278" width="15.125" style="1" customWidth="1"/>
    <col min="12279" max="12279" width="58.125" style="1" bestFit="1" customWidth="1"/>
    <col min="12280" max="12280" width="12.375" style="1" customWidth="1"/>
    <col min="12281" max="12281" width="6.125" style="1" customWidth="1"/>
    <col min="12282" max="12282" width="15.375" style="1" bestFit="1" customWidth="1"/>
    <col min="12283" max="12283" width="8.875" style="1"/>
    <col min="12284" max="12284" width="11.375" style="1" bestFit="1" customWidth="1"/>
    <col min="12285" max="12285" width="10" style="1" bestFit="1" customWidth="1"/>
    <col min="12286" max="12286" width="8.875" style="1"/>
    <col min="12287" max="12287" width="8.375" style="1" bestFit="1" customWidth="1"/>
    <col min="12288" max="12532" width="8.875" style="1"/>
    <col min="12533" max="12533" width="4.875" style="1" customWidth="1"/>
    <col min="12534" max="12534" width="15.125" style="1" customWidth="1"/>
    <col min="12535" max="12535" width="58.125" style="1" bestFit="1" customWidth="1"/>
    <col min="12536" max="12536" width="12.375" style="1" customWidth="1"/>
    <col min="12537" max="12537" width="6.125" style="1" customWidth="1"/>
    <col min="12538" max="12538" width="15.375" style="1" bestFit="1" customWidth="1"/>
    <col min="12539" max="12539" width="8.875" style="1"/>
    <col min="12540" max="12540" width="11.375" style="1" bestFit="1" customWidth="1"/>
    <col min="12541" max="12541" width="10" style="1" bestFit="1" customWidth="1"/>
    <col min="12542" max="12542" width="8.875" style="1"/>
    <col min="12543" max="12543" width="8.375" style="1" bestFit="1" customWidth="1"/>
    <col min="12544" max="12788" width="8.875" style="1"/>
    <col min="12789" max="12789" width="4.875" style="1" customWidth="1"/>
    <col min="12790" max="12790" width="15.125" style="1" customWidth="1"/>
    <col min="12791" max="12791" width="58.125" style="1" bestFit="1" customWidth="1"/>
    <col min="12792" max="12792" width="12.375" style="1" customWidth="1"/>
    <col min="12793" max="12793" width="6.125" style="1" customWidth="1"/>
    <col min="12794" max="12794" width="15.375" style="1" bestFit="1" customWidth="1"/>
    <col min="12795" max="12795" width="8.875" style="1"/>
    <col min="12796" max="12796" width="11.375" style="1" bestFit="1" customWidth="1"/>
    <col min="12797" max="12797" width="10" style="1" bestFit="1" customWidth="1"/>
    <col min="12798" max="12798" width="8.875" style="1"/>
    <col min="12799" max="12799" width="8.375" style="1" bestFit="1" customWidth="1"/>
    <col min="12800" max="13044" width="8.875" style="1"/>
    <col min="13045" max="13045" width="4.875" style="1" customWidth="1"/>
    <col min="13046" max="13046" width="15.125" style="1" customWidth="1"/>
    <col min="13047" max="13047" width="58.125" style="1" bestFit="1" customWidth="1"/>
    <col min="13048" max="13048" width="12.375" style="1" customWidth="1"/>
    <col min="13049" max="13049" width="6.125" style="1" customWidth="1"/>
    <col min="13050" max="13050" width="15.375" style="1" bestFit="1" customWidth="1"/>
    <col min="13051" max="13051" width="8.875" style="1"/>
    <col min="13052" max="13052" width="11.375" style="1" bestFit="1" customWidth="1"/>
    <col min="13053" max="13053" width="10" style="1" bestFit="1" customWidth="1"/>
    <col min="13054" max="13054" width="8.875" style="1"/>
    <col min="13055" max="13055" width="8.375" style="1" bestFit="1" customWidth="1"/>
    <col min="13056" max="13300" width="8.875" style="1"/>
    <col min="13301" max="13301" width="4.875" style="1" customWidth="1"/>
    <col min="13302" max="13302" width="15.125" style="1" customWidth="1"/>
    <col min="13303" max="13303" width="58.125" style="1" bestFit="1" customWidth="1"/>
    <col min="13304" max="13304" width="12.375" style="1" customWidth="1"/>
    <col min="13305" max="13305" width="6.125" style="1" customWidth="1"/>
    <col min="13306" max="13306" width="15.375" style="1" bestFit="1" customWidth="1"/>
    <col min="13307" max="13307" width="8.875" style="1"/>
    <col min="13308" max="13308" width="11.375" style="1" bestFit="1" customWidth="1"/>
    <col min="13309" max="13309" width="10" style="1" bestFit="1" customWidth="1"/>
    <col min="13310" max="13310" width="8.875" style="1"/>
    <col min="13311" max="13311" width="8.375" style="1" bestFit="1" customWidth="1"/>
    <col min="13312" max="13556" width="8.875" style="1"/>
    <col min="13557" max="13557" width="4.875" style="1" customWidth="1"/>
    <col min="13558" max="13558" width="15.125" style="1" customWidth="1"/>
    <col min="13559" max="13559" width="58.125" style="1" bestFit="1" customWidth="1"/>
    <col min="13560" max="13560" width="12.375" style="1" customWidth="1"/>
    <col min="13561" max="13561" width="6.125" style="1" customWidth="1"/>
    <col min="13562" max="13562" width="15.375" style="1" bestFit="1" customWidth="1"/>
    <col min="13563" max="13563" width="8.875" style="1"/>
    <col min="13564" max="13564" width="11.375" style="1" bestFit="1" customWidth="1"/>
    <col min="13565" max="13565" width="10" style="1" bestFit="1" customWidth="1"/>
    <col min="13566" max="13566" width="8.875" style="1"/>
    <col min="13567" max="13567" width="8.375" style="1" bestFit="1" customWidth="1"/>
    <col min="13568" max="13812" width="8.875" style="1"/>
    <col min="13813" max="13813" width="4.875" style="1" customWidth="1"/>
    <col min="13814" max="13814" width="15.125" style="1" customWidth="1"/>
    <col min="13815" max="13815" width="58.125" style="1" bestFit="1" customWidth="1"/>
    <col min="13816" max="13816" width="12.375" style="1" customWidth="1"/>
    <col min="13817" max="13817" width="6.125" style="1" customWidth="1"/>
    <col min="13818" max="13818" width="15.375" style="1" bestFit="1" customWidth="1"/>
    <col min="13819" max="13819" width="8.875" style="1"/>
    <col min="13820" max="13820" width="11.375" style="1" bestFit="1" customWidth="1"/>
    <col min="13821" max="13821" width="10" style="1" bestFit="1" customWidth="1"/>
    <col min="13822" max="13822" width="8.875" style="1"/>
    <col min="13823" max="13823" width="8.375" style="1" bestFit="1" customWidth="1"/>
    <col min="13824" max="14068" width="8.875" style="1"/>
    <col min="14069" max="14069" width="4.875" style="1" customWidth="1"/>
    <col min="14070" max="14070" width="15.125" style="1" customWidth="1"/>
    <col min="14071" max="14071" width="58.125" style="1" bestFit="1" customWidth="1"/>
    <col min="14072" max="14072" width="12.375" style="1" customWidth="1"/>
    <col min="14073" max="14073" width="6.125" style="1" customWidth="1"/>
    <col min="14074" max="14074" width="15.375" style="1" bestFit="1" customWidth="1"/>
    <col min="14075" max="14075" width="8.875" style="1"/>
    <col min="14076" max="14076" width="11.375" style="1" bestFit="1" customWidth="1"/>
    <col min="14077" max="14077" width="10" style="1" bestFit="1" customWidth="1"/>
    <col min="14078" max="14078" width="8.875" style="1"/>
    <col min="14079" max="14079" width="8.375" style="1" bestFit="1" customWidth="1"/>
    <col min="14080" max="14324" width="8.875" style="1"/>
    <col min="14325" max="14325" width="4.875" style="1" customWidth="1"/>
    <col min="14326" max="14326" width="15.125" style="1" customWidth="1"/>
    <col min="14327" max="14327" width="58.125" style="1" bestFit="1" customWidth="1"/>
    <col min="14328" max="14328" width="12.375" style="1" customWidth="1"/>
    <col min="14329" max="14329" width="6.125" style="1" customWidth="1"/>
    <col min="14330" max="14330" width="15.375" style="1" bestFit="1" customWidth="1"/>
    <col min="14331" max="14331" width="8.875" style="1"/>
    <col min="14332" max="14332" width="11.375" style="1" bestFit="1" customWidth="1"/>
    <col min="14333" max="14333" width="10" style="1" bestFit="1" customWidth="1"/>
    <col min="14334" max="14334" width="8.875" style="1"/>
    <col min="14335" max="14335" width="8.375" style="1" bestFit="1" customWidth="1"/>
    <col min="14336" max="14580" width="8.875" style="1"/>
    <col min="14581" max="14581" width="4.875" style="1" customWidth="1"/>
    <col min="14582" max="14582" width="15.125" style="1" customWidth="1"/>
    <col min="14583" max="14583" width="58.125" style="1" bestFit="1" customWidth="1"/>
    <col min="14584" max="14584" width="12.375" style="1" customWidth="1"/>
    <col min="14585" max="14585" width="6.125" style="1" customWidth="1"/>
    <col min="14586" max="14586" width="15.375" style="1" bestFit="1" customWidth="1"/>
    <col min="14587" max="14587" width="8.875" style="1"/>
    <col min="14588" max="14588" width="11.375" style="1" bestFit="1" customWidth="1"/>
    <col min="14589" max="14589" width="10" style="1" bestFit="1" customWidth="1"/>
    <col min="14590" max="14590" width="8.875" style="1"/>
    <col min="14591" max="14591" width="8.375" style="1" bestFit="1" customWidth="1"/>
    <col min="14592" max="14836" width="8.875" style="1"/>
    <col min="14837" max="14837" width="4.875" style="1" customWidth="1"/>
    <col min="14838" max="14838" width="15.125" style="1" customWidth="1"/>
    <col min="14839" max="14839" width="58.125" style="1" bestFit="1" customWidth="1"/>
    <col min="14840" max="14840" width="12.375" style="1" customWidth="1"/>
    <col min="14841" max="14841" width="6.125" style="1" customWidth="1"/>
    <col min="14842" max="14842" width="15.375" style="1" bestFit="1" customWidth="1"/>
    <col min="14843" max="14843" width="8.875" style="1"/>
    <col min="14844" max="14844" width="11.375" style="1" bestFit="1" customWidth="1"/>
    <col min="14845" max="14845" width="10" style="1" bestFit="1" customWidth="1"/>
    <col min="14846" max="14846" width="8.875" style="1"/>
    <col min="14847" max="14847" width="8.375" style="1" bestFit="1" customWidth="1"/>
    <col min="14848" max="15092" width="8.875" style="1"/>
    <col min="15093" max="15093" width="4.875" style="1" customWidth="1"/>
    <col min="15094" max="15094" width="15.125" style="1" customWidth="1"/>
    <col min="15095" max="15095" width="58.125" style="1" bestFit="1" customWidth="1"/>
    <col min="15096" max="15096" width="12.375" style="1" customWidth="1"/>
    <col min="15097" max="15097" width="6.125" style="1" customWidth="1"/>
    <col min="15098" max="15098" width="15.375" style="1" bestFit="1" customWidth="1"/>
    <col min="15099" max="15099" width="8.875" style="1"/>
    <col min="15100" max="15100" width="11.375" style="1" bestFit="1" customWidth="1"/>
    <col min="15101" max="15101" width="10" style="1" bestFit="1" customWidth="1"/>
    <col min="15102" max="15102" width="8.875" style="1"/>
    <col min="15103" max="15103" width="8.375" style="1" bestFit="1" customWidth="1"/>
    <col min="15104" max="15348" width="8.875" style="1"/>
    <col min="15349" max="15349" width="4.875" style="1" customWidth="1"/>
    <col min="15350" max="15350" width="15.125" style="1" customWidth="1"/>
    <col min="15351" max="15351" width="58.125" style="1" bestFit="1" customWidth="1"/>
    <col min="15352" max="15352" width="12.375" style="1" customWidth="1"/>
    <col min="15353" max="15353" width="6.125" style="1" customWidth="1"/>
    <col min="15354" max="15354" width="15.375" style="1" bestFit="1" customWidth="1"/>
    <col min="15355" max="15355" width="8.875" style="1"/>
    <col min="15356" max="15356" width="11.375" style="1" bestFit="1" customWidth="1"/>
    <col min="15357" max="15357" width="10" style="1" bestFit="1" customWidth="1"/>
    <col min="15358" max="15358" width="8.875" style="1"/>
    <col min="15359" max="15359" width="8.375" style="1" bestFit="1" customWidth="1"/>
    <col min="15360" max="15604" width="8.875" style="1"/>
    <col min="15605" max="15605" width="4.875" style="1" customWidth="1"/>
    <col min="15606" max="15606" width="15.125" style="1" customWidth="1"/>
    <col min="15607" max="15607" width="58.125" style="1" bestFit="1" customWidth="1"/>
    <col min="15608" max="15608" width="12.375" style="1" customWidth="1"/>
    <col min="15609" max="15609" width="6.125" style="1" customWidth="1"/>
    <col min="15610" max="15610" width="15.375" style="1" bestFit="1" customWidth="1"/>
    <col min="15611" max="15611" width="8.875" style="1"/>
    <col min="15612" max="15612" width="11.375" style="1" bestFit="1" customWidth="1"/>
    <col min="15613" max="15613" width="10" style="1" bestFit="1" customWidth="1"/>
    <col min="15614" max="15614" width="8.875" style="1"/>
    <col min="15615" max="15615" width="8.375" style="1" bestFit="1" customWidth="1"/>
    <col min="15616" max="15860" width="8.875" style="1"/>
    <col min="15861" max="15861" width="4.875" style="1" customWidth="1"/>
    <col min="15862" max="15862" width="15.125" style="1" customWidth="1"/>
    <col min="15863" max="15863" width="58.125" style="1" bestFit="1" customWidth="1"/>
    <col min="15864" max="15864" width="12.375" style="1" customWidth="1"/>
    <col min="15865" max="15865" width="6.125" style="1" customWidth="1"/>
    <col min="15866" max="15866" width="15.375" style="1" bestFit="1" customWidth="1"/>
    <col min="15867" max="15867" width="8.875" style="1"/>
    <col min="15868" max="15868" width="11.375" style="1" bestFit="1" customWidth="1"/>
    <col min="15869" max="15869" width="10" style="1" bestFit="1" customWidth="1"/>
    <col min="15870" max="15870" width="8.875" style="1"/>
    <col min="15871" max="15871" width="8.375" style="1" bestFit="1" customWidth="1"/>
    <col min="15872" max="16116" width="8.875" style="1"/>
    <col min="16117" max="16117" width="4.875" style="1" customWidth="1"/>
    <col min="16118" max="16118" width="15.125" style="1" customWidth="1"/>
    <col min="16119" max="16119" width="58.125" style="1" bestFit="1" customWidth="1"/>
    <col min="16120" max="16120" width="12.375" style="1" customWidth="1"/>
    <col min="16121" max="16121" width="6.125" style="1" customWidth="1"/>
    <col min="16122" max="16122" width="15.375" style="1" bestFit="1" customWidth="1"/>
    <col min="16123" max="16123" width="8.875" style="1"/>
    <col min="16124" max="16124" width="11.375" style="1" bestFit="1" customWidth="1"/>
    <col min="16125" max="16125" width="10" style="1" bestFit="1" customWidth="1"/>
    <col min="16126" max="16126" width="8.875" style="1"/>
    <col min="16127" max="16127" width="8.375" style="1" bestFit="1" customWidth="1"/>
    <col min="16128" max="16384" width="8.875" style="1"/>
  </cols>
  <sheetData>
    <row r="1" spans="1:23" s="3" customFormat="1" ht="36" customHeight="1" x14ac:dyDescent="0.2">
      <c r="A1" s="87" t="s">
        <v>5</v>
      </c>
      <c r="B1" s="87"/>
      <c r="C1" s="87"/>
      <c r="D1" s="87"/>
      <c r="E1" s="87"/>
    </row>
    <row r="2" spans="1:23" s="66" customFormat="1" ht="24" customHeight="1" x14ac:dyDescent="0.6">
      <c r="A2" s="69" t="s">
        <v>33</v>
      </c>
      <c r="J2" s="67"/>
      <c r="O2" s="68"/>
      <c r="Q2" s="68"/>
      <c r="R2" s="68"/>
      <c r="S2" s="68"/>
      <c r="T2" s="68"/>
      <c r="U2" s="68"/>
      <c r="V2" s="68"/>
      <c r="W2" s="68"/>
    </row>
    <row r="3" spans="1:23" s="66" customFormat="1" ht="24" customHeight="1" x14ac:dyDescent="0.6">
      <c r="A3" s="69" t="s">
        <v>0</v>
      </c>
      <c r="O3" s="68"/>
      <c r="Q3" s="68"/>
      <c r="R3" s="68"/>
      <c r="S3" s="68"/>
      <c r="T3" s="68"/>
      <c r="U3" s="68"/>
      <c r="V3" s="68"/>
      <c r="W3" s="68"/>
    </row>
    <row r="4" spans="1:23" s="66" customFormat="1" ht="24" customHeight="1" x14ac:dyDescent="0.6">
      <c r="A4" s="69" t="s">
        <v>1</v>
      </c>
      <c r="O4" s="68"/>
      <c r="Q4" s="68"/>
      <c r="R4" s="68"/>
      <c r="S4" s="68"/>
      <c r="T4" s="68"/>
      <c r="U4" s="68"/>
      <c r="V4" s="68"/>
      <c r="W4" s="68"/>
    </row>
    <row r="5" spans="1:23" s="66" customFormat="1" ht="24" customHeight="1" x14ac:dyDescent="0.6">
      <c r="A5" s="69" t="s">
        <v>2</v>
      </c>
      <c r="O5" s="68"/>
      <c r="Q5" s="68"/>
      <c r="R5" s="68"/>
      <c r="S5" s="68"/>
      <c r="T5" s="68"/>
      <c r="U5" s="68"/>
      <c r="V5" s="68"/>
      <c r="W5" s="68"/>
    </row>
    <row r="6" spans="1:23" s="77" customFormat="1" ht="24" customHeight="1" x14ac:dyDescent="0.55000000000000004">
      <c r="A6" s="77" t="s">
        <v>50</v>
      </c>
    </row>
    <row r="7" spans="1:23" s="9" customFormat="1" ht="29.25" x14ac:dyDescent="0.6">
      <c r="A7" s="12" t="s">
        <v>34</v>
      </c>
      <c r="B7" s="12"/>
      <c r="C7" s="12"/>
      <c r="D7" s="12"/>
      <c r="E7" s="2"/>
      <c r="F7" s="14"/>
      <c r="G7" s="7"/>
      <c r="H7" s="7"/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</row>
    <row r="8" spans="1:23" s="11" customFormat="1" ht="23.25" x14ac:dyDescent="0.5">
      <c r="A8" s="12" t="s">
        <v>30</v>
      </c>
      <c r="B8" s="12"/>
      <c r="C8" s="12"/>
      <c r="D8" s="13"/>
      <c r="E8" s="2"/>
      <c r="F8" s="2"/>
      <c r="G8" s="7"/>
      <c r="H8" s="7"/>
      <c r="I8" s="7"/>
      <c r="J8" s="7"/>
      <c r="K8" s="7"/>
      <c r="L8" s="7"/>
      <c r="M8" s="7"/>
      <c r="N8" s="7"/>
    </row>
    <row r="9" spans="1:23" s="19" customFormat="1" ht="23.25" x14ac:dyDescent="0.5">
      <c r="A9" s="12" t="s">
        <v>31</v>
      </c>
      <c r="B9" s="15"/>
      <c r="C9" s="15"/>
      <c r="D9" s="16"/>
      <c r="E9" s="2"/>
      <c r="F9" s="17"/>
      <c r="G9" s="17"/>
      <c r="H9" s="18"/>
      <c r="J9" s="20"/>
      <c r="K9" s="20"/>
      <c r="L9" s="20"/>
    </row>
    <row r="10" spans="1:23" s="11" customFormat="1" ht="23.25" x14ac:dyDescent="0.5">
      <c r="A10" s="12" t="s">
        <v>51</v>
      </c>
      <c r="B10" s="12"/>
      <c r="C10" s="12"/>
      <c r="D10" s="12"/>
      <c r="E10" s="2"/>
      <c r="F10" s="2"/>
      <c r="G10" s="7"/>
      <c r="H10" s="7"/>
      <c r="I10" s="7"/>
      <c r="J10" s="7"/>
      <c r="K10" s="7"/>
      <c r="L10" s="7"/>
      <c r="M10" s="7"/>
      <c r="N10" s="7"/>
    </row>
    <row r="11" spans="1:23" s="11" customFormat="1" ht="23.25" x14ac:dyDescent="0.5">
      <c r="A11" s="12" t="s">
        <v>38</v>
      </c>
      <c r="B11" s="12"/>
      <c r="C11" s="12"/>
      <c r="D11" s="12"/>
      <c r="E11" s="2"/>
      <c r="F11" s="2"/>
      <c r="G11" s="7"/>
      <c r="H11" s="7"/>
      <c r="I11" s="7"/>
      <c r="J11" s="7"/>
      <c r="K11" s="7"/>
      <c r="L11" s="7"/>
      <c r="M11" s="7"/>
      <c r="N11" s="7"/>
    </row>
    <row r="12" spans="1:23" s="11" customFormat="1" ht="23.25" x14ac:dyDescent="0.5">
      <c r="A12" s="12" t="s">
        <v>52</v>
      </c>
      <c r="B12" s="12"/>
      <c r="C12" s="12"/>
      <c r="D12" s="12"/>
      <c r="E12" s="2"/>
      <c r="F12" s="2"/>
      <c r="G12" s="7"/>
      <c r="H12" s="7"/>
      <c r="I12" s="7"/>
      <c r="J12" s="7"/>
      <c r="K12" s="7"/>
      <c r="L12" s="7"/>
      <c r="M12" s="7"/>
      <c r="N12" s="7"/>
    </row>
    <row r="13" spans="1:23" s="9" customFormat="1" ht="23.25" x14ac:dyDescent="0.5">
      <c r="A13" s="12" t="s">
        <v>39</v>
      </c>
      <c r="B13" s="12"/>
      <c r="C13" s="12"/>
      <c r="D13" s="12"/>
      <c r="E13" s="2"/>
      <c r="F13" s="2"/>
      <c r="G13" s="7"/>
      <c r="H13" s="7"/>
      <c r="I13" s="7"/>
      <c r="J13" s="7"/>
      <c r="K13" s="7"/>
      <c r="L13" s="7"/>
      <c r="M13" s="2"/>
      <c r="N13" s="2"/>
      <c r="O13" s="11"/>
      <c r="P13" s="11"/>
      <c r="Q13" s="11"/>
      <c r="R13" s="11"/>
      <c r="S13" s="11"/>
      <c r="T13" s="11"/>
      <c r="U13" s="8"/>
      <c r="V13" s="8"/>
      <c r="W13" s="8"/>
    </row>
    <row r="14" spans="1:23" s="9" customFormat="1" ht="23.25" x14ac:dyDescent="0.5">
      <c r="A14" s="12" t="s">
        <v>85</v>
      </c>
      <c r="B14" s="12"/>
      <c r="C14" s="12"/>
      <c r="D14" s="12"/>
      <c r="E14" s="2"/>
      <c r="F14" s="2"/>
      <c r="G14" s="7"/>
      <c r="H14" s="7"/>
      <c r="I14" s="7"/>
      <c r="J14" s="7"/>
      <c r="K14" s="7"/>
      <c r="L14" s="7"/>
      <c r="M14" s="7"/>
      <c r="N14" s="7"/>
      <c r="O14" s="11"/>
      <c r="P14" s="11"/>
      <c r="Q14" s="11"/>
      <c r="R14" s="11"/>
      <c r="S14" s="11"/>
      <c r="T14" s="11"/>
      <c r="U14" s="8"/>
      <c r="V14" s="8"/>
      <c r="W14" s="8"/>
    </row>
    <row r="15" spans="1:23" s="9" customFormat="1" ht="23.25" x14ac:dyDescent="0.5">
      <c r="A15" s="12" t="s">
        <v>40</v>
      </c>
      <c r="B15" s="12"/>
      <c r="C15" s="12"/>
      <c r="D15" s="12"/>
      <c r="E15" s="2"/>
      <c r="F15" s="2"/>
      <c r="G15" s="7"/>
      <c r="H15" s="7"/>
      <c r="I15" s="7"/>
      <c r="J15" s="7"/>
      <c r="K15" s="7"/>
      <c r="L15" s="7"/>
      <c r="M15" s="7"/>
      <c r="N15" s="7"/>
      <c r="O15" s="11"/>
      <c r="P15" s="11"/>
      <c r="Q15" s="11"/>
      <c r="R15" s="11"/>
      <c r="S15" s="11"/>
      <c r="T15" s="11"/>
      <c r="U15" s="8"/>
      <c r="V15" s="8"/>
      <c r="W15" s="8"/>
    </row>
    <row r="16" spans="1:23" s="9" customFormat="1" ht="23.25" x14ac:dyDescent="0.5">
      <c r="A16" s="12" t="s">
        <v>58</v>
      </c>
      <c r="B16" s="12"/>
      <c r="C16" s="12"/>
      <c r="D16" s="12"/>
      <c r="E16" s="2"/>
      <c r="F16" s="2"/>
      <c r="G16" s="7"/>
      <c r="H16" s="7"/>
      <c r="I16" s="7"/>
      <c r="J16" s="7"/>
      <c r="K16" s="7"/>
      <c r="L16" s="7"/>
      <c r="M16" s="7"/>
      <c r="N16" s="7"/>
      <c r="O16" s="11"/>
      <c r="P16" s="11"/>
      <c r="Q16" s="11"/>
      <c r="R16" s="11"/>
      <c r="S16" s="11"/>
      <c r="T16" s="11"/>
      <c r="U16" s="8"/>
      <c r="V16" s="8"/>
      <c r="W16" s="8"/>
    </row>
    <row r="17" spans="1:23" s="9" customFormat="1" ht="22.5" x14ac:dyDescent="0.45">
      <c r="A17" s="2"/>
      <c r="B17" s="2"/>
      <c r="C17" s="2"/>
      <c r="D17" s="2"/>
      <c r="E17" s="2"/>
      <c r="F17" s="2"/>
      <c r="G17" s="7"/>
      <c r="H17" s="7"/>
      <c r="I17" s="7"/>
      <c r="J17" s="7"/>
      <c r="K17" s="7"/>
      <c r="L17" s="7"/>
      <c r="M17" s="7"/>
      <c r="N17" s="7"/>
      <c r="O17" s="11"/>
      <c r="P17" s="11"/>
      <c r="Q17" s="11"/>
      <c r="R17" s="11"/>
      <c r="S17" s="11"/>
      <c r="T17" s="11"/>
      <c r="U17" s="8"/>
      <c r="V17" s="8"/>
      <c r="W17" s="8"/>
    </row>
    <row r="18" spans="1:23" s="7" customFormat="1" ht="23.45" customHeight="1" x14ac:dyDescent="0.55000000000000004">
      <c r="A18" s="88" t="s">
        <v>8</v>
      </c>
      <c r="B18" s="88"/>
      <c r="C18" s="25"/>
      <c r="D18" s="25"/>
      <c r="E18" s="2"/>
      <c r="F18" s="2"/>
      <c r="G18" s="21"/>
      <c r="H18" s="23"/>
      <c r="I18" s="24"/>
    </row>
    <row r="19" spans="1:23" s="7" customFormat="1" ht="21" customHeight="1" x14ac:dyDescent="0.5">
      <c r="A19" s="26">
        <v>1</v>
      </c>
      <c r="B19" s="32" t="s">
        <v>10</v>
      </c>
      <c r="C19" s="26">
        <v>1</v>
      </c>
      <c r="D19" s="26" t="s">
        <v>11</v>
      </c>
      <c r="E19" s="22"/>
      <c r="F19" s="21"/>
      <c r="G19" s="21"/>
      <c r="H19" s="23"/>
      <c r="I19" s="24"/>
    </row>
    <row r="20" spans="1:23" s="7" customFormat="1" ht="21.6" customHeight="1" x14ac:dyDescent="0.5">
      <c r="A20" s="26">
        <v>2</v>
      </c>
      <c r="B20" s="32" t="s">
        <v>12</v>
      </c>
      <c r="C20" s="26">
        <v>1</v>
      </c>
      <c r="D20" s="26" t="s">
        <v>13</v>
      </c>
      <c r="E20" s="22"/>
      <c r="F20" s="27"/>
      <c r="G20" s="27"/>
    </row>
    <row r="21" spans="1:23" s="7" customFormat="1" ht="22.15" customHeight="1" x14ac:dyDescent="0.5">
      <c r="A21" s="26">
        <v>3</v>
      </c>
      <c r="B21" s="32" t="s">
        <v>14</v>
      </c>
      <c r="C21" s="26">
        <v>1</v>
      </c>
      <c r="D21" s="26" t="s">
        <v>13</v>
      </c>
      <c r="E21" s="22"/>
      <c r="G21" s="27"/>
    </row>
    <row r="22" spans="1:23" s="7" customFormat="1" ht="22.15" customHeight="1" x14ac:dyDescent="0.5">
      <c r="A22" s="26">
        <v>4</v>
      </c>
      <c r="B22" s="32" t="s">
        <v>37</v>
      </c>
      <c r="C22" s="26">
        <v>1</v>
      </c>
      <c r="D22" s="26" t="s">
        <v>13</v>
      </c>
      <c r="E22" s="22"/>
      <c r="F22" s="27"/>
      <c r="G22" s="27"/>
    </row>
    <row r="23" spans="1:23" s="7" customFormat="1" ht="19.899999999999999" customHeight="1" x14ac:dyDescent="0.5">
      <c r="A23" s="26">
        <v>5</v>
      </c>
      <c r="B23" s="42" t="s">
        <v>45</v>
      </c>
      <c r="C23" s="26">
        <v>10</v>
      </c>
      <c r="D23" s="26" t="s">
        <v>13</v>
      </c>
      <c r="E23" s="22"/>
      <c r="F23" s="27"/>
      <c r="G23" s="27"/>
    </row>
    <row r="24" spans="1:23" s="7" customFormat="1" ht="22.15" customHeight="1" x14ac:dyDescent="0.5">
      <c r="A24" s="26">
        <v>6</v>
      </c>
      <c r="B24" s="32" t="s">
        <v>46</v>
      </c>
      <c r="C24" s="26">
        <v>11</v>
      </c>
      <c r="D24" s="26" t="s">
        <v>13</v>
      </c>
      <c r="E24" s="22"/>
      <c r="F24" s="27"/>
      <c r="G24" s="27"/>
    </row>
    <row r="25" spans="1:23" s="7" customFormat="1" ht="19.899999999999999" customHeight="1" x14ac:dyDescent="0.5">
      <c r="A25" s="26">
        <v>7</v>
      </c>
      <c r="B25" s="42" t="s">
        <v>15</v>
      </c>
      <c r="C25" s="26">
        <v>1</v>
      </c>
      <c r="D25" s="26" t="s">
        <v>13</v>
      </c>
      <c r="E25" s="22"/>
      <c r="F25" s="27"/>
      <c r="G25" s="27"/>
    </row>
    <row r="26" spans="1:23" s="7" customFormat="1" ht="19.899999999999999" customHeight="1" x14ac:dyDescent="0.5">
      <c r="A26" s="26">
        <v>8</v>
      </c>
      <c r="B26" s="82" t="s">
        <v>16</v>
      </c>
      <c r="C26" s="83">
        <v>1</v>
      </c>
      <c r="D26" s="83" t="s">
        <v>13</v>
      </c>
      <c r="E26" s="81" t="s">
        <v>84</v>
      </c>
      <c r="G26" s="27"/>
    </row>
    <row r="27" spans="1:23" s="7" customFormat="1" ht="19.899999999999999" customHeight="1" x14ac:dyDescent="0.5">
      <c r="A27" s="25"/>
      <c r="B27" s="70"/>
      <c r="C27" s="25"/>
      <c r="D27" s="25"/>
      <c r="E27" s="22"/>
      <c r="G27" s="27"/>
    </row>
    <row r="28" spans="1:23" s="72" customFormat="1" ht="23.45" customHeight="1" thickBot="1" x14ac:dyDescent="0.5">
      <c r="A28" s="74" t="s">
        <v>48</v>
      </c>
      <c r="B28" s="75"/>
      <c r="C28" s="7"/>
      <c r="D28" s="76"/>
      <c r="E28" s="76"/>
      <c r="F28" s="76"/>
      <c r="G28" s="76"/>
      <c r="H28" s="76"/>
      <c r="P28" s="73"/>
      <c r="Q28" s="73"/>
    </row>
    <row r="29" spans="1:23" s="10" customFormat="1" ht="23.25" x14ac:dyDescent="0.5">
      <c r="A29" s="38"/>
      <c r="B29" s="39"/>
      <c r="C29" s="39"/>
      <c r="D29" s="39"/>
      <c r="E29" s="40"/>
      <c r="F29" s="41"/>
      <c r="G29" s="41"/>
    </row>
    <row r="30" spans="1:23" customFormat="1" ht="23.25" x14ac:dyDescent="0.5">
      <c r="A30" s="71"/>
      <c r="B30" s="35"/>
      <c r="C30" s="35"/>
      <c r="D30" s="35"/>
      <c r="E30" s="36"/>
      <c r="F30" s="37"/>
      <c r="G30" s="37"/>
    </row>
    <row r="31" spans="1:23" s="21" customFormat="1" ht="19.899999999999999" customHeight="1" x14ac:dyDescent="0.5">
      <c r="A31" s="45"/>
      <c r="B31" s="84" t="s">
        <v>54</v>
      </c>
      <c r="C31" s="84"/>
      <c r="D31" s="84"/>
      <c r="F31" s="85" t="s">
        <v>6</v>
      </c>
      <c r="G31" s="86"/>
      <c r="I31" s="37"/>
      <c r="L31" s="37"/>
      <c r="M31" s="37"/>
      <c r="N31" s="37"/>
      <c r="O31" s="37"/>
      <c r="P31" s="37"/>
      <c r="Q31" s="37"/>
      <c r="R31" s="37"/>
    </row>
    <row r="32" spans="1:23" s="37" customFormat="1" ht="19.899999999999999" customHeight="1" x14ac:dyDescent="0.5">
      <c r="A32" s="30">
        <v>1</v>
      </c>
      <c r="B32" s="30" t="s">
        <v>17</v>
      </c>
      <c r="C32" s="30" t="s">
        <v>18</v>
      </c>
      <c r="D32" s="47" t="s">
        <v>22</v>
      </c>
      <c r="E32" s="48">
        <v>1</v>
      </c>
      <c r="F32" s="49">
        <v>1000</v>
      </c>
      <c r="G32" s="53">
        <f t="shared" ref="G32:G33" si="0">SUM(E32*F32)</f>
        <v>1000</v>
      </c>
      <c r="H32" s="21"/>
      <c r="I32" s="28"/>
    </row>
    <row r="33" spans="1:18" s="37" customFormat="1" ht="19.899999999999999" customHeight="1" x14ac:dyDescent="0.5">
      <c r="A33" s="30">
        <v>2</v>
      </c>
      <c r="B33" s="30" t="s">
        <v>19</v>
      </c>
      <c r="C33" s="30" t="s">
        <v>20</v>
      </c>
      <c r="D33" s="47" t="s">
        <v>22</v>
      </c>
      <c r="E33" s="48">
        <v>2</v>
      </c>
      <c r="F33" s="49">
        <v>1000</v>
      </c>
      <c r="G33" s="53">
        <f t="shared" si="0"/>
        <v>2000</v>
      </c>
      <c r="H33" s="21"/>
      <c r="I33" s="28"/>
    </row>
    <row r="34" spans="1:18" s="37" customFormat="1" ht="19.899999999999999" customHeight="1" x14ac:dyDescent="0.5">
      <c r="A34" s="30">
        <v>3</v>
      </c>
      <c r="B34" s="30" t="s">
        <v>27</v>
      </c>
      <c r="C34" s="46" t="s">
        <v>28</v>
      </c>
      <c r="D34" s="47" t="s">
        <v>22</v>
      </c>
      <c r="E34" s="48">
        <v>0</v>
      </c>
      <c r="F34" s="49">
        <v>1000</v>
      </c>
      <c r="G34" s="78">
        <f>SUM(E34*F34)</f>
        <v>0</v>
      </c>
      <c r="H34" s="21"/>
      <c r="I34" s="28"/>
    </row>
    <row r="35" spans="1:18" s="37" customFormat="1" ht="19.899999999999999" customHeight="1" x14ac:dyDescent="0.5">
      <c r="A35" s="30">
        <v>4</v>
      </c>
      <c r="B35" s="30" t="s">
        <v>41</v>
      </c>
      <c r="C35" s="79" t="s">
        <v>42</v>
      </c>
      <c r="D35" s="47" t="s">
        <v>22</v>
      </c>
      <c r="E35" s="48">
        <v>0</v>
      </c>
      <c r="F35" s="49">
        <v>1000</v>
      </c>
      <c r="G35" s="78">
        <f t="shared" ref="G35:G36" si="1">SUM(E35*F35)</f>
        <v>0</v>
      </c>
      <c r="H35" s="21"/>
      <c r="I35" s="28"/>
    </row>
    <row r="36" spans="1:18" s="37" customFormat="1" ht="19.899999999999999" customHeight="1" x14ac:dyDescent="0.5">
      <c r="A36" s="30">
        <v>5</v>
      </c>
      <c r="B36" s="30" t="s">
        <v>43</v>
      </c>
      <c r="C36" s="79" t="s">
        <v>44</v>
      </c>
      <c r="D36" s="47" t="s">
        <v>22</v>
      </c>
      <c r="E36" s="48">
        <v>0</v>
      </c>
      <c r="F36" s="49">
        <v>1000</v>
      </c>
      <c r="G36" s="78">
        <f t="shared" si="1"/>
        <v>0</v>
      </c>
      <c r="H36" s="21"/>
      <c r="I36" s="28"/>
    </row>
    <row r="37" spans="1:18" s="21" customFormat="1" ht="19.899999999999999" customHeight="1" x14ac:dyDescent="0.5">
      <c r="A37" s="30">
        <v>6</v>
      </c>
      <c r="B37" s="50" t="s">
        <v>23</v>
      </c>
      <c r="C37" s="43" t="s">
        <v>24</v>
      </c>
      <c r="D37" s="47" t="s">
        <v>22</v>
      </c>
      <c r="E37" s="48">
        <v>0</v>
      </c>
      <c r="F37" s="49">
        <v>1000</v>
      </c>
      <c r="G37" s="53">
        <f>SUM(E37*F37)</f>
        <v>0</v>
      </c>
    </row>
    <row r="38" spans="1:18" s="2" customFormat="1" ht="21.6" customHeight="1" x14ac:dyDescent="0.5">
      <c r="A38" s="30">
        <v>7</v>
      </c>
      <c r="B38" s="31" t="s">
        <v>36</v>
      </c>
      <c r="C38" s="30" t="s">
        <v>35</v>
      </c>
      <c r="D38" s="47" t="s">
        <v>22</v>
      </c>
      <c r="E38" s="48">
        <v>3</v>
      </c>
      <c r="F38" s="49">
        <v>1000</v>
      </c>
      <c r="G38" s="58">
        <f t="shared" ref="G38" si="2">SUM(E38*F38)</f>
        <v>3000</v>
      </c>
      <c r="K38" s="37"/>
      <c r="L38" s="37"/>
      <c r="M38" s="37"/>
      <c r="N38" s="37"/>
    </row>
    <row r="39" spans="1:18" s="21" customFormat="1" ht="19.899999999999999" customHeight="1" x14ac:dyDescent="0.5">
      <c r="A39" s="30">
        <v>8</v>
      </c>
      <c r="B39" s="51" t="s">
        <v>7</v>
      </c>
      <c r="C39" s="33" t="s">
        <v>29</v>
      </c>
      <c r="D39" s="47" t="s">
        <v>4</v>
      </c>
      <c r="E39" s="48">
        <v>0</v>
      </c>
      <c r="F39" s="52">
        <v>1000</v>
      </c>
      <c r="G39" s="53">
        <f t="shared" ref="G39" si="3">SUM(E39*F39)</f>
        <v>0</v>
      </c>
    </row>
    <row r="40" spans="1:18" s="21" customFormat="1" ht="19.899999999999999" customHeight="1" x14ac:dyDescent="0.5">
      <c r="A40" s="30">
        <v>9</v>
      </c>
      <c r="B40" s="33" t="s">
        <v>21</v>
      </c>
      <c r="C40" s="33" t="s">
        <v>3</v>
      </c>
      <c r="D40" s="47" t="s">
        <v>9</v>
      </c>
      <c r="E40" s="29">
        <v>1</v>
      </c>
      <c r="F40" s="54">
        <v>8000</v>
      </c>
      <c r="G40" s="53">
        <f>SUM(E40*F40)</f>
        <v>8000</v>
      </c>
    </row>
    <row r="41" spans="1:18" s="21" customFormat="1" ht="19.899999999999999" customHeight="1" x14ac:dyDescent="0.5">
      <c r="A41" s="30">
        <v>10</v>
      </c>
      <c r="B41" s="55" t="s">
        <v>25</v>
      </c>
      <c r="C41" s="56"/>
      <c r="D41" s="47" t="s">
        <v>4</v>
      </c>
      <c r="E41" s="44" t="s">
        <v>26</v>
      </c>
      <c r="F41" s="49" t="s">
        <v>9</v>
      </c>
      <c r="G41" s="57" t="s">
        <v>9</v>
      </c>
    </row>
    <row r="42" spans="1:18" s="2" customFormat="1" ht="21.6" customHeight="1" x14ac:dyDescent="0.2">
      <c r="A42" s="61"/>
      <c r="B42" s="62"/>
      <c r="C42" s="63"/>
      <c r="D42" s="64"/>
      <c r="E42" s="65"/>
      <c r="F42" s="59" t="s">
        <v>32</v>
      </c>
      <c r="G42" s="60">
        <f>SUM(G32:G41)</f>
        <v>14000</v>
      </c>
      <c r="I42" s="21"/>
      <c r="J42" s="21"/>
    </row>
    <row r="43" spans="1:18" s="2" customFormat="1" ht="21.6" customHeight="1" x14ac:dyDescent="0.2">
      <c r="A43" s="65"/>
      <c r="B43" s="62"/>
      <c r="C43" s="63"/>
      <c r="D43" s="64"/>
      <c r="E43" s="65"/>
      <c r="F43" s="65"/>
      <c r="G43" s="65"/>
      <c r="H43" s="65"/>
      <c r="I43" s="21"/>
      <c r="J43" s="21"/>
    </row>
    <row r="44" spans="1:18" customFormat="1" ht="30" customHeight="1" thickBot="1" x14ac:dyDescent="0.55000000000000004">
      <c r="A44" s="34"/>
      <c r="B44" s="35"/>
      <c r="C44" s="35"/>
      <c r="D44" s="35"/>
      <c r="E44" s="36"/>
      <c r="F44" s="37"/>
      <c r="G44" s="37"/>
    </row>
    <row r="45" spans="1:18" s="10" customFormat="1" ht="23.25" x14ac:dyDescent="0.5">
      <c r="A45" s="38"/>
      <c r="B45" s="39"/>
      <c r="C45" s="39"/>
      <c r="D45" s="39"/>
      <c r="E45" s="40"/>
      <c r="F45" s="41"/>
      <c r="G45" s="41"/>
    </row>
    <row r="46" spans="1:18" s="21" customFormat="1" ht="19.899999999999999" customHeight="1" x14ac:dyDescent="0.5">
      <c r="A46" s="45"/>
      <c r="B46" s="84" t="s">
        <v>55</v>
      </c>
      <c r="C46" s="84"/>
      <c r="D46" s="84"/>
      <c r="F46" s="85" t="s">
        <v>6</v>
      </c>
      <c r="G46" s="86"/>
      <c r="I46" s="37"/>
      <c r="L46" s="37"/>
      <c r="M46" s="37"/>
      <c r="N46" s="37"/>
      <c r="O46" s="37"/>
      <c r="P46" s="37"/>
      <c r="Q46" s="37"/>
      <c r="R46" s="37"/>
    </row>
    <row r="47" spans="1:18" s="37" customFormat="1" ht="19.899999999999999" customHeight="1" x14ac:dyDescent="0.5">
      <c r="A47" s="30">
        <v>1</v>
      </c>
      <c r="B47" s="30" t="s">
        <v>17</v>
      </c>
      <c r="C47" s="30" t="s">
        <v>18</v>
      </c>
      <c r="D47" s="47" t="s">
        <v>22</v>
      </c>
      <c r="E47" s="48">
        <v>1</v>
      </c>
      <c r="F47" s="49">
        <v>1000</v>
      </c>
      <c r="G47" s="53">
        <f t="shared" ref="G47:G48" si="4">SUM(E47*F47)</f>
        <v>1000</v>
      </c>
      <c r="H47" s="21"/>
      <c r="I47" s="28"/>
    </row>
    <row r="48" spans="1:18" s="37" customFormat="1" ht="19.899999999999999" customHeight="1" x14ac:dyDescent="0.5">
      <c r="A48" s="30">
        <v>2</v>
      </c>
      <c r="B48" s="30" t="s">
        <v>19</v>
      </c>
      <c r="C48" s="30" t="s">
        <v>20</v>
      </c>
      <c r="D48" s="47" t="s">
        <v>22</v>
      </c>
      <c r="E48" s="48">
        <v>2</v>
      </c>
      <c r="F48" s="49">
        <v>1000</v>
      </c>
      <c r="G48" s="53">
        <f t="shared" si="4"/>
        <v>2000</v>
      </c>
      <c r="H48" s="21"/>
      <c r="I48" s="28"/>
    </row>
    <row r="49" spans="1:18" s="37" customFormat="1" ht="19.899999999999999" customHeight="1" x14ac:dyDescent="0.5">
      <c r="A49" s="30">
        <v>3</v>
      </c>
      <c r="B49" s="30" t="s">
        <v>27</v>
      </c>
      <c r="C49" s="46" t="s">
        <v>28</v>
      </c>
      <c r="D49" s="47" t="s">
        <v>22</v>
      </c>
      <c r="E49" s="48">
        <v>0</v>
      </c>
      <c r="F49" s="49">
        <v>1000</v>
      </c>
      <c r="G49" s="78">
        <f>SUM(E49*F49)</f>
        <v>0</v>
      </c>
      <c r="H49" s="21"/>
      <c r="I49" s="28"/>
    </row>
    <row r="50" spans="1:18" s="37" customFormat="1" ht="19.899999999999999" customHeight="1" x14ac:dyDescent="0.5">
      <c r="A50" s="30">
        <v>4</v>
      </c>
      <c r="B50" s="30" t="s">
        <v>41</v>
      </c>
      <c r="C50" s="79" t="s">
        <v>42</v>
      </c>
      <c r="D50" s="47" t="s">
        <v>22</v>
      </c>
      <c r="E50" s="48">
        <v>0</v>
      </c>
      <c r="F50" s="49">
        <v>1000</v>
      </c>
      <c r="G50" s="78">
        <f t="shared" ref="G50:G51" si="5">SUM(E50*F50)</f>
        <v>0</v>
      </c>
      <c r="H50" s="21"/>
      <c r="I50" s="28"/>
    </row>
    <row r="51" spans="1:18" s="37" customFormat="1" ht="19.899999999999999" customHeight="1" x14ac:dyDescent="0.5">
      <c r="A51" s="30">
        <v>5</v>
      </c>
      <c r="B51" s="30" t="s">
        <v>43</v>
      </c>
      <c r="C51" s="79" t="s">
        <v>44</v>
      </c>
      <c r="D51" s="47" t="s">
        <v>22</v>
      </c>
      <c r="E51" s="48">
        <v>0</v>
      </c>
      <c r="F51" s="49">
        <v>1000</v>
      </c>
      <c r="G51" s="78">
        <f t="shared" si="5"/>
        <v>0</v>
      </c>
      <c r="H51" s="21"/>
      <c r="I51" s="28"/>
    </row>
    <row r="52" spans="1:18" s="21" customFormat="1" ht="19.899999999999999" customHeight="1" x14ac:dyDescent="0.5">
      <c r="A52" s="30">
        <v>6</v>
      </c>
      <c r="B52" s="50" t="s">
        <v>23</v>
      </c>
      <c r="C52" s="43" t="s">
        <v>24</v>
      </c>
      <c r="D52" s="47" t="s">
        <v>22</v>
      </c>
      <c r="E52" s="48">
        <v>0</v>
      </c>
      <c r="F52" s="49">
        <v>1000</v>
      </c>
      <c r="G52" s="53">
        <f>SUM(E52*F52)</f>
        <v>0</v>
      </c>
    </row>
    <row r="53" spans="1:18" s="2" customFormat="1" ht="21.6" customHeight="1" x14ac:dyDescent="0.5">
      <c r="A53" s="30">
        <v>7</v>
      </c>
      <c r="B53" s="31" t="s">
        <v>36</v>
      </c>
      <c r="C53" s="30" t="s">
        <v>35</v>
      </c>
      <c r="D53" s="47" t="s">
        <v>22</v>
      </c>
      <c r="E53" s="48">
        <v>5</v>
      </c>
      <c r="F53" s="49">
        <v>1000</v>
      </c>
      <c r="G53" s="58">
        <f t="shared" ref="G53:G54" si="6">SUM(E53*F53)</f>
        <v>5000</v>
      </c>
      <c r="H53" s="80" t="s">
        <v>57</v>
      </c>
      <c r="K53" s="37"/>
      <c r="L53" s="37"/>
      <c r="M53" s="37"/>
      <c r="N53" s="37"/>
    </row>
    <row r="54" spans="1:18" s="21" customFormat="1" ht="19.899999999999999" customHeight="1" x14ac:dyDescent="0.5">
      <c r="A54" s="30">
        <v>8</v>
      </c>
      <c r="B54" s="51" t="s">
        <v>7</v>
      </c>
      <c r="C54" s="33" t="s">
        <v>29</v>
      </c>
      <c r="D54" s="47" t="s">
        <v>4</v>
      </c>
      <c r="E54" s="48">
        <v>0</v>
      </c>
      <c r="F54" s="52">
        <v>1000</v>
      </c>
      <c r="G54" s="53">
        <f t="shared" si="6"/>
        <v>0</v>
      </c>
    </row>
    <row r="55" spans="1:18" s="21" customFormat="1" ht="19.899999999999999" customHeight="1" x14ac:dyDescent="0.5">
      <c r="A55" s="30">
        <v>9</v>
      </c>
      <c r="B55" s="33" t="s">
        <v>21</v>
      </c>
      <c r="C55" s="33" t="s">
        <v>3</v>
      </c>
      <c r="D55" s="47" t="s">
        <v>9</v>
      </c>
      <c r="E55" s="29">
        <v>1</v>
      </c>
      <c r="F55" s="54">
        <v>8000</v>
      </c>
      <c r="G55" s="53">
        <f>SUM(E55*F55)</f>
        <v>8000</v>
      </c>
    </row>
    <row r="56" spans="1:18" s="21" customFormat="1" ht="19.899999999999999" customHeight="1" x14ac:dyDescent="0.5">
      <c r="A56" s="30">
        <v>10</v>
      </c>
      <c r="B56" s="55" t="s">
        <v>25</v>
      </c>
      <c r="C56" s="56"/>
      <c r="D56" s="47" t="s">
        <v>4</v>
      </c>
      <c r="E56" s="44" t="s">
        <v>26</v>
      </c>
      <c r="F56" s="49" t="s">
        <v>9</v>
      </c>
      <c r="G56" s="57" t="s">
        <v>9</v>
      </c>
    </row>
    <row r="57" spans="1:18" s="2" customFormat="1" ht="21.6" customHeight="1" x14ac:dyDescent="0.2">
      <c r="A57" s="61"/>
      <c r="B57" s="62"/>
      <c r="C57" s="63"/>
      <c r="D57" s="64"/>
      <c r="E57" s="65"/>
      <c r="F57" s="59" t="s">
        <v>32</v>
      </c>
      <c r="G57" s="60">
        <f>SUM(G47:G56)</f>
        <v>16000</v>
      </c>
      <c r="I57" s="21"/>
      <c r="J57" s="21"/>
    </row>
    <row r="58" spans="1:18" s="2" customFormat="1" ht="21.6" customHeight="1" x14ac:dyDescent="0.2">
      <c r="A58" s="65"/>
      <c r="B58" s="62"/>
      <c r="C58" s="63"/>
      <c r="D58" s="64"/>
      <c r="E58" s="65"/>
      <c r="F58" s="65"/>
      <c r="G58" s="65"/>
      <c r="H58" s="65"/>
      <c r="I58" s="21"/>
      <c r="J58" s="21"/>
    </row>
    <row r="59" spans="1:18" customFormat="1" ht="30" customHeight="1" thickBot="1" x14ac:dyDescent="0.55000000000000004">
      <c r="A59" s="34"/>
      <c r="B59" s="35"/>
      <c r="C59" s="35"/>
      <c r="D59" s="35"/>
      <c r="E59" s="36"/>
      <c r="F59" s="37"/>
      <c r="G59" s="37"/>
    </row>
    <row r="60" spans="1:18" s="10" customFormat="1" ht="23.25" x14ac:dyDescent="0.5">
      <c r="A60" s="38"/>
      <c r="B60" s="39"/>
      <c r="C60" s="39"/>
      <c r="D60" s="39"/>
      <c r="E60" s="40"/>
      <c r="F60" s="41"/>
      <c r="G60" s="41"/>
    </row>
    <row r="61" spans="1:18" s="21" customFormat="1" ht="19.899999999999999" customHeight="1" x14ac:dyDescent="0.5">
      <c r="A61" s="45"/>
      <c r="B61" s="84" t="s">
        <v>56</v>
      </c>
      <c r="C61" s="84"/>
      <c r="D61" s="84"/>
      <c r="F61" s="85" t="s">
        <v>6</v>
      </c>
      <c r="G61" s="86"/>
      <c r="I61" s="37"/>
      <c r="L61" s="37"/>
      <c r="M61" s="37"/>
      <c r="N61" s="37"/>
      <c r="O61" s="37"/>
      <c r="P61" s="37"/>
      <c r="Q61" s="37"/>
      <c r="R61" s="37"/>
    </row>
    <row r="62" spans="1:18" s="37" customFormat="1" ht="19.899999999999999" customHeight="1" x14ac:dyDescent="0.5">
      <c r="A62" s="30">
        <v>1</v>
      </c>
      <c r="B62" s="30" t="s">
        <v>17</v>
      </c>
      <c r="C62" s="30" t="s">
        <v>18</v>
      </c>
      <c r="D62" s="47" t="s">
        <v>22</v>
      </c>
      <c r="E62" s="48">
        <v>2</v>
      </c>
      <c r="F62" s="49">
        <v>1000</v>
      </c>
      <c r="G62" s="53">
        <f t="shared" ref="G62:G63" si="7">SUM(E62*F62)</f>
        <v>2000</v>
      </c>
      <c r="H62" s="21"/>
      <c r="I62" s="28"/>
    </row>
    <row r="63" spans="1:18" s="37" customFormat="1" ht="19.899999999999999" customHeight="1" x14ac:dyDescent="0.5">
      <c r="A63" s="30">
        <v>2</v>
      </c>
      <c r="B63" s="30" t="s">
        <v>19</v>
      </c>
      <c r="C63" s="30" t="s">
        <v>20</v>
      </c>
      <c r="D63" s="47" t="s">
        <v>22</v>
      </c>
      <c r="E63" s="48">
        <v>4</v>
      </c>
      <c r="F63" s="49">
        <v>1000</v>
      </c>
      <c r="G63" s="53">
        <f t="shared" si="7"/>
        <v>4000</v>
      </c>
      <c r="H63" s="21"/>
      <c r="I63" s="28"/>
    </row>
    <row r="64" spans="1:18" s="37" customFormat="1" ht="19.899999999999999" customHeight="1" x14ac:dyDescent="0.5">
      <c r="A64" s="30">
        <v>3</v>
      </c>
      <c r="B64" s="30" t="s">
        <v>27</v>
      </c>
      <c r="C64" s="46" t="s">
        <v>28</v>
      </c>
      <c r="D64" s="47" t="s">
        <v>22</v>
      </c>
      <c r="E64" s="48">
        <v>0</v>
      </c>
      <c r="F64" s="49">
        <v>1000</v>
      </c>
      <c r="G64" s="78">
        <f>SUM(E64*F64)</f>
        <v>0</v>
      </c>
      <c r="H64" s="21"/>
      <c r="I64" s="28"/>
    </row>
    <row r="65" spans="1:18" s="37" customFormat="1" ht="19.899999999999999" customHeight="1" x14ac:dyDescent="0.5">
      <c r="A65" s="30">
        <v>4</v>
      </c>
      <c r="B65" s="30" t="s">
        <v>41</v>
      </c>
      <c r="C65" s="79" t="s">
        <v>42</v>
      </c>
      <c r="D65" s="47" t="s">
        <v>22</v>
      </c>
      <c r="E65" s="48">
        <v>0</v>
      </c>
      <c r="F65" s="49">
        <v>1000</v>
      </c>
      <c r="G65" s="78">
        <f t="shared" ref="G65:G66" si="8">SUM(E65*F65)</f>
        <v>0</v>
      </c>
      <c r="H65" s="21"/>
      <c r="I65" s="28"/>
    </row>
    <row r="66" spans="1:18" s="37" customFormat="1" ht="19.899999999999999" customHeight="1" x14ac:dyDescent="0.5">
      <c r="A66" s="30">
        <v>5</v>
      </c>
      <c r="B66" s="30" t="s">
        <v>43</v>
      </c>
      <c r="C66" s="79" t="s">
        <v>44</v>
      </c>
      <c r="D66" s="47" t="s">
        <v>22</v>
      </c>
      <c r="E66" s="48">
        <v>0</v>
      </c>
      <c r="F66" s="49">
        <v>1000</v>
      </c>
      <c r="G66" s="78">
        <f t="shared" si="8"/>
        <v>0</v>
      </c>
      <c r="H66" s="21"/>
      <c r="I66" s="28"/>
    </row>
    <row r="67" spans="1:18" s="21" customFormat="1" ht="19.899999999999999" customHeight="1" x14ac:dyDescent="0.5">
      <c r="A67" s="30">
        <v>6</v>
      </c>
      <c r="B67" s="50" t="s">
        <v>23</v>
      </c>
      <c r="C67" s="43" t="s">
        <v>24</v>
      </c>
      <c r="D67" s="47" t="s">
        <v>22</v>
      </c>
      <c r="E67" s="48">
        <v>0</v>
      </c>
      <c r="F67" s="49">
        <v>1000</v>
      </c>
      <c r="G67" s="53">
        <f>SUM(E67*F67)</f>
        <v>0</v>
      </c>
    </row>
    <row r="68" spans="1:18" s="2" customFormat="1" ht="21.6" customHeight="1" x14ac:dyDescent="0.5">
      <c r="A68" s="30">
        <v>7</v>
      </c>
      <c r="B68" s="31" t="s">
        <v>36</v>
      </c>
      <c r="C68" s="30" t="s">
        <v>35</v>
      </c>
      <c r="D68" s="47" t="s">
        <v>22</v>
      </c>
      <c r="E68" s="48">
        <v>6</v>
      </c>
      <c r="F68" s="49">
        <v>1000</v>
      </c>
      <c r="G68" s="58">
        <f t="shared" ref="G68:G69" si="9">SUM(E68*F68)</f>
        <v>6000</v>
      </c>
      <c r="K68" s="37"/>
      <c r="L68" s="37"/>
      <c r="M68" s="37"/>
      <c r="N68" s="37"/>
    </row>
    <row r="69" spans="1:18" s="21" customFormat="1" ht="19.899999999999999" customHeight="1" x14ac:dyDescent="0.5">
      <c r="A69" s="30">
        <v>8</v>
      </c>
      <c r="B69" s="51" t="s">
        <v>7</v>
      </c>
      <c r="C69" s="33" t="s">
        <v>29</v>
      </c>
      <c r="D69" s="47" t="s">
        <v>4</v>
      </c>
      <c r="E69" s="48">
        <v>0</v>
      </c>
      <c r="F69" s="52">
        <v>1000</v>
      </c>
      <c r="G69" s="53">
        <f t="shared" si="9"/>
        <v>0</v>
      </c>
    </row>
    <row r="70" spans="1:18" s="21" customFormat="1" ht="19.899999999999999" customHeight="1" x14ac:dyDescent="0.5">
      <c r="A70" s="30">
        <v>9</v>
      </c>
      <c r="B70" s="33" t="s">
        <v>21</v>
      </c>
      <c r="C70" s="33" t="s">
        <v>3</v>
      </c>
      <c r="D70" s="47" t="s">
        <v>9</v>
      </c>
      <c r="E70" s="29">
        <v>1</v>
      </c>
      <c r="F70" s="54">
        <v>8000</v>
      </c>
      <c r="G70" s="53">
        <f>SUM(E70*F70)</f>
        <v>8000</v>
      </c>
    </row>
    <row r="71" spans="1:18" s="21" customFormat="1" ht="19.899999999999999" customHeight="1" x14ac:dyDescent="0.5">
      <c r="A71" s="30">
        <v>10</v>
      </c>
      <c r="B71" s="55" t="s">
        <v>25</v>
      </c>
      <c r="C71" s="56"/>
      <c r="D71" s="47" t="s">
        <v>4</v>
      </c>
      <c r="E71" s="44" t="s">
        <v>26</v>
      </c>
      <c r="F71" s="49" t="s">
        <v>9</v>
      </c>
      <c r="G71" s="57" t="s">
        <v>9</v>
      </c>
    </row>
    <row r="72" spans="1:18" s="2" customFormat="1" ht="21.6" customHeight="1" x14ac:dyDescent="0.2">
      <c r="A72" s="61"/>
      <c r="B72" s="62"/>
      <c r="C72" s="63"/>
      <c r="D72" s="64"/>
      <c r="E72" s="65"/>
      <c r="F72" s="59" t="s">
        <v>32</v>
      </c>
      <c r="G72" s="60">
        <f>SUM(G62:G71)</f>
        <v>20000</v>
      </c>
      <c r="I72" s="21"/>
      <c r="J72" s="21"/>
    </row>
    <row r="73" spans="1:18" s="2" customFormat="1" ht="21.6" customHeight="1" x14ac:dyDescent="0.2">
      <c r="A73" s="65"/>
      <c r="B73" s="62"/>
      <c r="C73" s="63"/>
      <c r="D73" s="64"/>
      <c r="E73" s="65"/>
      <c r="F73" s="65"/>
      <c r="G73" s="65"/>
      <c r="H73" s="65"/>
      <c r="I73" s="21"/>
      <c r="J73" s="21"/>
    </row>
    <row r="74" spans="1:18" customFormat="1" ht="30" customHeight="1" thickBot="1" x14ac:dyDescent="0.55000000000000004">
      <c r="A74" s="34"/>
      <c r="B74" s="35"/>
      <c r="C74" s="35"/>
      <c r="D74" s="35"/>
      <c r="E74" s="36"/>
      <c r="F74" s="37"/>
      <c r="G74" s="37"/>
    </row>
    <row r="75" spans="1:18" s="10" customFormat="1" ht="23.25" x14ac:dyDescent="0.5">
      <c r="A75" s="38"/>
      <c r="B75" s="39"/>
      <c r="C75" s="39"/>
      <c r="D75" s="39"/>
      <c r="E75" s="40"/>
      <c r="F75" s="41"/>
      <c r="G75" s="41"/>
    </row>
    <row r="76" spans="1:18" s="4" customFormat="1" ht="21" x14ac:dyDescent="0.2">
      <c r="A76" s="5"/>
      <c r="B76" s="5"/>
      <c r="C76" s="5"/>
      <c r="D76" s="5"/>
      <c r="E76" s="6"/>
    </row>
    <row r="77" spans="1:18" s="21" customFormat="1" ht="19.899999999999999" customHeight="1" x14ac:dyDescent="0.5">
      <c r="A77" s="45"/>
      <c r="B77" s="84" t="s">
        <v>59</v>
      </c>
      <c r="C77" s="84"/>
      <c r="D77" s="84"/>
      <c r="F77" s="85" t="s">
        <v>6</v>
      </c>
      <c r="G77" s="86"/>
      <c r="I77" s="37"/>
      <c r="L77" s="37"/>
      <c r="M77" s="37"/>
      <c r="N77" s="37"/>
      <c r="O77" s="37"/>
      <c r="P77" s="37"/>
      <c r="Q77" s="37"/>
      <c r="R77" s="37"/>
    </row>
    <row r="78" spans="1:18" s="37" customFormat="1" ht="19.899999999999999" customHeight="1" x14ac:dyDescent="0.5">
      <c r="A78" s="30">
        <v>1</v>
      </c>
      <c r="B78" s="30" t="s">
        <v>17</v>
      </c>
      <c r="C78" s="30" t="s">
        <v>18</v>
      </c>
      <c r="D78" s="47" t="s">
        <v>22</v>
      </c>
      <c r="E78" s="48">
        <v>1</v>
      </c>
      <c r="F78" s="49">
        <v>1000</v>
      </c>
      <c r="G78" s="53">
        <f t="shared" ref="G78:G79" si="10">SUM(E78*F78)</f>
        <v>1000</v>
      </c>
      <c r="H78" s="21"/>
      <c r="I78" s="28"/>
    </row>
    <row r="79" spans="1:18" s="37" customFormat="1" ht="19.899999999999999" customHeight="1" x14ac:dyDescent="0.5">
      <c r="A79" s="30">
        <v>2</v>
      </c>
      <c r="B79" s="30" t="s">
        <v>19</v>
      </c>
      <c r="C79" s="30" t="s">
        <v>20</v>
      </c>
      <c r="D79" s="47" t="s">
        <v>22</v>
      </c>
      <c r="E79" s="48">
        <v>1</v>
      </c>
      <c r="F79" s="49">
        <v>1000</v>
      </c>
      <c r="G79" s="53">
        <f t="shared" si="10"/>
        <v>1000</v>
      </c>
      <c r="H79" s="21"/>
      <c r="I79" s="28"/>
    </row>
    <row r="80" spans="1:18" s="37" customFormat="1" ht="19.899999999999999" customHeight="1" x14ac:dyDescent="0.5">
      <c r="A80" s="30">
        <v>3</v>
      </c>
      <c r="B80" s="30" t="s">
        <v>27</v>
      </c>
      <c r="C80" s="46" t="s">
        <v>28</v>
      </c>
      <c r="D80" s="47" t="s">
        <v>22</v>
      </c>
      <c r="E80" s="48">
        <v>0</v>
      </c>
      <c r="F80" s="49">
        <v>1000</v>
      </c>
      <c r="G80" s="78">
        <f>SUM(E80*F80)</f>
        <v>0</v>
      </c>
      <c r="H80" s="21"/>
      <c r="I80" s="28"/>
    </row>
    <row r="81" spans="1:18" s="37" customFormat="1" ht="19.899999999999999" customHeight="1" x14ac:dyDescent="0.5">
      <c r="A81" s="30">
        <v>4</v>
      </c>
      <c r="B81" s="30" t="s">
        <v>41</v>
      </c>
      <c r="C81" s="79" t="s">
        <v>42</v>
      </c>
      <c r="D81" s="47" t="s">
        <v>22</v>
      </c>
      <c r="E81" s="48">
        <v>9</v>
      </c>
      <c r="F81" s="49">
        <v>1000</v>
      </c>
      <c r="G81" s="78">
        <f t="shared" ref="G81:G82" si="11">SUM(E81*F81)</f>
        <v>9000</v>
      </c>
      <c r="H81" s="21"/>
      <c r="I81" s="28"/>
    </row>
    <row r="82" spans="1:18" s="37" customFormat="1" ht="19.899999999999999" customHeight="1" x14ac:dyDescent="0.5">
      <c r="A82" s="30">
        <v>5</v>
      </c>
      <c r="B82" s="30" t="s">
        <v>43</v>
      </c>
      <c r="C82" s="79" t="s">
        <v>44</v>
      </c>
      <c r="D82" s="47" t="s">
        <v>22</v>
      </c>
      <c r="E82" s="48">
        <v>18</v>
      </c>
      <c r="F82" s="49">
        <v>1000</v>
      </c>
      <c r="G82" s="78">
        <f t="shared" si="11"/>
        <v>18000</v>
      </c>
      <c r="H82" s="21"/>
      <c r="I82" s="28"/>
    </row>
    <row r="83" spans="1:18" s="21" customFormat="1" ht="19.899999999999999" customHeight="1" x14ac:dyDescent="0.5">
      <c r="A83" s="30">
        <v>6</v>
      </c>
      <c r="B83" s="50" t="s">
        <v>23</v>
      </c>
      <c r="C83" s="43" t="s">
        <v>24</v>
      </c>
      <c r="D83" s="47" t="s">
        <v>22</v>
      </c>
      <c r="E83" s="48">
        <v>9</v>
      </c>
      <c r="F83" s="49">
        <v>1000</v>
      </c>
      <c r="G83" s="53">
        <f>SUM(E83*F83)</f>
        <v>9000</v>
      </c>
    </row>
    <row r="84" spans="1:18" s="2" customFormat="1" ht="21.6" customHeight="1" x14ac:dyDescent="0.5">
      <c r="A84" s="30">
        <v>7</v>
      </c>
      <c r="B84" s="31" t="s">
        <v>36</v>
      </c>
      <c r="C84" s="30" t="s">
        <v>35</v>
      </c>
      <c r="D84" s="47" t="s">
        <v>22</v>
      </c>
      <c r="E84" s="48">
        <v>6</v>
      </c>
      <c r="F84" s="49">
        <v>1000</v>
      </c>
      <c r="G84" s="58">
        <f t="shared" ref="G84:G85" si="12">SUM(E84*F84)</f>
        <v>6000</v>
      </c>
      <c r="H84" s="80" t="s">
        <v>60</v>
      </c>
      <c r="K84" s="37"/>
      <c r="L84" s="37"/>
      <c r="M84" s="37"/>
      <c r="N84" s="37"/>
    </row>
    <row r="85" spans="1:18" s="21" customFormat="1" ht="19.899999999999999" customHeight="1" x14ac:dyDescent="0.5">
      <c r="A85" s="30">
        <v>8</v>
      </c>
      <c r="B85" s="51" t="s">
        <v>7</v>
      </c>
      <c r="C85" s="33" t="s">
        <v>29</v>
      </c>
      <c r="D85" s="47" t="s">
        <v>4</v>
      </c>
      <c r="E85" s="48">
        <v>11</v>
      </c>
      <c r="F85" s="52">
        <v>1000</v>
      </c>
      <c r="G85" s="53">
        <f t="shared" si="12"/>
        <v>11000</v>
      </c>
    </row>
    <row r="86" spans="1:18" s="21" customFormat="1" ht="19.899999999999999" customHeight="1" x14ac:dyDescent="0.5">
      <c r="A86" s="30">
        <v>9</v>
      </c>
      <c r="B86" s="33" t="s">
        <v>21</v>
      </c>
      <c r="C86" s="33" t="s">
        <v>3</v>
      </c>
      <c r="D86" s="47" t="s">
        <v>9</v>
      </c>
      <c r="E86" s="29">
        <v>1</v>
      </c>
      <c r="F86" s="54">
        <v>8000</v>
      </c>
      <c r="G86" s="53">
        <f>SUM(E86*F86)</f>
        <v>8000</v>
      </c>
    </row>
    <row r="87" spans="1:18" s="21" customFormat="1" ht="19.899999999999999" customHeight="1" x14ac:dyDescent="0.5">
      <c r="A87" s="30">
        <v>10</v>
      </c>
      <c r="B87" s="55" t="s">
        <v>25</v>
      </c>
      <c r="C87" s="56"/>
      <c r="D87" s="47" t="s">
        <v>4</v>
      </c>
      <c r="E87" s="44" t="s">
        <v>26</v>
      </c>
      <c r="F87" s="49" t="s">
        <v>9</v>
      </c>
      <c r="G87" s="57" t="s">
        <v>9</v>
      </c>
    </row>
    <row r="88" spans="1:18" s="2" customFormat="1" ht="21.6" customHeight="1" x14ac:dyDescent="0.2">
      <c r="A88" s="61"/>
      <c r="B88" s="62"/>
      <c r="C88" s="63"/>
      <c r="D88" s="64"/>
      <c r="E88" s="65"/>
      <c r="F88" s="59" t="s">
        <v>32</v>
      </c>
      <c r="G88" s="60">
        <f>SUM(G78:G87)</f>
        <v>63000</v>
      </c>
      <c r="I88" s="21"/>
      <c r="J88" s="21"/>
    </row>
    <row r="89" spans="1:18" s="2" customFormat="1" ht="21.6" customHeight="1" x14ac:dyDescent="0.2">
      <c r="A89" s="65"/>
      <c r="B89" s="62"/>
      <c r="C89" s="63"/>
      <c r="D89" s="64"/>
      <c r="E89" s="65"/>
      <c r="F89" s="65"/>
      <c r="G89" s="65"/>
      <c r="H89" s="65"/>
      <c r="I89" s="21"/>
      <c r="J89" s="21"/>
    </row>
    <row r="90" spans="1:18" customFormat="1" ht="30" customHeight="1" thickBot="1" x14ac:dyDescent="0.55000000000000004">
      <c r="A90" s="34"/>
      <c r="B90" s="35"/>
      <c r="C90" s="35"/>
      <c r="D90" s="35"/>
      <c r="E90" s="36"/>
      <c r="F90" s="37"/>
      <c r="G90" s="37"/>
    </row>
    <row r="91" spans="1:18" s="10" customFormat="1" ht="23.25" x14ac:dyDescent="0.5">
      <c r="A91" s="38"/>
      <c r="B91" s="39"/>
      <c r="C91" s="39"/>
      <c r="D91" s="39"/>
      <c r="E91" s="40"/>
      <c r="F91" s="41"/>
      <c r="G91" s="41"/>
    </row>
    <row r="92" spans="1:18" s="21" customFormat="1" ht="19.899999999999999" customHeight="1" x14ac:dyDescent="0.5">
      <c r="A92" s="45"/>
      <c r="B92" s="84" t="s">
        <v>61</v>
      </c>
      <c r="C92" s="84"/>
      <c r="D92" s="84"/>
      <c r="F92" s="85" t="s">
        <v>6</v>
      </c>
      <c r="G92" s="86"/>
      <c r="I92" s="37"/>
      <c r="L92" s="37"/>
      <c r="M92" s="37"/>
      <c r="N92" s="37"/>
      <c r="O92" s="37"/>
      <c r="P92" s="37"/>
      <c r="Q92" s="37"/>
      <c r="R92" s="37"/>
    </row>
    <row r="93" spans="1:18" s="37" customFormat="1" ht="19.899999999999999" customHeight="1" x14ac:dyDescent="0.5">
      <c r="A93" s="30">
        <v>1</v>
      </c>
      <c r="B93" s="30" t="s">
        <v>17</v>
      </c>
      <c r="C93" s="30" t="s">
        <v>18</v>
      </c>
      <c r="D93" s="47" t="s">
        <v>22</v>
      </c>
      <c r="E93" s="48">
        <v>1</v>
      </c>
      <c r="F93" s="49">
        <v>1000</v>
      </c>
      <c r="G93" s="53">
        <f t="shared" ref="G93:G94" si="13">SUM(E93*F93)</f>
        <v>1000</v>
      </c>
      <c r="H93" s="21"/>
      <c r="I93" s="28"/>
    </row>
    <row r="94" spans="1:18" s="37" customFormat="1" ht="19.899999999999999" customHeight="1" x14ac:dyDescent="0.5">
      <c r="A94" s="30">
        <v>2</v>
      </c>
      <c r="B94" s="30" t="s">
        <v>19</v>
      </c>
      <c r="C94" s="30" t="s">
        <v>20</v>
      </c>
      <c r="D94" s="47" t="s">
        <v>22</v>
      </c>
      <c r="E94" s="48">
        <v>1</v>
      </c>
      <c r="F94" s="49">
        <v>1000</v>
      </c>
      <c r="G94" s="53">
        <f t="shared" si="13"/>
        <v>1000</v>
      </c>
      <c r="H94" s="21"/>
      <c r="I94" s="28"/>
    </row>
    <row r="95" spans="1:18" s="37" customFormat="1" ht="19.899999999999999" customHeight="1" x14ac:dyDescent="0.5">
      <c r="A95" s="30">
        <v>3</v>
      </c>
      <c r="B95" s="30" t="s">
        <v>27</v>
      </c>
      <c r="C95" s="46" t="s">
        <v>28</v>
      </c>
      <c r="D95" s="47" t="s">
        <v>22</v>
      </c>
      <c r="E95" s="48">
        <v>0</v>
      </c>
      <c r="F95" s="49">
        <v>1000</v>
      </c>
      <c r="G95" s="78">
        <f>SUM(E95*F95)</f>
        <v>0</v>
      </c>
      <c r="H95" s="21"/>
      <c r="I95" s="28"/>
    </row>
    <row r="96" spans="1:18" s="37" customFormat="1" ht="19.899999999999999" customHeight="1" x14ac:dyDescent="0.5">
      <c r="A96" s="30">
        <v>4</v>
      </c>
      <c r="B96" s="30" t="s">
        <v>41</v>
      </c>
      <c r="C96" s="79" t="s">
        <v>42</v>
      </c>
      <c r="D96" s="47" t="s">
        <v>22</v>
      </c>
      <c r="E96" s="48">
        <v>5</v>
      </c>
      <c r="F96" s="49">
        <v>1000</v>
      </c>
      <c r="G96" s="78">
        <f t="shared" ref="G96:G97" si="14">SUM(E96*F96)</f>
        <v>5000</v>
      </c>
      <c r="H96" s="21"/>
      <c r="I96" s="28"/>
    </row>
    <row r="97" spans="1:18" s="37" customFormat="1" ht="19.899999999999999" customHeight="1" x14ac:dyDescent="0.5">
      <c r="A97" s="30">
        <v>5</v>
      </c>
      <c r="B97" s="30" t="s">
        <v>43</v>
      </c>
      <c r="C97" s="79" t="s">
        <v>44</v>
      </c>
      <c r="D97" s="47" t="s">
        <v>22</v>
      </c>
      <c r="E97" s="48">
        <v>10</v>
      </c>
      <c r="F97" s="49">
        <v>1000</v>
      </c>
      <c r="G97" s="78">
        <f t="shared" si="14"/>
        <v>10000</v>
      </c>
      <c r="H97" s="21"/>
      <c r="I97" s="28"/>
    </row>
    <row r="98" spans="1:18" s="21" customFormat="1" ht="19.899999999999999" customHeight="1" x14ac:dyDescent="0.5">
      <c r="A98" s="30">
        <v>6</v>
      </c>
      <c r="B98" s="50" t="s">
        <v>23</v>
      </c>
      <c r="C98" s="43" t="s">
        <v>24</v>
      </c>
      <c r="D98" s="47" t="s">
        <v>22</v>
      </c>
      <c r="E98" s="48">
        <v>2</v>
      </c>
      <c r="F98" s="49">
        <v>1000</v>
      </c>
      <c r="G98" s="53">
        <f>SUM(E98*F98)</f>
        <v>2000</v>
      </c>
    </row>
    <row r="99" spans="1:18" s="2" customFormat="1" ht="21.6" customHeight="1" x14ac:dyDescent="0.5">
      <c r="A99" s="30">
        <v>7</v>
      </c>
      <c r="B99" s="31" t="s">
        <v>36</v>
      </c>
      <c r="C99" s="30" t="s">
        <v>35</v>
      </c>
      <c r="D99" s="47" t="s">
        <v>22</v>
      </c>
      <c r="E99" s="48">
        <v>4</v>
      </c>
      <c r="F99" s="49">
        <v>1000</v>
      </c>
      <c r="G99" s="58">
        <f t="shared" ref="G99:G100" si="15">SUM(E99*F99)</f>
        <v>4000</v>
      </c>
      <c r="H99" s="80" t="s">
        <v>60</v>
      </c>
      <c r="K99" s="37"/>
      <c r="L99" s="37"/>
      <c r="M99" s="37"/>
      <c r="N99" s="37"/>
    </row>
    <row r="100" spans="1:18" s="21" customFormat="1" ht="19.899999999999999" customHeight="1" x14ac:dyDescent="0.5">
      <c r="A100" s="30">
        <v>8</v>
      </c>
      <c r="B100" s="51" t="s">
        <v>7</v>
      </c>
      <c r="C100" s="33" t="s">
        <v>29</v>
      </c>
      <c r="D100" s="47" t="s">
        <v>4</v>
      </c>
      <c r="E100" s="48">
        <v>0</v>
      </c>
      <c r="F100" s="52">
        <v>1000</v>
      </c>
      <c r="G100" s="53">
        <f t="shared" si="15"/>
        <v>0</v>
      </c>
    </row>
    <row r="101" spans="1:18" s="21" customFormat="1" ht="19.899999999999999" customHeight="1" x14ac:dyDescent="0.5">
      <c r="A101" s="30">
        <v>9</v>
      </c>
      <c r="B101" s="33" t="s">
        <v>21</v>
      </c>
      <c r="C101" s="33" t="s">
        <v>3</v>
      </c>
      <c r="D101" s="47" t="s">
        <v>9</v>
      </c>
      <c r="E101" s="29">
        <v>1</v>
      </c>
      <c r="F101" s="54">
        <v>8000</v>
      </c>
      <c r="G101" s="53">
        <f>SUM(E101*F101)</f>
        <v>8000</v>
      </c>
    </row>
    <row r="102" spans="1:18" s="21" customFormat="1" ht="19.899999999999999" customHeight="1" x14ac:dyDescent="0.5">
      <c r="A102" s="30">
        <v>10</v>
      </c>
      <c r="B102" s="55" t="s">
        <v>25</v>
      </c>
      <c r="C102" s="56"/>
      <c r="D102" s="47" t="s">
        <v>4</v>
      </c>
      <c r="E102" s="44" t="s">
        <v>26</v>
      </c>
      <c r="F102" s="49" t="s">
        <v>9</v>
      </c>
      <c r="G102" s="57" t="s">
        <v>9</v>
      </c>
    </row>
    <row r="103" spans="1:18" s="2" customFormat="1" ht="21.6" customHeight="1" x14ac:dyDescent="0.2">
      <c r="A103" s="61"/>
      <c r="B103" s="62"/>
      <c r="C103" s="63"/>
      <c r="D103" s="64"/>
      <c r="E103" s="65"/>
      <c r="F103" s="59" t="s">
        <v>32</v>
      </c>
      <c r="G103" s="60">
        <f>SUM(G93:G102)</f>
        <v>31000</v>
      </c>
      <c r="I103" s="21"/>
      <c r="J103" s="21"/>
    </row>
    <row r="104" spans="1:18" s="2" customFormat="1" ht="21.6" customHeight="1" x14ac:dyDescent="0.2">
      <c r="A104" s="65"/>
      <c r="B104" s="62"/>
      <c r="C104" s="63"/>
      <c r="D104" s="64"/>
      <c r="E104" s="65"/>
      <c r="F104" s="65"/>
      <c r="G104" s="65"/>
      <c r="H104" s="65"/>
      <c r="I104" s="21"/>
      <c r="J104" s="21"/>
    </row>
    <row r="105" spans="1:18" customFormat="1" ht="30" customHeight="1" thickBot="1" x14ac:dyDescent="0.55000000000000004">
      <c r="A105" s="34"/>
      <c r="B105" s="35"/>
      <c r="C105" s="35"/>
      <c r="D105" s="35"/>
      <c r="E105" s="36"/>
      <c r="F105" s="37"/>
      <c r="G105" s="37"/>
    </row>
    <row r="106" spans="1:18" s="10" customFormat="1" ht="23.25" x14ac:dyDescent="0.5">
      <c r="A106" s="38"/>
      <c r="B106" s="39"/>
      <c r="C106" s="39"/>
      <c r="D106" s="39"/>
      <c r="E106" s="40"/>
      <c r="F106" s="41"/>
      <c r="G106" s="41"/>
    </row>
    <row r="107" spans="1:18" s="4" customFormat="1" ht="21" x14ac:dyDescent="0.2">
      <c r="A107" s="5"/>
      <c r="B107" s="5"/>
      <c r="C107" s="5"/>
      <c r="D107" s="5"/>
      <c r="E107" s="6"/>
    </row>
    <row r="108" spans="1:18" s="21" customFormat="1" ht="19.899999999999999" customHeight="1" x14ac:dyDescent="0.5">
      <c r="A108" s="45"/>
      <c r="B108" s="84" t="s">
        <v>47</v>
      </c>
      <c r="C108" s="84"/>
      <c r="D108" s="84"/>
      <c r="F108" s="85" t="s">
        <v>6</v>
      </c>
      <c r="G108" s="86"/>
      <c r="I108" s="37"/>
      <c r="L108" s="37"/>
      <c r="M108" s="37"/>
      <c r="N108" s="37"/>
      <c r="O108" s="37"/>
      <c r="P108" s="37"/>
      <c r="Q108" s="37"/>
      <c r="R108" s="37"/>
    </row>
    <row r="109" spans="1:18" s="37" customFormat="1" ht="19.899999999999999" customHeight="1" x14ac:dyDescent="0.5">
      <c r="A109" s="30">
        <v>1</v>
      </c>
      <c r="B109" s="30" t="s">
        <v>17</v>
      </c>
      <c r="C109" s="30" t="s">
        <v>18</v>
      </c>
      <c r="D109" s="47" t="s">
        <v>22</v>
      </c>
      <c r="E109" s="48">
        <v>1</v>
      </c>
      <c r="F109" s="49">
        <v>1000</v>
      </c>
      <c r="G109" s="53">
        <f t="shared" ref="G109:G110" si="16">SUM(E109*F109)</f>
        <v>1000</v>
      </c>
      <c r="H109" s="21"/>
      <c r="I109" s="28"/>
    </row>
    <row r="110" spans="1:18" s="37" customFormat="1" ht="19.899999999999999" customHeight="1" x14ac:dyDescent="0.5">
      <c r="A110" s="30">
        <v>2</v>
      </c>
      <c r="B110" s="30" t="s">
        <v>19</v>
      </c>
      <c r="C110" s="30" t="s">
        <v>20</v>
      </c>
      <c r="D110" s="47" t="s">
        <v>22</v>
      </c>
      <c r="E110" s="48">
        <v>0</v>
      </c>
      <c r="F110" s="49">
        <v>1000</v>
      </c>
      <c r="G110" s="53">
        <f t="shared" si="16"/>
        <v>0</v>
      </c>
      <c r="H110" s="21"/>
      <c r="I110" s="28"/>
    </row>
    <row r="111" spans="1:18" s="37" customFormat="1" ht="19.899999999999999" customHeight="1" x14ac:dyDescent="0.5">
      <c r="A111" s="30">
        <v>3</v>
      </c>
      <c r="B111" s="30" t="s">
        <v>27</v>
      </c>
      <c r="C111" s="46" t="s">
        <v>28</v>
      </c>
      <c r="D111" s="47" t="s">
        <v>22</v>
      </c>
      <c r="E111" s="48">
        <v>0</v>
      </c>
      <c r="F111" s="49">
        <v>1000</v>
      </c>
      <c r="G111" s="78">
        <f>SUM(E111*F111)</f>
        <v>0</v>
      </c>
      <c r="H111" s="21"/>
      <c r="I111" s="28"/>
    </row>
    <row r="112" spans="1:18" s="37" customFormat="1" ht="19.899999999999999" customHeight="1" x14ac:dyDescent="0.5">
      <c r="A112" s="30">
        <v>4</v>
      </c>
      <c r="B112" s="30" t="s">
        <v>41</v>
      </c>
      <c r="C112" s="79" t="s">
        <v>42</v>
      </c>
      <c r="D112" s="47" t="s">
        <v>22</v>
      </c>
      <c r="E112" s="48">
        <v>0</v>
      </c>
      <c r="F112" s="49">
        <v>1000</v>
      </c>
      <c r="G112" s="78">
        <f t="shared" ref="G112:G113" si="17">SUM(E112*F112)</f>
        <v>0</v>
      </c>
      <c r="H112" s="21"/>
      <c r="I112" s="28"/>
    </row>
    <row r="113" spans="1:18" s="37" customFormat="1" ht="19.899999999999999" customHeight="1" x14ac:dyDescent="0.5">
      <c r="A113" s="30">
        <v>5</v>
      </c>
      <c r="B113" s="30" t="s">
        <v>43</v>
      </c>
      <c r="C113" s="79" t="s">
        <v>44</v>
      </c>
      <c r="D113" s="47" t="s">
        <v>22</v>
      </c>
      <c r="E113" s="48">
        <v>0</v>
      </c>
      <c r="F113" s="49">
        <v>1000</v>
      </c>
      <c r="G113" s="78">
        <f t="shared" si="17"/>
        <v>0</v>
      </c>
      <c r="H113" s="21"/>
      <c r="I113" s="28"/>
    </row>
    <row r="114" spans="1:18" s="21" customFormat="1" ht="19.899999999999999" customHeight="1" x14ac:dyDescent="0.5">
      <c r="A114" s="30">
        <v>6</v>
      </c>
      <c r="B114" s="50" t="s">
        <v>23</v>
      </c>
      <c r="C114" s="43" t="s">
        <v>24</v>
      </c>
      <c r="D114" s="47" t="s">
        <v>22</v>
      </c>
      <c r="E114" s="48">
        <v>0</v>
      </c>
      <c r="F114" s="49">
        <v>1000</v>
      </c>
      <c r="G114" s="53">
        <f>SUM(E114*F114)</f>
        <v>0</v>
      </c>
    </row>
    <row r="115" spans="1:18" s="2" customFormat="1" ht="21.6" customHeight="1" x14ac:dyDescent="0.5">
      <c r="A115" s="30">
        <v>7</v>
      </c>
      <c r="B115" s="31" t="s">
        <v>36</v>
      </c>
      <c r="C115" s="30" t="s">
        <v>35</v>
      </c>
      <c r="D115" s="47" t="s">
        <v>22</v>
      </c>
      <c r="E115" s="48">
        <v>1</v>
      </c>
      <c r="F115" s="49">
        <v>1000</v>
      </c>
      <c r="G115" s="58">
        <f t="shared" ref="G115:G116" si="18">SUM(E115*F115)</f>
        <v>1000</v>
      </c>
      <c r="K115" s="37"/>
      <c r="L115" s="37"/>
      <c r="M115" s="37"/>
      <c r="N115" s="37"/>
    </row>
    <row r="116" spans="1:18" s="21" customFormat="1" ht="19.899999999999999" customHeight="1" x14ac:dyDescent="0.5">
      <c r="A116" s="30">
        <v>8</v>
      </c>
      <c r="B116" s="51" t="s">
        <v>7</v>
      </c>
      <c r="C116" s="33" t="s">
        <v>29</v>
      </c>
      <c r="D116" s="47" t="s">
        <v>4</v>
      </c>
      <c r="E116" s="48">
        <v>0</v>
      </c>
      <c r="F116" s="52">
        <v>1000</v>
      </c>
      <c r="G116" s="53">
        <f t="shared" si="18"/>
        <v>0</v>
      </c>
    </row>
    <row r="117" spans="1:18" s="21" customFormat="1" ht="19.899999999999999" customHeight="1" x14ac:dyDescent="0.5">
      <c r="A117" s="30">
        <v>9</v>
      </c>
      <c r="B117" s="33" t="s">
        <v>21</v>
      </c>
      <c r="C117" s="33" t="s">
        <v>3</v>
      </c>
      <c r="D117" s="47" t="s">
        <v>9</v>
      </c>
      <c r="E117" s="29">
        <v>1</v>
      </c>
      <c r="F117" s="54">
        <v>8000</v>
      </c>
      <c r="G117" s="53">
        <f>SUM(E117*F117)</f>
        <v>8000</v>
      </c>
    </row>
    <row r="118" spans="1:18" s="21" customFormat="1" ht="19.899999999999999" customHeight="1" x14ac:dyDescent="0.5">
      <c r="A118" s="30">
        <v>10</v>
      </c>
      <c r="B118" s="55" t="s">
        <v>25</v>
      </c>
      <c r="C118" s="56"/>
      <c r="D118" s="47" t="s">
        <v>4</v>
      </c>
      <c r="E118" s="44" t="s">
        <v>26</v>
      </c>
      <c r="F118" s="49" t="s">
        <v>9</v>
      </c>
      <c r="G118" s="57" t="s">
        <v>9</v>
      </c>
    </row>
    <row r="119" spans="1:18" s="2" customFormat="1" ht="21.6" customHeight="1" x14ac:dyDescent="0.2">
      <c r="A119" s="61"/>
      <c r="B119" s="62"/>
      <c r="C119" s="63"/>
      <c r="D119" s="64"/>
      <c r="E119" s="65"/>
      <c r="F119" s="59" t="s">
        <v>32</v>
      </c>
      <c r="G119" s="60">
        <f>SUM(G109:G118)</f>
        <v>10000</v>
      </c>
      <c r="I119" s="21"/>
      <c r="J119" s="21"/>
    </row>
    <row r="120" spans="1:18" s="2" customFormat="1" ht="21.6" customHeight="1" x14ac:dyDescent="0.2">
      <c r="A120" s="65"/>
      <c r="B120" s="62"/>
      <c r="C120" s="63"/>
      <c r="D120" s="64"/>
      <c r="E120" s="65"/>
      <c r="F120" s="65"/>
      <c r="G120" s="65"/>
      <c r="H120" s="65"/>
      <c r="I120" s="21"/>
      <c r="J120" s="21"/>
    </row>
    <row r="121" spans="1:18" customFormat="1" ht="30" customHeight="1" thickBot="1" x14ac:dyDescent="0.55000000000000004">
      <c r="A121" s="34"/>
      <c r="B121" s="35"/>
      <c r="C121" s="35"/>
      <c r="D121" s="35"/>
      <c r="E121" s="36"/>
      <c r="F121" s="37"/>
      <c r="G121" s="37"/>
    </row>
    <row r="122" spans="1:18" s="10" customFormat="1" ht="23.25" x14ac:dyDescent="0.5">
      <c r="A122" s="38"/>
      <c r="B122" s="39"/>
      <c r="C122" s="39"/>
      <c r="D122" s="39"/>
      <c r="E122" s="40"/>
      <c r="F122" s="41"/>
      <c r="G122" s="41"/>
    </row>
    <row r="123" spans="1:18" s="21" customFormat="1" ht="19.899999999999999" customHeight="1" x14ac:dyDescent="0.5">
      <c r="A123" s="45"/>
      <c r="B123" s="84" t="s">
        <v>62</v>
      </c>
      <c r="C123" s="84"/>
      <c r="D123" s="84"/>
      <c r="F123" s="85" t="s">
        <v>6</v>
      </c>
      <c r="G123" s="86"/>
      <c r="I123" s="37"/>
      <c r="L123" s="37"/>
      <c r="M123" s="37"/>
      <c r="N123" s="37"/>
      <c r="O123" s="37"/>
      <c r="P123" s="37"/>
      <c r="Q123" s="37"/>
      <c r="R123" s="37"/>
    </row>
    <row r="124" spans="1:18" s="37" customFormat="1" ht="19.899999999999999" customHeight="1" x14ac:dyDescent="0.5">
      <c r="A124" s="30">
        <v>1</v>
      </c>
      <c r="B124" s="30" t="s">
        <v>17</v>
      </c>
      <c r="C124" s="30" t="s">
        <v>18</v>
      </c>
      <c r="D124" s="47" t="s">
        <v>22</v>
      </c>
      <c r="E124" s="48">
        <v>1</v>
      </c>
      <c r="F124" s="49">
        <v>1000</v>
      </c>
      <c r="G124" s="53">
        <f t="shared" ref="G124:G125" si="19">SUM(E124*F124)</f>
        <v>1000</v>
      </c>
      <c r="H124" s="21"/>
      <c r="I124" s="28"/>
    </row>
    <row r="125" spans="1:18" s="37" customFormat="1" ht="19.899999999999999" customHeight="1" x14ac:dyDescent="0.5">
      <c r="A125" s="30">
        <v>2</v>
      </c>
      <c r="B125" s="30" t="s">
        <v>19</v>
      </c>
      <c r="C125" s="30" t="s">
        <v>20</v>
      </c>
      <c r="D125" s="47" t="s">
        <v>22</v>
      </c>
      <c r="E125" s="48">
        <v>0</v>
      </c>
      <c r="F125" s="49">
        <v>1000</v>
      </c>
      <c r="G125" s="53">
        <f t="shared" si="19"/>
        <v>0</v>
      </c>
      <c r="H125" s="21"/>
      <c r="I125" s="28"/>
    </row>
    <row r="126" spans="1:18" s="37" customFormat="1" ht="19.899999999999999" customHeight="1" x14ac:dyDescent="0.5">
      <c r="A126" s="30">
        <v>3</v>
      </c>
      <c r="B126" s="30" t="s">
        <v>27</v>
      </c>
      <c r="C126" s="46" t="s">
        <v>28</v>
      </c>
      <c r="D126" s="47" t="s">
        <v>22</v>
      </c>
      <c r="E126" s="48">
        <v>0</v>
      </c>
      <c r="F126" s="49">
        <v>1000</v>
      </c>
      <c r="G126" s="78">
        <f>SUM(E126*F126)</f>
        <v>0</v>
      </c>
      <c r="H126" s="21"/>
      <c r="I126" s="28"/>
    </row>
    <row r="127" spans="1:18" s="37" customFormat="1" ht="19.899999999999999" customHeight="1" x14ac:dyDescent="0.5">
      <c r="A127" s="30">
        <v>4</v>
      </c>
      <c r="B127" s="30" t="s">
        <v>41</v>
      </c>
      <c r="C127" s="79" t="s">
        <v>42</v>
      </c>
      <c r="D127" s="47" t="s">
        <v>22</v>
      </c>
      <c r="E127" s="48">
        <v>4</v>
      </c>
      <c r="F127" s="49">
        <v>1000</v>
      </c>
      <c r="G127" s="78">
        <f t="shared" ref="G127:G128" si="20">SUM(E127*F127)</f>
        <v>4000</v>
      </c>
      <c r="H127" s="21"/>
      <c r="I127" s="28"/>
    </row>
    <row r="128" spans="1:18" s="37" customFormat="1" ht="19.899999999999999" customHeight="1" x14ac:dyDescent="0.5">
      <c r="A128" s="30">
        <v>5</v>
      </c>
      <c r="B128" s="30" t="s">
        <v>43</v>
      </c>
      <c r="C128" s="79" t="s">
        <v>44</v>
      </c>
      <c r="D128" s="47" t="s">
        <v>22</v>
      </c>
      <c r="E128" s="48">
        <v>7</v>
      </c>
      <c r="F128" s="49">
        <v>1000</v>
      </c>
      <c r="G128" s="78">
        <f t="shared" si="20"/>
        <v>7000</v>
      </c>
      <c r="H128" s="21"/>
      <c r="I128" s="28"/>
    </row>
    <row r="129" spans="1:18" s="21" customFormat="1" ht="19.899999999999999" customHeight="1" x14ac:dyDescent="0.5">
      <c r="A129" s="30">
        <v>6</v>
      </c>
      <c r="B129" s="50" t="s">
        <v>23</v>
      </c>
      <c r="C129" s="43" t="s">
        <v>24</v>
      </c>
      <c r="D129" s="47" t="s">
        <v>22</v>
      </c>
      <c r="E129" s="48">
        <v>1</v>
      </c>
      <c r="F129" s="49">
        <v>1000</v>
      </c>
      <c r="G129" s="53">
        <f>SUM(E129*F129)</f>
        <v>1000</v>
      </c>
    </row>
    <row r="130" spans="1:18" s="2" customFormat="1" ht="21.6" customHeight="1" x14ac:dyDescent="0.5">
      <c r="A130" s="30">
        <v>7</v>
      </c>
      <c r="B130" s="31" t="s">
        <v>36</v>
      </c>
      <c r="C130" s="30" t="s">
        <v>35</v>
      </c>
      <c r="D130" s="47" t="s">
        <v>22</v>
      </c>
      <c r="E130" s="48">
        <v>5</v>
      </c>
      <c r="F130" s="49">
        <v>1000</v>
      </c>
      <c r="G130" s="58">
        <f t="shared" ref="G130:G131" si="21">SUM(E130*F130)</f>
        <v>5000</v>
      </c>
      <c r="H130" s="80" t="s">
        <v>57</v>
      </c>
      <c r="K130" s="37"/>
      <c r="L130" s="37"/>
      <c r="M130" s="37"/>
      <c r="N130" s="37"/>
    </row>
    <row r="131" spans="1:18" s="21" customFormat="1" ht="19.899999999999999" customHeight="1" x14ac:dyDescent="0.5">
      <c r="A131" s="30">
        <v>8</v>
      </c>
      <c r="B131" s="51" t="s">
        <v>7</v>
      </c>
      <c r="C131" s="33" t="s">
        <v>29</v>
      </c>
      <c r="D131" s="47" t="s">
        <v>4</v>
      </c>
      <c r="E131" s="48">
        <v>2</v>
      </c>
      <c r="F131" s="52">
        <v>1000</v>
      </c>
      <c r="G131" s="53">
        <f t="shared" si="21"/>
        <v>2000</v>
      </c>
    </row>
    <row r="132" spans="1:18" s="21" customFormat="1" ht="19.899999999999999" customHeight="1" x14ac:dyDescent="0.5">
      <c r="A132" s="30">
        <v>9</v>
      </c>
      <c r="B132" s="33" t="s">
        <v>21</v>
      </c>
      <c r="C132" s="33" t="s">
        <v>3</v>
      </c>
      <c r="D132" s="47" t="s">
        <v>9</v>
      </c>
      <c r="E132" s="29">
        <v>1</v>
      </c>
      <c r="F132" s="54">
        <v>8000</v>
      </c>
      <c r="G132" s="53">
        <f>SUM(E132*F132)</f>
        <v>8000</v>
      </c>
    </row>
    <row r="133" spans="1:18" s="21" customFormat="1" ht="19.899999999999999" customHeight="1" x14ac:dyDescent="0.5">
      <c r="A133" s="30">
        <v>10</v>
      </c>
      <c r="B133" s="55" t="s">
        <v>25</v>
      </c>
      <c r="C133" s="56"/>
      <c r="D133" s="47" t="s">
        <v>4</v>
      </c>
      <c r="E133" s="44" t="s">
        <v>26</v>
      </c>
      <c r="F133" s="49" t="s">
        <v>9</v>
      </c>
      <c r="G133" s="57" t="s">
        <v>9</v>
      </c>
    </row>
    <row r="134" spans="1:18" s="2" customFormat="1" ht="21.6" customHeight="1" x14ac:dyDescent="0.2">
      <c r="A134" s="61"/>
      <c r="B134" s="62"/>
      <c r="C134" s="63"/>
      <c r="D134" s="64"/>
      <c r="E134" s="65"/>
      <c r="F134" s="59" t="s">
        <v>32</v>
      </c>
      <c r="G134" s="60">
        <f>SUM(G124:G133)</f>
        <v>28000</v>
      </c>
      <c r="I134" s="21"/>
      <c r="J134" s="21"/>
    </row>
    <row r="135" spans="1:18" s="2" customFormat="1" ht="21.6" customHeight="1" x14ac:dyDescent="0.2">
      <c r="A135" s="65"/>
      <c r="B135" s="62"/>
      <c r="C135" s="63"/>
      <c r="D135" s="64"/>
      <c r="E135" s="65"/>
      <c r="F135" s="65"/>
      <c r="G135" s="65"/>
      <c r="H135" s="65"/>
      <c r="I135" s="21"/>
      <c r="J135" s="21"/>
    </row>
    <row r="136" spans="1:18" customFormat="1" ht="30" customHeight="1" thickBot="1" x14ac:dyDescent="0.55000000000000004">
      <c r="A136" s="34"/>
      <c r="B136" s="35"/>
      <c r="C136" s="35"/>
      <c r="D136" s="35"/>
      <c r="E136" s="36"/>
      <c r="F136" s="37"/>
      <c r="G136" s="37"/>
    </row>
    <row r="137" spans="1:18" s="10" customFormat="1" ht="23.25" x14ac:dyDescent="0.5">
      <c r="A137" s="38"/>
      <c r="B137" s="39"/>
      <c r="C137" s="39"/>
      <c r="D137" s="39"/>
      <c r="E137" s="40"/>
      <c r="F137" s="41"/>
      <c r="G137" s="41"/>
    </row>
    <row r="138" spans="1:18" s="21" customFormat="1" ht="19.899999999999999" customHeight="1" x14ac:dyDescent="0.5">
      <c r="A138" s="45"/>
      <c r="B138" s="84" t="s">
        <v>63</v>
      </c>
      <c r="C138" s="84"/>
      <c r="D138" s="84"/>
      <c r="F138" s="85" t="s">
        <v>6</v>
      </c>
      <c r="G138" s="86"/>
      <c r="I138" s="37"/>
      <c r="L138" s="37"/>
      <c r="M138" s="37"/>
      <c r="N138" s="37"/>
      <c r="O138" s="37"/>
      <c r="P138" s="37"/>
      <c r="Q138" s="37"/>
      <c r="R138" s="37"/>
    </row>
    <row r="139" spans="1:18" s="37" customFormat="1" ht="19.899999999999999" customHeight="1" x14ac:dyDescent="0.5">
      <c r="A139" s="30">
        <v>1</v>
      </c>
      <c r="B139" s="30" t="s">
        <v>17</v>
      </c>
      <c r="C139" s="30" t="s">
        <v>18</v>
      </c>
      <c r="D139" s="47" t="s">
        <v>22</v>
      </c>
      <c r="E139" s="48">
        <v>1</v>
      </c>
      <c r="F139" s="49">
        <v>1000</v>
      </c>
      <c r="G139" s="53">
        <f t="shared" ref="G139:G140" si="22">SUM(E139*F139)</f>
        <v>1000</v>
      </c>
      <c r="H139" s="21"/>
      <c r="I139" s="28"/>
    </row>
    <row r="140" spans="1:18" s="37" customFormat="1" ht="19.899999999999999" customHeight="1" x14ac:dyDescent="0.5">
      <c r="A140" s="30">
        <v>2</v>
      </c>
      <c r="B140" s="30" t="s">
        <v>19</v>
      </c>
      <c r="C140" s="30" t="s">
        <v>20</v>
      </c>
      <c r="D140" s="47" t="s">
        <v>22</v>
      </c>
      <c r="E140" s="48">
        <v>0</v>
      </c>
      <c r="F140" s="49">
        <v>1000</v>
      </c>
      <c r="G140" s="53">
        <f t="shared" si="22"/>
        <v>0</v>
      </c>
      <c r="H140" s="21"/>
      <c r="I140" s="28"/>
    </row>
    <row r="141" spans="1:18" s="37" customFormat="1" ht="19.899999999999999" customHeight="1" x14ac:dyDescent="0.5">
      <c r="A141" s="30">
        <v>3</v>
      </c>
      <c r="B141" s="30" t="s">
        <v>27</v>
      </c>
      <c r="C141" s="46" t="s">
        <v>28</v>
      </c>
      <c r="D141" s="47" t="s">
        <v>22</v>
      </c>
      <c r="E141" s="48">
        <v>0</v>
      </c>
      <c r="F141" s="49">
        <v>1000</v>
      </c>
      <c r="G141" s="78">
        <f>SUM(E141*F141)</f>
        <v>0</v>
      </c>
      <c r="H141" s="21"/>
      <c r="I141" s="28"/>
    </row>
    <row r="142" spans="1:18" s="37" customFormat="1" ht="19.899999999999999" customHeight="1" x14ac:dyDescent="0.5">
      <c r="A142" s="30">
        <v>4</v>
      </c>
      <c r="B142" s="30" t="s">
        <v>41</v>
      </c>
      <c r="C142" s="79" t="s">
        <v>42</v>
      </c>
      <c r="D142" s="47" t="s">
        <v>22</v>
      </c>
      <c r="E142" s="48">
        <v>4</v>
      </c>
      <c r="F142" s="49">
        <v>1000</v>
      </c>
      <c r="G142" s="78">
        <f t="shared" ref="G142:G143" si="23">SUM(E142*F142)</f>
        <v>4000</v>
      </c>
      <c r="H142" s="21"/>
      <c r="I142" s="28"/>
    </row>
    <row r="143" spans="1:18" s="37" customFormat="1" ht="19.899999999999999" customHeight="1" x14ac:dyDescent="0.5">
      <c r="A143" s="30">
        <v>5</v>
      </c>
      <c r="B143" s="30" t="s">
        <v>43</v>
      </c>
      <c r="C143" s="79" t="s">
        <v>44</v>
      </c>
      <c r="D143" s="47" t="s">
        <v>22</v>
      </c>
      <c r="E143" s="48">
        <v>7</v>
      </c>
      <c r="F143" s="49">
        <v>1000</v>
      </c>
      <c r="G143" s="78">
        <f t="shared" si="23"/>
        <v>7000</v>
      </c>
      <c r="H143" s="21"/>
      <c r="I143" s="28"/>
    </row>
    <row r="144" spans="1:18" s="21" customFormat="1" ht="19.899999999999999" customHeight="1" x14ac:dyDescent="0.5">
      <c r="A144" s="30">
        <v>6</v>
      </c>
      <c r="B144" s="50" t="s">
        <v>23</v>
      </c>
      <c r="C144" s="43" t="s">
        <v>24</v>
      </c>
      <c r="D144" s="47" t="s">
        <v>22</v>
      </c>
      <c r="E144" s="48">
        <v>1</v>
      </c>
      <c r="F144" s="49">
        <v>1000</v>
      </c>
      <c r="G144" s="53">
        <f>SUM(E144*F144)</f>
        <v>1000</v>
      </c>
    </row>
    <row r="145" spans="1:18" s="2" customFormat="1" ht="21.6" customHeight="1" x14ac:dyDescent="0.5">
      <c r="A145" s="30">
        <v>7</v>
      </c>
      <c r="B145" s="31" t="s">
        <v>36</v>
      </c>
      <c r="C145" s="30" t="s">
        <v>35</v>
      </c>
      <c r="D145" s="47" t="s">
        <v>22</v>
      </c>
      <c r="E145" s="48">
        <v>5</v>
      </c>
      <c r="F145" s="49">
        <v>1000</v>
      </c>
      <c r="G145" s="58">
        <f t="shared" ref="G145" si="24">SUM(E145*F145)</f>
        <v>5000</v>
      </c>
      <c r="H145" s="80" t="s">
        <v>57</v>
      </c>
      <c r="K145" s="37"/>
      <c r="L145" s="37"/>
      <c r="M145" s="37"/>
      <c r="N145" s="37"/>
    </row>
    <row r="146" spans="1:18" s="21" customFormat="1" ht="19.899999999999999" customHeight="1" x14ac:dyDescent="0.5">
      <c r="A146" s="30">
        <v>8</v>
      </c>
      <c r="B146" s="51" t="s">
        <v>7</v>
      </c>
      <c r="C146" s="33" t="s">
        <v>29</v>
      </c>
      <c r="D146" s="47" t="s">
        <v>4</v>
      </c>
      <c r="E146" s="48">
        <v>2</v>
      </c>
      <c r="F146" s="52">
        <v>1000</v>
      </c>
      <c r="G146" s="53">
        <f t="shared" ref="G146" si="25">SUM(E146*F146)</f>
        <v>2000</v>
      </c>
    </row>
    <row r="147" spans="1:18" s="21" customFormat="1" ht="19.899999999999999" customHeight="1" x14ac:dyDescent="0.5">
      <c r="A147" s="30">
        <v>9</v>
      </c>
      <c r="B147" s="33" t="s">
        <v>21</v>
      </c>
      <c r="C147" s="33" t="s">
        <v>3</v>
      </c>
      <c r="D147" s="47" t="s">
        <v>9</v>
      </c>
      <c r="E147" s="29">
        <v>1</v>
      </c>
      <c r="F147" s="54">
        <v>8000</v>
      </c>
      <c r="G147" s="53">
        <f>SUM(E147*F147)</f>
        <v>8000</v>
      </c>
    </row>
    <row r="148" spans="1:18" s="21" customFormat="1" ht="19.899999999999999" customHeight="1" x14ac:dyDescent="0.5">
      <c r="A148" s="30">
        <v>10</v>
      </c>
      <c r="B148" s="55" t="s">
        <v>25</v>
      </c>
      <c r="C148" s="56"/>
      <c r="D148" s="47" t="s">
        <v>4</v>
      </c>
      <c r="E148" s="44" t="s">
        <v>26</v>
      </c>
      <c r="F148" s="49" t="s">
        <v>9</v>
      </c>
      <c r="G148" s="57" t="s">
        <v>9</v>
      </c>
    </row>
    <row r="149" spans="1:18" s="2" customFormat="1" ht="21.6" customHeight="1" x14ac:dyDescent="0.2">
      <c r="A149" s="61"/>
      <c r="B149" s="62"/>
      <c r="C149" s="63"/>
      <c r="D149" s="64"/>
      <c r="E149" s="65"/>
      <c r="F149" s="59" t="s">
        <v>32</v>
      </c>
      <c r="G149" s="60">
        <f>SUM(G139:G148)</f>
        <v>28000</v>
      </c>
      <c r="I149" s="21"/>
      <c r="J149" s="21"/>
    </row>
    <row r="150" spans="1:18" s="2" customFormat="1" ht="21.6" customHeight="1" x14ac:dyDescent="0.2">
      <c r="A150" s="65"/>
      <c r="B150" s="62"/>
      <c r="C150" s="63"/>
      <c r="D150" s="64"/>
      <c r="E150" s="65"/>
      <c r="F150" s="65"/>
      <c r="G150" s="65"/>
      <c r="H150" s="65"/>
      <c r="I150" s="21"/>
      <c r="J150" s="21"/>
    </row>
    <row r="151" spans="1:18" customFormat="1" ht="30" customHeight="1" thickBot="1" x14ac:dyDescent="0.55000000000000004">
      <c r="A151" s="34"/>
      <c r="B151" s="35"/>
      <c r="C151" s="35"/>
      <c r="D151" s="35"/>
      <c r="E151" s="36"/>
      <c r="F151" s="37"/>
      <c r="G151" s="37"/>
    </row>
    <row r="152" spans="1:18" s="10" customFormat="1" ht="23.25" x14ac:dyDescent="0.5">
      <c r="A152" s="38"/>
      <c r="B152" s="39"/>
      <c r="C152" s="39"/>
      <c r="D152" s="39"/>
      <c r="E152" s="40"/>
      <c r="F152" s="41"/>
      <c r="G152" s="41"/>
    </row>
    <row r="153" spans="1:18" s="21" customFormat="1" ht="19.899999999999999" customHeight="1" x14ac:dyDescent="0.5">
      <c r="A153" s="45"/>
      <c r="B153" s="84" t="s">
        <v>64</v>
      </c>
      <c r="C153" s="84"/>
      <c r="D153" s="84"/>
      <c r="F153" s="85" t="s">
        <v>6</v>
      </c>
      <c r="G153" s="86"/>
      <c r="I153" s="37"/>
      <c r="L153" s="37"/>
      <c r="M153" s="37"/>
      <c r="N153" s="37"/>
      <c r="O153" s="37"/>
      <c r="P153" s="37"/>
      <c r="Q153" s="37"/>
      <c r="R153" s="37"/>
    </row>
    <row r="154" spans="1:18" s="37" customFormat="1" ht="19.899999999999999" customHeight="1" x14ac:dyDescent="0.5">
      <c r="A154" s="30">
        <v>1</v>
      </c>
      <c r="B154" s="30" t="s">
        <v>17</v>
      </c>
      <c r="C154" s="30" t="s">
        <v>18</v>
      </c>
      <c r="D154" s="47" t="s">
        <v>22</v>
      </c>
      <c r="E154" s="48">
        <v>1</v>
      </c>
      <c r="F154" s="49">
        <v>1000</v>
      </c>
      <c r="G154" s="53">
        <f t="shared" ref="G154:G155" si="26">SUM(E154*F154)</f>
        <v>1000</v>
      </c>
      <c r="H154" s="21"/>
      <c r="I154" s="28"/>
    </row>
    <row r="155" spans="1:18" s="37" customFormat="1" ht="19.899999999999999" customHeight="1" x14ac:dyDescent="0.5">
      <c r="A155" s="30">
        <v>2</v>
      </c>
      <c r="B155" s="30" t="s">
        <v>19</v>
      </c>
      <c r="C155" s="30" t="s">
        <v>20</v>
      </c>
      <c r="D155" s="47" t="s">
        <v>22</v>
      </c>
      <c r="E155" s="48">
        <v>0</v>
      </c>
      <c r="F155" s="49">
        <v>1000</v>
      </c>
      <c r="G155" s="53">
        <f t="shared" si="26"/>
        <v>0</v>
      </c>
      <c r="H155" s="21"/>
      <c r="I155" s="28"/>
    </row>
    <row r="156" spans="1:18" s="37" customFormat="1" ht="19.899999999999999" customHeight="1" x14ac:dyDescent="0.5">
      <c r="A156" s="30">
        <v>3</v>
      </c>
      <c r="B156" s="30" t="s">
        <v>27</v>
      </c>
      <c r="C156" s="46" t="s">
        <v>28</v>
      </c>
      <c r="D156" s="47" t="s">
        <v>22</v>
      </c>
      <c r="E156" s="48">
        <v>0</v>
      </c>
      <c r="F156" s="49">
        <v>1000</v>
      </c>
      <c r="G156" s="78">
        <f>SUM(E156*F156)</f>
        <v>0</v>
      </c>
      <c r="H156" s="21"/>
      <c r="I156" s="28"/>
    </row>
    <row r="157" spans="1:18" s="37" customFormat="1" ht="19.899999999999999" customHeight="1" x14ac:dyDescent="0.5">
      <c r="A157" s="30">
        <v>4</v>
      </c>
      <c r="B157" s="30" t="s">
        <v>41</v>
      </c>
      <c r="C157" s="79" t="s">
        <v>42</v>
      </c>
      <c r="D157" s="47" t="s">
        <v>22</v>
      </c>
      <c r="E157" s="48">
        <v>4</v>
      </c>
      <c r="F157" s="49">
        <v>1000</v>
      </c>
      <c r="G157" s="78">
        <f t="shared" ref="G157:G158" si="27">SUM(E157*F157)</f>
        <v>4000</v>
      </c>
      <c r="H157" s="21"/>
      <c r="I157" s="28"/>
    </row>
    <row r="158" spans="1:18" s="37" customFormat="1" ht="19.899999999999999" customHeight="1" x14ac:dyDescent="0.5">
      <c r="A158" s="30">
        <v>5</v>
      </c>
      <c r="B158" s="30" t="s">
        <v>43</v>
      </c>
      <c r="C158" s="79" t="s">
        <v>44</v>
      </c>
      <c r="D158" s="47" t="s">
        <v>22</v>
      </c>
      <c r="E158" s="48">
        <v>7</v>
      </c>
      <c r="F158" s="49">
        <v>1000</v>
      </c>
      <c r="G158" s="78">
        <f t="shared" si="27"/>
        <v>7000</v>
      </c>
      <c r="H158" s="21"/>
      <c r="I158" s="28"/>
    </row>
    <row r="159" spans="1:18" s="21" customFormat="1" ht="19.899999999999999" customHeight="1" x14ac:dyDescent="0.5">
      <c r="A159" s="30">
        <v>6</v>
      </c>
      <c r="B159" s="50" t="s">
        <v>23</v>
      </c>
      <c r="C159" s="43" t="s">
        <v>24</v>
      </c>
      <c r="D159" s="47" t="s">
        <v>22</v>
      </c>
      <c r="E159" s="48">
        <v>1</v>
      </c>
      <c r="F159" s="49">
        <v>1000</v>
      </c>
      <c r="G159" s="53">
        <f>SUM(E159*F159)</f>
        <v>1000</v>
      </c>
    </row>
    <row r="160" spans="1:18" s="2" customFormat="1" ht="21.6" customHeight="1" x14ac:dyDescent="0.5">
      <c r="A160" s="30">
        <v>7</v>
      </c>
      <c r="B160" s="31" t="s">
        <v>36</v>
      </c>
      <c r="C160" s="30" t="s">
        <v>35</v>
      </c>
      <c r="D160" s="47" t="s">
        <v>22</v>
      </c>
      <c r="E160" s="48">
        <v>5</v>
      </c>
      <c r="F160" s="49">
        <v>1000</v>
      </c>
      <c r="G160" s="58">
        <f t="shared" ref="G160:G161" si="28">SUM(E160*F160)</f>
        <v>5000</v>
      </c>
      <c r="H160" s="80" t="s">
        <v>57</v>
      </c>
      <c r="K160" s="37"/>
      <c r="L160" s="37"/>
      <c r="M160" s="37"/>
      <c r="N160" s="37"/>
    </row>
    <row r="161" spans="1:18" s="21" customFormat="1" ht="19.899999999999999" customHeight="1" x14ac:dyDescent="0.5">
      <c r="A161" s="30">
        <v>8</v>
      </c>
      <c r="B161" s="51" t="s">
        <v>7</v>
      </c>
      <c r="C161" s="33" t="s">
        <v>29</v>
      </c>
      <c r="D161" s="47" t="s">
        <v>4</v>
      </c>
      <c r="E161" s="48">
        <v>2</v>
      </c>
      <c r="F161" s="52">
        <v>1000</v>
      </c>
      <c r="G161" s="53">
        <f t="shared" si="28"/>
        <v>2000</v>
      </c>
    </row>
    <row r="162" spans="1:18" s="21" customFormat="1" ht="19.899999999999999" customHeight="1" x14ac:dyDescent="0.5">
      <c r="A162" s="30">
        <v>9</v>
      </c>
      <c r="B162" s="33" t="s">
        <v>21</v>
      </c>
      <c r="C162" s="33" t="s">
        <v>3</v>
      </c>
      <c r="D162" s="47" t="s">
        <v>9</v>
      </c>
      <c r="E162" s="29">
        <v>1</v>
      </c>
      <c r="F162" s="54">
        <v>8000</v>
      </c>
      <c r="G162" s="53">
        <f>SUM(E162*F162)</f>
        <v>8000</v>
      </c>
    </row>
    <row r="163" spans="1:18" s="21" customFormat="1" ht="19.899999999999999" customHeight="1" x14ac:dyDescent="0.5">
      <c r="A163" s="30">
        <v>10</v>
      </c>
      <c r="B163" s="55" t="s">
        <v>25</v>
      </c>
      <c r="C163" s="56"/>
      <c r="D163" s="47" t="s">
        <v>4</v>
      </c>
      <c r="E163" s="44" t="s">
        <v>26</v>
      </c>
      <c r="F163" s="49" t="s">
        <v>9</v>
      </c>
      <c r="G163" s="57" t="s">
        <v>9</v>
      </c>
    </row>
    <row r="164" spans="1:18" s="2" customFormat="1" ht="21.6" customHeight="1" x14ac:dyDescent="0.2">
      <c r="A164" s="61"/>
      <c r="B164" s="62"/>
      <c r="C164" s="63"/>
      <c r="D164" s="64"/>
      <c r="E164" s="65"/>
      <c r="F164" s="59" t="s">
        <v>32</v>
      </c>
      <c r="G164" s="60">
        <f>SUM(G154:G163)</f>
        <v>28000</v>
      </c>
      <c r="I164" s="21"/>
      <c r="J164" s="21"/>
    </row>
    <row r="165" spans="1:18" s="2" customFormat="1" ht="21.6" customHeight="1" x14ac:dyDescent="0.2">
      <c r="A165" s="65"/>
      <c r="B165" s="62"/>
      <c r="C165" s="63"/>
      <c r="D165" s="64"/>
      <c r="E165" s="65"/>
      <c r="F165" s="65"/>
      <c r="G165" s="65"/>
      <c r="H165" s="65"/>
      <c r="I165" s="21"/>
      <c r="J165" s="21"/>
    </row>
    <row r="166" spans="1:18" customFormat="1" ht="30" customHeight="1" thickBot="1" x14ac:dyDescent="0.55000000000000004">
      <c r="A166" s="34"/>
      <c r="B166" s="35"/>
      <c r="C166" s="35"/>
      <c r="D166" s="35"/>
      <c r="E166" s="36"/>
      <c r="F166" s="37"/>
      <c r="G166" s="37"/>
    </row>
    <row r="167" spans="1:18" s="10" customFormat="1" ht="23.25" x14ac:dyDescent="0.5">
      <c r="A167" s="38"/>
      <c r="B167" s="39"/>
      <c r="C167" s="39"/>
      <c r="D167" s="39"/>
      <c r="E167" s="40"/>
      <c r="F167" s="41"/>
      <c r="G167" s="41"/>
    </row>
    <row r="168" spans="1:18" s="21" customFormat="1" ht="19.899999999999999" customHeight="1" x14ac:dyDescent="0.5">
      <c r="A168" s="45"/>
      <c r="B168" s="84" t="s">
        <v>65</v>
      </c>
      <c r="C168" s="84"/>
      <c r="D168" s="84"/>
      <c r="F168" s="85" t="s">
        <v>6</v>
      </c>
      <c r="G168" s="86"/>
      <c r="I168" s="37"/>
      <c r="L168" s="37"/>
      <c r="M168" s="37"/>
      <c r="N168" s="37"/>
      <c r="O168" s="37"/>
      <c r="P168" s="37"/>
      <c r="Q168" s="37"/>
      <c r="R168" s="37"/>
    </row>
    <row r="169" spans="1:18" s="37" customFormat="1" ht="19.899999999999999" customHeight="1" x14ac:dyDescent="0.5">
      <c r="A169" s="30">
        <v>1</v>
      </c>
      <c r="B169" s="30" t="s">
        <v>17</v>
      </c>
      <c r="C169" s="30" t="s">
        <v>18</v>
      </c>
      <c r="D169" s="47" t="s">
        <v>22</v>
      </c>
      <c r="E169" s="48">
        <v>1</v>
      </c>
      <c r="F169" s="49">
        <v>1000</v>
      </c>
      <c r="G169" s="53">
        <f t="shared" ref="G169:G170" si="29">SUM(E169*F169)</f>
        <v>1000</v>
      </c>
      <c r="H169" s="21"/>
      <c r="I169" s="28"/>
    </row>
    <row r="170" spans="1:18" s="37" customFormat="1" ht="19.899999999999999" customHeight="1" x14ac:dyDescent="0.5">
      <c r="A170" s="30">
        <v>2</v>
      </c>
      <c r="B170" s="30" t="s">
        <v>19</v>
      </c>
      <c r="C170" s="30" t="s">
        <v>20</v>
      </c>
      <c r="D170" s="47" t="s">
        <v>22</v>
      </c>
      <c r="E170" s="48">
        <v>0</v>
      </c>
      <c r="F170" s="49">
        <v>1000</v>
      </c>
      <c r="G170" s="53">
        <f t="shared" si="29"/>
        <v>0</v>
      </c>
      <c r="H170" s="21"/>
      <c r="I170" s="28"/>
    </row>
    <row r="171" spans="1:18" s="37" customFormat="1" ht="19.899999999999999" customHeight="1" x14ac:dyDescent="0.5">
      <c r="A171" s="30">
        <v>3</v>
      </c>
      <c r="B171" s="30" t="s">
        <v>27</v>
      </c>
      <c r="C171" s="46" t="s">
        <v>28</v>
      </c>
      <c r="D171" s="47" t="s">
        <v>22</v>
      </c>
      <c r="E171" s="48">
        <v>0</v>
      </c>
      <c r="F171" s="49">
        <v>1000</v>
      </c>
      <c r="G171" s="78">
        <f>SUM(E171*F171)</f>
        <v>0</v>
      </c>
      <c r="H171" s="21"/>
      <c r="I171" s="28"/>
    </row>
    <row r="172" spans="1:18" s="37" customFormat="1" ht="19.899999999999999" customHeight="1" x14ac:dyDescent="0.5">
      <c r="A172" s="30">
        <v>4</v>
      </c>
      <c r="B172" s="30" t="s">
        <v>41</v>
      </c>
      <c r="C172" s="79" t="s">
        <v>42</v>
      </c>
      <c r="D172" s="47" t="s">
        <v>22</v>
      </c>
      <c r="E172" s="48">
        <v>4</v>
      </c>
      <c r="F172" s="49">
        <v>1000</v>
      </c>
      <c r="G172" s="78">
        <f t="shared" ref="G172:G173" si="30">SUM(E172*F172)</f>
        <v>4000</v>
      </c>
      <c r="H172" s="21"/>
      <c r="I172" s="28"/>
    </row>
    <row r="173" spans="1:18" s="37" customFormat="1" ht="19.899999999999999" customHeight="1" x14ac:dyDescent="0.5">
      <c r="A173" s="30">
        <v>5</v>
      </c>
      <c r="B173" s="30" t="s">
        <v>43</v>
      </c>
      <c r="C173" s="79" t="s">
        <v>44</v>
      </c>
      <c r="D173" s="47" t="s">
        <v>22</v>
      </c>
      <c r="E173" s="48">
        <v>7</v>
      </c>
      <c r="F173" s="49">
        <v>1000</v>
      </c>
      <c r="G173" s="78">
        <f t="shared" si="30"/>
        <v>7000</v>
      </c>
      <c r="H173" s="21"/>
      <c r="I173" s="28"/>
    </row>
    <row r="174" spans="1:18" s="21" customFormat="1" ht="19.899999999999999" customHeight="1" x14ac:dyDescent="0.5">
      <c r="A174" s="30">
        <v>6</v>
      </c>
      <c r="B174" s="50" t="s">
        <v>23</v>
      </c>
      <c r="C174" s="43" t="s">
        <v>24</v>
      </c>
      <c r="D174" s="47" t="s">
        <v>22</v>
      </c>
      <c r="E174" s="48">
        <v>1</v>
      </c>
      <c r="F174" s="49">
        <v>1000</v>
      </c>
      <c r="G174" s="53">
        <f>SUM(E174*F174)</f>
        <v>1000</v>
      </c>
    </row>
    <row r="175" spans="1:18" s="2" customFormat="1" ht="21.6" customHeight="1" x14ac:dyDescent="0.5">
      <c r="A175" s="30">
        <v>7</v>
      </c>
      <c r="B175" s="31" t="s">
        <v>36</v>
      </c>
      <c r="C175" s="30" t="s">
        <v>35</v>
      </c>
      <c r="D175" s="47" t="s">
        <v>22</v>
      </c>
      <c r="E175" s="48">
        <v>5</v>
      </c>
      <c r="F175" s="49">
        <v>1000</v>
      </c>
      <c r="G175" s="58">
        <f t="shared" ref="G175:G176" si="31">SUM(E175*F175)</f>
        <v>5000</v>
      </c>
      <c r="H175" s="80" t="s">
        <v>57</v>
      </c>
      <c r="K175" s="37"/>
      <c r="L175" s="37"/>
      <c r="M175" s="37"/>
      <c r="N175" s="37"/>
    </row>
    <row r="176" spans="1:18" s="21" customFormat="1" ht="19.899999999999999" customHeight="1" x14ac:dyDescent="0.5">
      <c r="A176" s="30">
        <v>8</v>
      </c>
      <c r="B176" s="51" t="s">
        <v>7</v>
      </c>
      <c r="C176" s="33" t="s">
        <v>29</v>
      </c>
      <c r="D176" s="47" t="s">
        <v>4</v>
      </c>
      <c r="E176" s="48">
        <v>2</v>
      </c>
      <c r="F176" s="52">
        <v>1000</v>
      </c>
      <c r="G176" s="53">
        <f t="shared" si="31"/>
        <v>2000</v>
      </c>
    </row>
    <row r="177" spans="1:18" s="21" customFormat="1" ht="19.899999999999999" customHeight="1" x14ac:dyDescent="0.5">
      <c r="A177" s="30">
        <v>9</v>
      </c>
      <c r="B177" s="33" t="s">
        <v>21</v>
      </c>
      <c r="C177" s="33" t="s">
        <v>3</v>
      </c>
      <c r="D177" s="47" t="s">
        <v>9</v>
      </c>
      <c r="E177" s="29">
        <v>1</v>
      </c>
      <c r="F177" s="54">
        <v>8000</v>
      </c>
      <c r="G177" s="53">
        <f>SUM(E177*F177)</f>
        <v>8000</v>
      </c>
    </row>
    <row r="178" spans="1:18" s="21" customFormat="1" ht="19.899999999999999" customHeight="1" x14ac:dyDescent="0.5">
      <c r="A178" s="30">
        <v>10</v>
      </c>
      <c r="B178" s="55" t="s">
        <v>25</v>
      </c>
      <c r="C178" s="56"/>
      <c r="D178" s="47" t="s">
        <v>4</v>
      </c>
      <c r="E178" s="44" t="s">
        <v>26</v>
      </c>
      <c r="F178" s="49" t="s">
        <v>9</v>
      </c>
      <c r="G178" s="57" t="s">
        <v>9</v>
      </c>
    </row>
    <row r="179" spans="1:18" s="2" customFormat="1" ht="21.6" customHeight="1" x14ac:dyDescent="0.2">
      <c r="A179" s="61"/>
      <c r="B179" s="62"/>
      <c r="C179" s="63"/>
      <c r="D179" s="64"/>
      <c r="E179" s="65"/>
      <c r="F179" s="59" t="s">
        <v>32</v>
      </c>
      <c r="G179" s="60">
        <f>SUM(G169:G178)</f>
        <v>28000</v>
      </c>
      <c r="I179" s="21"/>
      <c r="J179" s="21"/>
    </row>
    <row r="180" spans="1:18" s="2" customFormat="1" ht="21.6" customHeight="1" x14ac:dyDescent="0.2">
      <c r="A180" s="65"/>
      <c r="B180" s="62"/>
      <c r="C180" s="63"/>
      <c r="D180" s="64"/>
      <c r="E180" s="65"/>
      <c r="F180" s="65"/>
      <c r="G180" s="65"/>
      <c r="H180" s="65"/>
      <c r="I180" s="21"/>
      <c r="J180" s="21"/>
    </row>
    <row r="181" spans="1:18" customFormat="1" ht="30" customHeight="1" thickBot="1" x14ac:dyDescent="0.55000000000000004">
      <c r="A181" s="34"/>
      <c r="B181" s="35"/>
      <c r="C181" s="35"/>
      <c r="D181" s="35"/>
      <c r="E181" s="36"/>
      <c r="F181" s="37"/>
      <c r="G181" s="37"/>
    </row>
    <row r="182" spans="1:18" s="10" customFormat="1" ht="23.25" x14ac:dyDescent="0.5">
      <c r="A182" s="38"/>
      <c r="B182" s="39"/>
      <c r="C182" s="39"/>
      <c r="D182" s="39"/>
      <c r="E182" s="40"/>
      <c r="F182" s="41"/>
      <c r="G182" s="41"/>
    </row>
    <row r="183" spans="1:18" s="21" customFormat="1" ht="19.899999999999999" customHeight="1" x14ac:dyDescent="0.5">
      <c r="A183" s="45"/>
      <c r="B183" s="84" t="s">
        <v>66</v>
      </c>
      <c r="C183" s="84"/>
      <c r="D183" s="84"/>
      <c r="F183" s="85" t="s">
        <v>6</v>
      </c>
      <c r="G183" s="86"/>
      <c r="I183" s="37"/>
      <c r="L183" s="37"/>
      <c r="M183" s="37"/>
      <c r="N183" s="37"/>
      <c r="O183" s="37"/>
      <c r="P183" s="37"/>
      <c r="Q183" s="37"/>
      <c r="R183" s="37"/>
    </row>
    <row r="184" spans="1:18" s="37" customFormat="1" ht="19.899999999999999" customHeight="1" x14ac:dyDescent="0.5">
      <c r="A184" s="30">
        <v>1</v>
      </c>
      <c r="B184" s="30" t="s">
        <v>17</v>
      </c>
      <c r="C184" s="30" t="s">
        <v>18</v>
      </c>
      <c r="D184" s="47" t="s">
        <v>22</v>
      </c>
      <c r="E184" s="48">
        <v>1</v>
      </c>
      <c r="F184" s="49">
        <v>1000</v>
      </c>
      <c r="G184" s="53">
        <f t="shared" ref="G184:G185" si="32">SUM(E184*F184)</f>
        <v>1000</v>
      </c>
      <c r="H184" s="21"/>
      <c r="I184" s="28"/>
    </row>
    <row r="185" spans="1:18" s="37" customFormat="1" ht="19.899999999999999" customHeight="1" x14ac:dyDescent="0.5">
      <c r="A185" s="30">
        <v>2</v>
      </c>
      <c r="B185" s="30" t="s">
        <v>19</v>
      </c>
      <c r="C185" s="30" t="s">
        <v>20</v>
      </c>
      <c r="D185" s="47" t="s">
        <v>22</v>
      </c>
      <c r="E185" s="48">
        <v>0</v>
      </c>
      <c r="F185" s="49">
        <v>1000</v>
      </c>
      <c r="G185" s="53">
        <f t="shared" si="32"/>
        <v>0</v>
      </c>
      <c r="H185" s="21"/>
      <c r="I185" s="28"/>
    </row>
    <row r="186" spans="1:18" s="37" customFormat="1" ht="19.899999999999999" customHeight="1" x14ac:dyDescent="0.5">
      <c r="A186" s="30">
        <v>3</v>
      </c>
      <c r="B186" s="30" t="s">
        <v>27</v>
      </c>
      <c r="C186" s="46" t="s">
        <v>28</v>
      </c>
      <c r="D186" s="47" t="s">
        <v>22</v>
      </c>
      <c r="E186" s="48">
        <v>0</v>
      </c>
      <c r="F186" s="49">
        <v>1000</v>
      </c>
      <c r="G186" s="78">
        <f>SUM(E186*F186)</f>
        <v>0</v>
      </c>
      <c r="H186" s="21"/>
      <c r="I186" s="28"/>
    </row>
    <row r="187" spans="1:18" s="37" customFormat="1" ht="19.899999999999999" customHeight="1" x14ac:dyDescent="0.5">
      <c r="A187" s="30">
        <v>4</v>
      </c>
      <c r="B187" s="30" t="s">
        <v>41</v>
      </c>
      <c r="C187" s="79" t="s">
        <v>42</v>
      </c>
      <c r="D187" s="47" t="s">
        <v>22</v>
      </c>
      <c r="E187" s="48">
        <v>4</v>
      </c>
      <c r="F187" s="49">
        <v>1000</v>
      </c>
      <c r="G187" s="78">
        <f t="shared" ref="G187:G188" si="33">SUM(E187*F187)</f>
        <v>4000</v>
      </c>
      <c r="H187" s="21"/>
      <c r="I187" s="28"/>
    </row>
    <row r="188" spans="1:18" s="37" customFormat="1" ht="19.899999999999999" customHeight="1" x14ac:dyDescent="0.5">
      <c r="A188" s="30">
        <v>5</v>
      </c>
      <c r="B188" s="30" t="s">
        <v>43</v>
      </c>
      <c r="C188" s="79" t="s">
        <v>44</v>
      </c>
      <c r="D188" s="47" t="s">
        <v>22</v>
      </c>
      <c r="E188" s="48">
        <v>7</v>
      </c>
      <c r="F188" s="49">
        <v>1000</v>
      </c>
      <c r="G188" s="78">
        <f t="shared" si="33"/>
        <v>7000</v>
      </c>
      <c r="H188" s="21"/>
      <c r="I188" s="28"/>
    </row>
    <row r="189" spans="1:18" s="21" customFormat="1" ht="19.899999999999999" customHeight="1" x14ac:dyDescent="0.5">
      <c r="A189" s="30">
        <v>6</v>
      </c>
      <c r="B189" s="50" t="s">
        <v>23</v>
      </c>
      <c r="C189" s="43" t="s">
        <v>24</v>
      </c>
      <c r="D189" s="47" t="s">
        <v>22</v>
      </c>
      <c r="E189" s="48">
        <v>1</v>
      </c>
      <c r="F189" s="49">
        <v>1000</v>
      </c>
      <c r="G189" s="53">
        <f>SUM(E189*F189)</f>
        <v>1000</v>
      </c>
    </row>
    <row r="190" spans="1:18" s="2" customFormat="1" ht="21.6" customHeight="1" x14ac:dyDescent="0.5">
      <c r="A190" s="30">
        <v>7</v>
      </c>
      <c r="B190" s="31" t="s">
        <v>36</v>
      </c>
      <c r="C190" s="30" t="s">
        <v>35</v>
      </c>
      <c r="D190" s="47" t="s">
        <v>22</v>
      </c>
      <c r="E190" s="48">
        <v>5</v>
      </c>
      <c r="F190" s="49">
        <v>1000</v>
      </c>
      <c r="G190" s="58">
        <f t="shared" ref="G190:G191" si="34">SUM(E190*F190)</f>
        <v>5000</v>
      </c>
      <c r="H190" s="80" t="s">
        <v>57</v>
      </c>
      <c r="K190" s="37"/>
      <c r="L190" s="37"/>
      <c r="M190" s="37"/>
      <c r="N190" s="37"/>
    </row>
    <row r="191" spans="1:18" s="21" customFormat="1" ht="19.899999999999999" customHeight="1" x14ac:dyDescent="0.5">
      <c r="A191" s="30">
        <v>8</v>
      </c>
      <c r="B191" s="51" t="s">
        <v>7</v>
      </c>
      <c r="C191" s="33" t="s">
        <v>29</v>
      </c>
      <c r="D191" s="47" t="s">
        <v>4</v>
      </c>
      <c r="E191" s="48">
        <v>2</v>
      </c>
      <c r="F191" s="52">
        <v>1000</v>
      </c>
      <c r="G191" s="53">
        <f t="shared" si="34"/>
        <v>2000</v>
      </c>
    </row>
    <row r="192" spans="1:18" s="21" customFormat="1" ht="19.899999999999999" customHeight="1" x14ac:dyDescent="0.5">
      <c r="A192" s="30">
        <v>9</v>
      </c>
      <c r="B192" s="33" t="s">
        <v>21</v>
      </c>
      <c r="C192" s="33" t="s">
        <v>3</v>
      </c>
      <c r="D192" s="47" t="s">
        <v>9</v>
      </c>
      <c r="E192" s="29">
        <v>1</v>
      </c>
      <c r="F192" s="54">
        <v>8000</v>
      </c>
      <c r="G192" s="53">
        <f>SUM(E192*F192)</f>
        <v>8000</v>
      </c>
    </row>
    <row r="193" spans="1:18" s="21" customFormat="1" ht="19.899999999999999" customHeight="1" x14ac:dyDescent="0.5">
      <c r="A193" s="30">
        <v>10</v>
      </c>
      <c r="B193" s="55" t="s">
        <v>25</v>
      </c>
      <c r="C193" s="56"/>
      <c r="D193" s="47" t="s">
        <v>4</v>
      </c>
      <c r="E193" s="44" t="s">
        <v>26</v>
      </c>
      <c r="F193" s="49" t="s">
        <v>9</v>
      </c>
      <c r="G193" s="57" t="s">
        <v>9</v>
      </c>
    </row>
    <row r="194" spans="1:18" s="2" customFormat="1" ht="21.6" customHeight="1" x14ac:dyDescent="0.2">
      <c r="A194" s="61"/>
      <c r="B194" s="62"/>
      <c r="C194" s="63"/>
      <c r="D194" s="64"/>
      <c r="E194" s="65"/>
      <c r="F194" s="59" t="s">
        <v>32</v>
      </c>
      <c r="G194" s="60">
        <f>SUM(G184:G193)</f>
        <v>28000</v>
      </c>
      <c r="I194" s="21"/>
      <c r="J194" s="21"/>
    </row>
    <row r="195" spans="1:18" s="2" customFormat="1" ht="21.6" customHeight="1" x14ac:dyDescent="0.2">
      <c r="A195" s="65"/>
      <c r="B195" s="62"/>
      <c r="C195" s="63"/>
      <c r="D195" s="64"/>
      <c r="E195" s="65"/>
      <c r="F195" s="65"/>
      <c r="G195" s="65"/>
      <c r="H195" s="65"/>
      <c r="I195" s="21"/>
      <c r="J195" s="21"/>
    </row>
    <row r="196" spans="1:18" customFormat="1" ht="30" customHeight="1" thickBot="1" x14ac:dyDescent="0.55000000000000004">
      <c r="A196" s="34"/>
      <c r="B196" s="35"/>
      <c r="C196" s="35"/>
      <c r="D196" s="35"/>
      <c r="E196" s="36"/>
      <c r="F196" s="37"/>
      <c r="G196" s="37"/>
    </row>
    <row r="197" spans="1:18" s="10" customFormat="1" ht="23.25" x14ac:dyDescent="0.5">
      <c r="A197" s="38"/>
      <c r="B197" s="39"/>
      <c r="C197" s="39"/>
      <c r="D197" s="39"/>
      <c r="E197" s="40"/>
      <c r="F197" s="41"/>
      <c r="G197" s="41"/>
    </row>
    <row r="198" spans="1:18" s="21" customFormat="1" ht="19.899999999999999" customHeight="1" x14ac:dyDescent="0.5">
      <c r="A198" s="45"/>
      <c r="B198" s="84" t="s">
        <v>67</v>
      </c>
      <c r="C198" s="84"/>
      <c r="D198" s="84"/>
      <c r="F198" s="85" t="s">
        <v>6</v>
      </c>
      <c r="G198" s="86"/>
      <c r="I198" s="37"/>
      <c r="L198" s="37"/>
      <c r="M198" s="37"/>
      <c r="N198" s="37"/>
      <c r="O198" s="37"/>
      <c r="P198" s="37"/>
      <c r="Q198" s="37"/>
      <c r="R198" s="37"/>
    </row>
    <row r="199" spans="1:18" s="37" customFormat="1" ht="19.899999999999999" customHeight="1" x14ac:dyDescent="0.5">
      <c r="A199" s="30">
        <v>1</v>
      </c>
      <c r="B199" s="30" t="s">
        <v>17</v>
      </c>
      <c r="C199" s="30" t="s">
        <v>18</v>
      </c>
      <c r="D199" s="47" t="s">
        <v>22</v>
      </c>
      <c r="E199" s="48">
        <v>1</v>
      </c>
      <c r="F199" s="49">
        <v>1000</v>
      </c>
      <c r="G199" s="53">
        <f t="shared" ref="G199:G200" si="35">SUM(E199*F199)</f>
        <v>1000</v>
      </c>
      <c r="H199" s="21"/>
      <c r="I199" s="28"/>
    </row>
    <row r="200" spans="1:18" s="37" customFormat="1" ht="19.899999999999999" customHeight="1" x14ac:dyDescent="0.5">
      <c r="A200" s="30">
        <v>2</v>
      </c>
      <c r="B200" s="30" t="s">
        <v>19</v>
      </c>
      <c r="C200" s="30" t="s">
        <v>20</v>
      </c>
      <c r="D200" s="47" t="s">
        <v>22</v>
      </c>
      <c r="E200" s="48">
        <v>0</v>
      </c>
      <c r="F200" s="49">
        <v>1000</v>
      </c>
      <c r="G200" s="53">
        <f t="shared" si="35"/>
        <v>0</v>
      </c>
      <c r="H200" s="21"/>
      <c r="I200" s="28"/>
    </row>
    <row r="201" spans="1:18" s="37" customFormat="1" ht="19.899999999999999" customHeight="1" x14ac:dyDescent="0.5">
      <c r="A201" s="30">
        <v>3</v>
      </c>
      <c r="B201" s="30" t="s">
        <v>27</v>
      </c>
      <c r="C201" s="46" t="s">
        <v>28</v>
      </c>
      <c r="D201" s="47" t="s">
        <v>22</v>
      </c>
      <c r="E201" s="48">
        <v>0</v>
      </c>
      <c r="F201" s="49">
        <v>1000</v>
      </c>
      <c r="G201" s="78">
        <f>SUM(E201*F201)</f>
        <v>0</v>
      </c>
      <c r="H201" s="21"/>
      <c r="I201" s="28"/>
    </row>
    <row r="202" spans="1:18" s="37" customFormat="1" ht="19.899999999999999" customHeight="1" x14ac:dyDescent="0.5">
      <c r="A202" s="30">
        <v>4</v>
      </c>
      <c r="B202" s="30" t="s">
        <v>41</v>
      </c>
      <c r="C202" s="79" t="s">
        <v>42</v>
      </c>
      <c r="D202" s="47" t="s">
        <v>22</v>
      </c>
      <c r="E202" s="48">
        <v>4</v>
      </c>
      <c r="F202" s="49">
        <v>1000</v>
      </c>
      <c r="G202" s="78">
        <f t="shared" ref="G202:G203" si="36">SUM(E202*F202)</f>
        <v>4000</v>
      </c>
      <c r="H202" s="21"/>
      <c r="I202" s="28"/>
    </row>
    <row r="203" spans="1:18" s="37" customFormat="1" ht="19.899999999999999" customHeight="1" x14ac:dyDescent="0.5">
      <c r="A203" s="30">
        <v>5</v>
      </c>
      <c r="B203" s="30" t="s">
        <v>43</v>
      </c>
      <c r="C203" s="79" t="s">
        <v>44</v>
      </c>
      <c r="D203" s="47" t="s">
        <v>22</v>
      </c>
      <c r="E203" s="48">
        <v>7</v>
      </c>
      <c r="F203" s="49">
        <v>1000</v>
      </c>
      <c r="G203" s="78">
        <f t="shared" si="36"/>
        <v>7000</v>
      </c>
      <c r="H203" s="21"/>
      <c r="I203" s="28"/>
    </row>
    <row r="204" spans="1:18" s="21" customFormat="1" ht="19.899999999999999" customHeight="1" x14ac:dyDescent="0.5">
      <c r="A204" s="30">
        <v>6</v>
      </c>
      <c r="B204" s="50" t="s">
        <v>23</v>
      </c>
      <c r="C204" s="43" t="s">
        <v>24</v>
      </c>
      <c r="D204" s="47" t="s">
        <v>22</v>
      </c>
      <c r="E204" s="48">
        <v>1</v>
      </c>
      <c r="F204" s="49">
        <v>1000</v>
      </c>
      <c r="G204" s="53">
        <f>SUM(E204*F204)</f>
        <v>1000</v>
      </c>
    </row>
    <row r="205" spans="1:18" s="2" customFormat="1" ht="21.6" customHeight="1" x14ac:dyDescent="0.5">
      <c r="A205" s="30">
        <v>7</v>
      </c>
      <c r="B205" s="31" t="s">
        <v>36</v>
      </c>
      <c r="C205" s="30" t="s">
        <v>35</v>
      </c>
      <c r="D205" s="47" t="s">
        <v>22</v>
      </c>
      <c r="E205" s="48">
        <v>5</v>
      </c>
      <c r="F205" s="49">
        <v>1000</v>
      </c>
      <c r="G205" s="58">
        <f t="shared" ref="G205:G206" si="37">SUM(E205*F205)</f>
        <v>5000</v>
      </c>
      <c r="H205" s="80" t="s">
        <v>57</v>
      </c>
      <c r="K205" s="37"/>
      <c r="L205" s="37"/>
      <c r="M205" s="37"/>
      <c r="N205" s="37"/>
    </row>
    <row r="206" spans="1:18" s="21" customFormat="1" ht="19.899999999999999" customHeight="1" x14ac:dyDescent="0.5">
      <c r="A206" s="30">
        <v>8</v>
      </c>
      <c r="B206" s="51" t="s">
        <v>7</v>
      </c>
      <c r="C206" s="33" t="s">
        <v>29</v>
      </c>
      <c r="D206" s="47" t="s">
        <v>4</v>
      </c>
      <c r="E206" s="48">
        <v>2</v>
      </c>
      <c r="F206" s="52">
        <v>1000</v>
      </c>
      <c r="G206" s="53">
        <f t="shared" si="37"/>
        <v>2000</v>
      </c>
    </row>
    <row r="207" spans="1:18" s="21" customFormat="1" ht="19.899999999999999" customHeight="1" x14ac:dyDescent="0.5">
      <c r="A207" s="30">
        <v>9</v>
      </c>
      <c r="B207" s="33" t="s">
        <v>21</v>
      </c>
      <c r="C207" s="33" t="s">
        <v>3</v>
      </c>
      <c r="D207" s="47" t="s">
        <v>9</v>
      </c>
      <c r="E207" s="29">
        <v>1</v>
      </c>
      <c r="F207" s="54">
        <v>8000</v>
      </c>
      <c r="G207" s="53">
        <f>SUM(E207*F207)</f>
        <v>8000</v>
      </c>
    </row>
    <row r="208" spans="1:18" s="21" customFormat="1" ht="19.899999999999999" customHeight="1" x14ac:dyDescent="0.5">
      <c r="A208" s="30">
        <v>10</v>
      </c>
      <c r="B208" s="55" t="s">
        <v>25</v>
      </c>
      <c r="C208" s="56"/>
      <c r="D208" s="47" t="s">
        <v>4</v>
      </c>
      <c r="E208" s="44" t="s">
        <v>26</v>
      </c>
      <c r="F208" s="49" t="s">
        <v>9</v>
      </c>
      <c r="G208" s="57" t="s">
        <v>9</v>
      </c>
    </row>
    <row r="209" spans="1:18" s="2" customFormat="1" ht="21.6" customHeight="1" x14ac:dyDescent="0.2">
      <c r="A209" s="61"/>
      <c r="B209" s="62"/>
      <c r="C209" s="63"/>
      <c r="D209" s="64"/>
      <c r="E209" s="65"/>
      <c r="F209" s="59" t="s">
        <v>32</v>
      </c>
      <c r="G209" s="60">
        <f>SUM(G199:G208)</f>
        <v>28000</v>
      </c>
      <c r="I209" s="21"/>
      <c r="J209" s="21"/>
    </row>
    <row r="210" spans="1:18" s="2" customFormat="1" ht="21.6" customHeight="1" x14ac:dyDescent="0.2">
      <c r="A210" s="65"/>
      <c r="B210" s="62"/>
      <c r="C210" s="63"/>
      <c r="D210" s="64"/>
      <c r="E210" s="65"/>
      <c r="F210" s="65"/>
      <c r="G210" s="65"/>
      <c r="H210" s="65"/>
      <c r="I210" s="21"/>
      <c r="J210" s="21"/>
    </row>
    <row r="211" spans="1:18" customFormat="1" ht="30" customHeight="1" thickBot="1" x14ac:dyDescent="0.55000000000000004">
      <c r="A211" s="34"/>
      <c r="B211" s="35"/>
      <c r="C211" s="35"/>
      <c r="D211" s="35"/>
      <c r="E211" s="36"/>
      <c r="F211" s="37"/>
      <c r="G211" s="37"/>
    </row>
    <row r="212" spans="1:18" s="10" customFormat="1" ht="23.25" x14ac:dyDescent="0.5">
      <c r="A212" s="38"/>
      <c r="B212" s="39"/>
      <c r="C212" s="39"/>
      <c r="D212" s="39"/>
      <c r="E212" s="40"/>
      <c r="F212" s="41"/>
      <c r="G212" s="41"/>
    </row>
    <row r="213" spans="1:18" s="21" customFormat="1" ht="19.899999999999999" customHeight="1" x14ac:dyDescent="0.5">
      <c r="A213" s="45"/>
      <c r="B213" s="84" t="s">
        <v>68</v>
      </c>
      <c r="C213" s="84"/>
      <c r="D213" s="84"/>
      <c r="F213" s="85" t="s">
        <v>6</v>
      </c>
      <c r="G213" s="86"/>
      <c r="I213" s="37"/>
      <c r="L213" s="37"/>
      <c r="M213" s="37"/>
      <c r="N213" s="37"/>
      <c r="O213" s="37"/>
      <c r="P213" s="37"/>
      <c r="Q213" s="37"/>
      <c r="R213" s="37"/>
    </row>
    <row r="214" spans="1:18" s="37" customFormat="1" ht="19.899999999999999" customHeight="1" x14ac:dyDescent="0.5">
      <c r="A214" s="30">
        <v>1</v>
      </c>
      <c r="B214" s="30" t="s">
        <v>17</v>
      </c>
      <c r="C214" s="30" t="s">
        <v>18</v>
      </c>
      <c r="D214" s="47" t="s">
        <v>22</v>
      </c>
      <c r="E214" s="48">
        <v>1</v>
      </c>
      <c r="F214" s="49">
        <v>1000</v>
      </c>
      <c r="G214" s="53">
        <f t="shared" ref="G214:G215" si="38">SUM(E214*F214)</f>
        <v>1000</v>
      </c>
      <c r="H214" s="21"/>
      <c r="I214" s="28"/>
    </row>
    <row r="215" spans="1:18" s="37" customFormat="1" ht="19.899999999999999" customHeight="1" x14ac:dyDescent="0.5">
      <c r="A215" s="30">
        <v>2</v>
      </c>
      <c r="B215" s="30" t="s">
        <v>19</v>
      </c>
      <c r="C215" s="30" t="s">
        <v>20</v>
      </c>
      <c r="D215" s="47" t="s">
        <v>22</v>
      </c>
      <c r="E215" s="48">
        <v>0</v>
      </c>
      <c r="F215" s="49">
        <v>1000</v>
      </c>
      <c r="G215" s="53">
        <f t="shared" si="38"/>
        <v>0</v>
      </c>
      <c r="H215" s="21"/>
      <c r="I215" s="28"/>
    </row>
    <row r="216" spans="1:18" s="37" customFormat="1" ht="19.899999999999999" customHeight="1" x14ac:dyDescent="0.5">
      <c r="A216" s="30">
        <v>3</v>
      </c>
      <c r="B216" s="30" t="s">
        <v>27</v>
      </c>
      <c r="C216" s="46" t="s">
        <v>28</v>
      </c>
      <c r="D216" s="47" t="s">
        <v>22</v>
      </c>
      <c r="E216" s="48">
        <v>0</v>
      </c>
      <c r="F216" s="49">
        <v>1000</v>
      </c>
      <c r="G216" s="78">
        <f>SUM(E216*F216)</f>
        <v>0</v>
      </c>
      <c r="H216" s="21"/>
      <c r="I216" s="28"/>
    </row>
    <row r="217" spans="1:18" s="37" customFormat="1" ht="19.899999999999999" customHeight="1" x14ac:dyDescent="0.5">
      <c r="A217" s="30">
        <v>4</v>
      </c>
      <c r="B217" s="30" t="s">
        <v>41</v>
      </c>
      <c r="C217" s="79" t="s">
        <v>42</v>
      </c>
      <c r="D217" s="47" t="s">
        <v>22</v>
      </c>
      <c r="E217" s="48">
        <v>4</v>
      </c>
      <c r="F217" s="49">
        <v>1000</v>
      </c>
      <c r="G217" s="78">
        <f t="shared" ref="G217:G218" si="39">SUM(E217*F217)</f>
        <v>4000</v>
      </c>
      <c r="H217" s="21"/>
      <c r="I217" s="28"/>
    </row>
    <row r="218" spans="1:18" s="37" customFormat="1" ht="19.899999999999999" customHeight="1" x14ac:dyDescent="0.5">
      <c r="A218" s="30">
        <v>5</v>
      </c>
      <c r="B218" s="30" t="s">
        <v>43</v>
      </c>
      <c r="C218" s="79" t="s">
        <v>44</v>
      </c>
      <c r="D218" s="47" t="s">
        <v>22</v>
      </c>
      <c r="E218" s="48">
        <v>7</v>
      </c>
      <c r="F218" s="49">
        <v>1000</v>
      </c>
      <c r="G218" s="78">
        <f t="shared" si="39"/>
        <v>7000</v>
      </c>
      <c r="H218" s="21"/>
      <c r="I218" s="28"/>
    </row>
    <row r="219" spans="1:18" s="21" customFormat="1" ht="19.899999999999999" customHeight="1" x14ac:dyDescent="0.5">
      <c r="A219" s="30">
        <v>6</v>
      </c>
      <c r="B219" s="50" t="s">
        <v>23</v>
      </c>
      <c r="C219" s="43" t="s">
        <v>24</v>
      </c>
      <c r="D219" s="47" t="s">
        <v>22</v>
      </c>
      <c r="E219" s="48">
        <v>1</v>
      </c>
      <c r="F219" s="49">
        <v>1000</v>
      </c>
      <c r="G219" s="53">
        <f>SUM(E219*F219)</f>
        <v>1000</v>
      </c>
    </row>
    <row r="220" spans="1:18" s="2" customFormat="1" ht="21.6" customHeight="1" x14ac:dyDescent="0.5">
      <c r="A220" s="30">
        <v>7</v>
      </c>
      <c r="B220" s="31" t="s">
        <v>36</v>
      </c>
      <c r="C220" s="30" t="s">
        <v>35</v>
      </c>
      <c r="D220" s="47" t="s">
        <v>22</v>
      </c>
      <c r="E220" s="48">
        <v>5</v>
      </c>
      <c r="F220" s="49">
        <v>1000</v>
      </c>
      <c r="G220" s="58">
        <f t="shared" ref="G220:G221" si="40">SUM(E220*F220)</f>
        <v>5000</v>
      </c>
      <c r="H220" s="80" t="s">
        <v>57</v>
      </c>
      <c r="K220" s="37"/>
      <c r="L220" s="37"/>
      <c r="M220" s="37"/>
      <c r="N220" s="37"/>
    </row>
    <row r="221" spans="1:18" s="21" customFormat="1" ht="19.899999999999999" customHeight="1" x14ac:dyDescent="0.5">
      <c r="A221" s="30">
        <v>8</v>
      </c>
      <c r="B221" s="51" t="s">
        <v>7</v>
      </c>
      <c r="C221" s="33" t="s">
        <v>29</v>
      </c>
      <c r="D221" s="47" t="s">
        <v>4</v>
      </c>
      <c r="E221" s="48">
        <v>2</v>
      </c>
      <c r="F221" s="52">
        <v>1000</v>
      </c>
      <c r="G221" s="53">
        <f t="shared" si="40"/>
        <v>2000</v>
      </c>
    </row>
    <row r="222" spans="1:18" s="21" customFormat="1" ht="19.899999999999999" customHeight="1" x14ac:dyDescent="0.5">
      <c r="A222" s="30">
        <v>9</v>
      </c>
      <c r="B222" s="33" t="s">
        <v>21</v>
      </c>
      <c r="C222" s="33" t="s">
        <v>3</v>
      </c>
      <c r="D222" s="47" t="s">
        <v>9</v>
      </c>
      <c r="E222" s="29">
        <v>1</v>
      </c>
      <c r="F222" s="54">
        <v>8000</v>
      </c>
      <c r="G222" s="53">
        <f>SUM(E222*F222)</f>
        <v>8000</v>
      </c>
    </row>
    <row r="223" spans="1:18" s="21" customFormat="1" ht="19.899999999999999" customHeight="1" x14ac:dyDescent="0.5">
      <c r="A223" s="30">
        <v>10</v>
      </c>
      <c r="B223" s="55" t="s">
        <v>25</v>
      </c>
      <c r="C223" s="56"/>
      <c r="D223" s="47" t="s">
        <v>4</v>
      </c>
      <c r="E223" s="44" t="s">
        <v>26</v>
      </c>
      <c r="F223" s="49" t="s">
        <v>9</v>
      </c>
      <c r="G223" s="57" t="s">
        <v>9</v>
      </c>
    </row>
    <row r="224" spans="1:18" s="2" customFormat="1" ht="21.6" customHeight="1" x14ac:dyDescent="0.2">
      <c r="A224" s="61"/>
      <c r="B224" s="62"/>
      <c r="C224" s="63"/>
      <c r="D224" s="64"/>
      <c r="E224" s="65"/>
      <c r="F224" s="59" t="s">
        <v>32</v>
      </c>
      <c r="G224" s="60">
        <f>SUM(G214:G223)</f>
        <v>28000</v>
      </c>
      <c r="I224" s="21"/>
      <c r="J224" s="21"/>
    </row>
    <row r="225" spans="1:18" s="2" customFormat="1" ht="21.6" customHeight="1" x14ac:dyDescent="0.2">
      <c r="A225" s="65"/>
      <c r="B225" s="62"/>
      <c r="C225" s="63"/>
      <c r="D225" s="64"/>
      <c r="E225" s="65"/>
      <c r="F225" s="65"/>
      <c r="G225" s="65"/>
      <c r="H225" s="65"/>
      <c r="I225" s="21"/>
      <c r="J225" s="21"/>
    </row>
    <row r="226" spans="1:18" customFormat="1" ht="30" customHeight="1" thickBot="1" x14ac:dyDescent="0.55000000000000004">
      <c r="A226" s="34"/>
      <c r="B226" s="35"/>
      <c r="C226" s="35"/>
      <c r="D226" s="35"/>
      <c r="E226" s="36"/>
      <c r="F226" s="37"/>
      <c r="G226" s="37"/>
    </row>
    <row r="227" spans="1:18" s="10" customFormat="1" ht="23.25" x14ac:dyDescent="0.5">
      <c r="A227" s="38"/>
      <c r="B227" s="39"/>
      <c r="C227" s="39"/>
      <c r="D227" s="39"/>
      <c r="E227" s="40"/>
      <c r="F227" s="41"/>
      <c r="G227" s="41"/>
    </row>
    <row r="228" spans="1:18" s="21" customFormat="1" ht="19.899999999999999" customHeight="1" x14ac:dyDescent="0.5">
      <c r="A228" s="45"/>
      <c r="B228" s="84" t="s">
        <v>69</v>
      </c>
      <c r="C228" s="84"/>
      <c r="D228" s="84"/>
      <c r="F228" s="85" t="s">
        <v>6</v>
      </c>
      <c r="G228" s="86"/>
      <c r="I228" s="37"/>
      <c r="L228" s="37"/>
      <c r="M228" s="37"/>
      <c r="N228" s="37"/>
      <c r="O228" s="37"/>
      <c r="P228" s="37"/>
      <c r="Q228" s="37"/>
      <c r="R228" s="37"/>
    </row>
    <row r="229" spans="1:18" s="37" customFormat="1" ht="19.899999999999999" customHeight="1" x14ac:dyDescent="0.5">
      <c r="A229" s="30">
        <v>1</v>
      </c>
      <c r="B229" s="30" t="s">
        <v>17</v>
      </c>
      <c r="C229" s="30" t="s">
        <v>18</v>
      </c>
      <c r="D229" s="47" t="s">
        <v>22</v>
      </c>
      <c r="E229" s="48">
        <v>1</v>
      </c>
      <c r="F229" s="49">
        <v>1000</v>
      </c>
      <c r="G229" s="53">
        <f t="shared" ref="G229:G230" si="41">SUM(E229*F229)</f>
        <v>1000</v>
      </c>
      <c r="H229" s="21"/>
      <c r="I229" s="28"/>
    </row>
    <row r="230" spans="1:18" s="37" customFormat="1" ht="19.899999999999999" customHeight="1" x14ac:dyDescent="0.5">
      <c r="A230" s="30">
        <v>2</v>
      </c>
      <c r="B230" s="30" t="s">
        <v>19</v>
      </c>
      <c r="C230" s="30" t="s">
        <v>20</v>
      </c>
      <c r="D230" s="47" t="s">
        <v>22</v>
      </c>
      <c r="E230" s="48">
        <v>0</v>
      </c>
      <c r="F230" s="49">
        <v>1000</v>
      </c>
      <c r="G230" s="53">
        <f t="shared" si="41"/>
        <v>0</v>
      </c>
      <c r="H230" s="21"/>
      <c r="I230" s="28"/>
    </row>
    <row r="231" spans="1:18" s="37" customFormat="1" ht="19.899999999999999" customHeight="1" x14ac:dyDescent="0.5">
      <c r="A231" s="30">
        <v>3</v>
      </c>
      <c r="B231" s="30" t="s">
        <v>27</v>
      </c>
      <c r="C231" s="46" t="s">
        <v>28</v>
      </c>
      <c r="D231" s="47" t="s">
        <v>22</v>
      </c>
      <c r="E231" s="48">
        <v>0</v>
      </c>
      <c r="F231" s="49">
        <v>1000</v>
      </c>
      <c r="G231" s="78">
        <f>SUM(E231*F231)</f>
        <v>0</v>
      </c>
      <c r="H231" s="21"/>
      <c r="I231" s="28"/>
    </row>
    <row r="232" spans="1:18" s="37" customFormat="1" ht="19.899999999999999" customHeight="1" x14ac:dyDescent="0.5">
      <c r="A232" s="30">
        <v>4</v>
      </c>
      <c r="B232" s="30" t="s">
        <v>41</v>
      </c>
      <c r="C232" s="79" t="s">
        <v>42</v>
      </c>
      <c r="D232" s="47" t="s">
        <v>22</v>
      </c>
      <c r="E232" s="48">
        <v>4</v>
      </c>
      <c r="F232" s="49">
        <v>1000</v>
      </c>
      <c r="G232" s="78">
        <f t="shared" ref="G232:G233" si="42">SUM(E232*F232)</f>
        <v>4000</v>
      </c>
      <c r="H232" s="21"/>
      <c r="I232" s="28"/>
    </row>
    <row r="233" spans="1:18" s="37" customFormat="1" ht="19.899999999999999" customHeight="1" x14ac:dyDescent="0.5">
      <c r="A233" s="30">
        <v>5</v>
      </c>
      <c r="B233" s="30" t="s">
        <v>43</v>
      </c>
      <c r="C233" s="79" t="s">
        <v>44</v>
      </c>
      <c r="D233" s="47" t="s">
        <v>22</v>
      </c>
      <c r="E233" s="48">
        <v>7</v>
      </c>
      <c r="F233" s="49">
        <v>1000</v>
      </c>
      <c r="G233" s="78">
        <f t="shared" si="42"/>
        <v>7000</v>
      </c>
      <c r="H233" s="21"/>
      <c r="I233" s="28"/>
    </row>
    <row r="234" spans="1:18" s="21" customFormat="1" ht="19.899999999999999" customHeight="1" x14ac:dyDescent="0.5">
      <c r="A234" s="30">
        <v>6</v>
      </c>
      <c r="B234" s="50" t="s">
        <v>23</v>
      </c>
      <c r="C234" s="43" t="s">
        <v>24</v>
      </c>
      <c r="D234" s="47" t="s">
        <v>22</v>
      </c>
      <c r="E234" s="48">
        <v>1</v>
      </c>
      <c r="F234" s="49">
        <v>1000</v>
      </c>
      <c r="G234" s="53">
        <f>SUM(E234*F234)</f>
        <v>1000</v>
      </c>
    </row>
    <row r="235" spans="1:18" s="2" customFormat="1" ht="21.6" customHeight="1" x14ac:dyDescent="0.5">
      <c r="A235" s="30">
        <v>7</v>
      </c>
      <c r="B235" s="31" t="s">
        <v>36</v>
      </c>
      <c r="C235" s="30" t="s">
        <v>35</v>
      </c>
      <c r="D235" s="47" t="s">
        <v>22</v>
      </c>
      <c r="E235" s="48">
        <v>5</v>
      </c>
      <c r="F235" s="49">
        <v>1000</v>
      </c>
      <c r="G235" s="58">
        <f t="shared" ref="G235:G236" si="43">SUM(E235*F235)</f>
        <v>5000</v>
      </c>
      <c r="H235" s="80" t="s">
        <v>57</v>
      </c>
      <c r="K235" s="37"/>
      <c r="L235" s="37"/>
      <c r="M235" s="37"/>
      <c r="N235" s="37"/>
    </row>
    <row r="236" spans="1:18" s="21" customFormat="1" ht="19.899999999999999" customHeight="1" x14ac:dyDescent="0.5">
      <c r="A236" s="30">
        <v>8</v>
      </c>
      <c r="B236" s="51" t="s">
        <v>7</v>
      </c>
      <c r="C236" s="33" t="s">
        <v>29</v>
      </c>
      <c r="D236" s="47" t="s">
        <v>4</v>
      </c>
      <c r="E236" s="48">
        <v>2</v>
      </c>
      <c r="F236" s="52">
        <v>1000</v>
      </c>
      <c r="G236" s="53">
        <f t="shared" si="43"/>
        <v>2000</v>
      </c>
    </row>
    <row r="237" spans="1:18" s="21" customFormat="1" ht="19.899999999999999" customHeight="1" x14ac:dyDescent="0.5">
      <c r="A237" s="30">
        <v>9</v>
      </c>
      <c r="B237" s="33" t="s">
        <v>21</v>
      </c>
      <c r="C237" s="33" t="s">
        <v>3</v>
      </c>
      <c r="D237" s="47" t="s">
        <v>9</v>
      </c>
      <c r="E237" s="29">
        <v>1</v>
      </c>
      <c r="F237" s="54">
        <v>8000</v>
      </c>
      <c r="G237" s="53">
        <f>SUM(E237*F237)</f>
        <v>8000</v>
      </c>
    </row>
    <row r="238" spans="1:18" s="21" customFormat="1" ht="19.899999999999999" customHeight="1" x14ac:dyDescent="0.5">
      <c r="A238" s="30">
        <v>10</v>
      </c>
      <c r="B238" s="55" t="s">
        <v>25</v>
      </c>
      <c r="C238" s="56"/>
      <c r="D238" s="47" t="s">
        <v>4</v>
      </c>
      <c r="E238" s="44" t="s">
        <v>26</v>
      </c>
      <c r="F238" s="49" t="s">
        <v>9</v>
      </c>
      <c r="G238" s="57" t="s">
        <v>9</v>
      </c>
    </row>
    <row r="239" spans="1:18" s="2" customFormat="1" ht="21.6" customHeight="1" x14ac:dyDescent="0.2">
      <c r="A239" s="61"/>
      <c r="B239" s="62"/>
      <c r="C239" s="63"/>
      <c r="D239" s="64"/>
      <c r="E239" s="65"/>
      <c r="F239" s="59" t="s">
        <v>32</v>
      </c>
      <c r="G239" s="60">
        <f>SUM(G229:G238)</f>
        <v>28000</v>
      </c>
      <c r="I239" s="21"/>
      <c r="J239" s="21"/>
    </row>
    <row r="240" spans="1:18" s="2" customFormat="1" ht="21.6" customHeight="1" x14ac:dyDescent="0.2">
      <c r="A240" s="65"/>
      <c r="B240" s="62"/>
      <c r="C240" s="63"/>
      <c r="D240" s="64"/>
      <c r="E240" s="65"/>
      <c r="F240" s="65"/>
      <c r="G240" s="65"/>
      <c r="H240" s="65"/>
      <c r="I240" s="21"/>
      <c r="J240" s="21"/>
    </row>
    <row r="241" spans="1:18" customFormat="1" ht="30" customHeight="1" thickBot="1" x14ac:dyDescent="0.55000000000000004">
      <c r="A241" s="34"/>
      <c r="B241" s="35"/>
      <c r="C241" s="35"/>
      <c r="D241" s="35"/>
      <c r="E241" s="36"/>
      <c r="F241" s="37"/>
      <c r="G241" s="37"/>
    </row>
    <row r="242" spans="1:18" s="10" customFormat="1" ht="23.25" x14ac:dyDescent="0.5">
      <c r="A242" s="38"/>
      <c r="B242" s="39"/>
      <c r="C242" s="39"/>
      <c r="D242" s="39"/>
      <c r="E242" s="40"/>
      <c r="F242" s="41"/>
      <c r="G242" s="41"/>
    </row>
    <row r="243" spans="1:18" s="21" customFormat="1" ht="19.899999999999999" customHeight="1" x14ac:dyDescent="0.5">
      <c r="A243" s="45"/>
      <c r="B243" s="84" t="s">
        <v>70</v>
      </c>
      <c r="C243" s="84"/>
      <c r="D243" s="84"/>
      <c r="F243" s="85" t="s">
        <v>6</v>
      </c>
      <c r="G243" s="86"/>
      <c r="I243" s="37"/>
      <c r="L243" s="37"/>
      <c r="M243" s="37"/>
      <c r="N243" s="37"/>
      <c r="O243" s="37"/>
      <c r="P243" s="37"/>
      <c r="Q243" s="37"/>
      <c r="R243" s="37"/>
    </row>
    <row r="244" spans="1:18" s="37" customFormat="1" ht="19.899999999999999" customHeight="1" x14ac:dyDescent="0.5">
      <c r="A244" s="30">
        <v>1</v>
      </c>
      <c r="B244" s="30" t="s">
        <v>17</v>
      </c>
      <c r="C244" s="30" t="s">
        <v>18</v>
      </c>
      <c r="D244" s="47" t="s">
        <v>22</v>
      </c>
      <c r="E244" s="48">
        <v>1</v>
      </c>
      <c r="F244" s="49">
        <v>1000</v>
      </c>
      <c r="G244" s="53">
        <f t="shared" ref="G244:G245" si="44">SUM(E244*F244)</f>
        <v>1000</v>
      </c>
      <c r="H244" s="21"/>
      <c r="I244" s="28"/>
    </row>
    <row r="245" spans="1:18" s="37" customFormat="1" ht="19.899999999999999" customHeight="1" x14ac:dyDescent="0.5">
      <c r="A245" s="30">
        <v>2</v>
      </c>
      <c r="B245" s="30" t="s">
        <v>19</v>
      </c>
      <c r="C245" s="30" t="s">
        <v>20</v>
      </c>
      <c r="D245" s="47" t="s">
        <v>22</v>
      </c>
      <c r="E245" s="48">
        <v>0</v>
      </c>
      <c r="F245" s="49">
        <v>1000</v>
      </c>
      <c r="G245" s="53">
        <f t="shared" si="44"/>
        <v>0</v>
      </c>
      <c r="H245" s="21"/>
      <c r="I245" s="28"/>
    </row>
    <row r="246" spans="1:18" s="37" customFormat="1" ht="19.899999999999999" customHeight="1" x14ac:dyDescent="0.5">
      <c r="A246" s="30">
        <v>3</v>
      </c>
      <c r="B246" s="30" t="s">
        <v>27</v>
      </c>
      <c r="C246" s="46" t="s">
        <v>28</v>
      </c>
      <c r="D246" s="47" t="s">
        <v>22</v>
      </c>
      <c r="E246" s="48">
        <v>0</v>
      </c>
      <c r="F246" s="49">
        <v>1000</v>
      </c>
      <c r="G246" s="78">
        <f>SUM(E246*F246)</f>
        <v>0</v>
      </c>
      <c r="H246" s="21"/>
      <c r="I246" s="28"/>
    </row>
    <row r="247" spans="1:18" s="37" customFormat="1" ht="19.899999999999999" customHeight="1" x14ac:dyDescent="0.5">
      <c r="A247" s="30">
        <v>4</v>
      </c>
      <c r="B247" s="30" t="s">
        <v>41</v>
      </c>
      <c r="C247" s="79" t="s">
        <v>42</v>
      </c>
      <c r="D247" s="47" t="s">
        <v>22</v>
      </c>
      <c r="E247" s="48">
        <v>4</v>
      </c>
      <c r="F247" s="49">
        <v>1000</v>
      </c>
      <c r="G247" s="78">
        <f t="shared" ref="G247:G248" si="45">SUM(E247*F247)</f>
        <v>4000</v>
      </c>
      <c r="H247" s="21"/>
      <c r="I247" s="28"/>
    </row>
    <row r="248" spans="1:18" s="37" customFormat="1" ht="19.899999999999999" customHeight="1" x14ac:dyDescent="0.5">
      <c r="A248" s="30">
        <v>5</v>
      </c>
      <c r="B248" s="30" t="s">
        <v>43</v>
      </c>
      <c r="C248" s="79" t="s">
        <v>44</v>
      </c>
      <c r="D248" s="47" t="s">
        <v>22</v>
      </c>
      <c r="E248" s="48">
        <v>7</v>
      </c>
      <c r="F248" s="49">
        <v>1000</v>
      </c>
      <c r="G248" s="78">
        <f t="shared" si="45"/>
        <v>7000</v>
      </c>
      <c r="H248" s="21"/>
      <c r="I248" s="28"/>
    </row>
    <row r="249" spans="1:18" s="21" customFormat="1" ht="19.899999999999999" customHeight="1" x14ac:dyDescent="0.5">
      <c r="A249" s="30">
        <v>6</v>
      </c>
      <c r="B249" s="50" t="s">
        <v>23</v>
      </c>
      <c r="C249" s="43" t="s">
        <v>24</v>
      </c>
      <c r="D249" s="47" t="s">
        <v>22</v>
      </c>
      <c r="E249" s="48">
        <v>1</v>
      </c>
      <c r="F249" s="49">
        <v>1000</v>
      </c>
      <c r="G249" s="53">
        <f>SUM(E249*F249)</f>
        <v>1000</v>
      </c>
    </row>
    <row r="250" spans="1:18" s="2" customFormat="1" ht="21.6" customHeight="1" x14ac:dyDescent="0.5">
      <c r="A250" s="30">
        <v>7</v>
      </c>
      <c r="B250" s="31" t="s">
        <v>36</v>
      </c>
      <c r="C250" s="30" t="s">
        <v>35</v>
      </c>
      <c r="D250" s="47" t="s">
        <v>22</v>
      </c>
      <c r="E250" s="48">
        <v>5</v>
      </c>
      <c r="F250" s="49">
        <v>1000</v>
      </c>
      <c r="G250" s="58">
        <f t="shared" ref="G250:G251" si="46">SUM(E250*F250)</f>
        <v>5000</v>
      </c>
      <c r="H250" s="80" t="s">
        <v>57</v>
      </c>
      <c r="K250" s="37"/>
      <c r="L250" s="37"/>
      <c r="M250" s="37"/>
      <c r="N250" s="37"/>
    </row>
    <row r="251" spans="1:18" s="21" customFormat="1" ht="19.899999999999999" customHeight="1" x14ac:dyDescent="0.5">
      <c r="A251" s="30">
        <v>8</v>
      </c>
      <c r="B251" s="51" t="s">
        <v>7</v>
      </c>
      <c r="C251" s="33" t="s">
        <v>29</v>
      </c>
      <c r="D251" s="47" t="s">
        <v>4</v>
      </c>
      <c r="E251" s="48">
        <v>2</v>
      </c>
      <c r="F251" s="52">
        <v>1000</v>
      </c>
      <c r="G251" s="53">
        <f t="shared" si="46"/>
        <v>2000</v>
      </c>
    </row>
    <row r="252" spans="1:18" s="21" customFormat="1" ht="19.899999999999999" customHeight="1" x14ac:dyDescent="0.5">
      <c r="A252" s="30">
        <v>9</v>
      </c>
      <c r="B252" s="33" t="s">
        <v>21</v>
      </c>
      <c r="C252" s="33" t="s">
        <v>3</v>
      </c>
      <c r="D252" s="47" t="s">
        <v>9</v>
      </c>
      <c r="E252" s="29">
        <v>1</v>
      </c>
      <c r="F252" s="54">
        <v>8000</v>
      </c>
      <c r="G252" s="53">
        <f>SUM(E252*F252)</f>
        <v>8000</v>
      </c>
    </row>
    <row r="253" spans="1:18" s="21" customFormat="1" ht="19.899999999999999" customHeight="1" x14ac:dyDescent="0.5">
      <c r="A253" s="30">
        <v>10</v>
      </c>
      <c r="B253" s="55" t="s">
        <v>25</v>
      </c>
      <c r="C253" s="56"/>
      <c r="D253" s="47" t="s">
        <v>4</v>
      </c>
      <c r="E253" s="44" t="s">
        <v>26</v>
      </c>
      <c r="F253" s="49" t="s">
        <v>9</v>
      </c>
      <c r="G253" s="57" t="s">
        <v>9</v>
      </c>
    </row>
    <row r="254" spans="1:18" s="2" customFormat="1" ht="21.6" customHeight="1" x14ac:dyDescent="0.2">
      <c r="A254" s="61"/>
      <c r="B254" s="62"/>
      <c r="C254" s="63"/>
      <c r="D254" s="64"/>
      <c r="E254" s="65"/>
      <c r="F254" s="59" t="s">
        <v>32</v>
      </c>
      <c r="G254" s="60">
        <f>SUM(G244:G253)</f>
        <v>28000</v>
      </c>
      <c r="I254" s="21"/>
      <c r="J254" s="21"/>
    </row>
    <row r="255" spans="1:18" s="2" customFormat="1" ht="21.6" customHeight="1" x14ac:dyDescent="0.2">
      <c r="A255" s="65"/>
      <c r="B255" s="62"/>
      <c r="C255" s="63"/>
      <c r="D255" s="64"/>
      <c r="E255" s="65"/>
      <c r="F255" s="65"/>
      <c r="G255" s="65"/>
      <c r="H255" s="65"/>
      <c r="I255" s="21"/>
      <c r="J255" s="21"/>
    </row>
    <row r="256" spans="1:18" customFormat="1" ht="30" customHeight="1" thickBot="1" x14ac:dyDescent="0.55000000000000004">
      <c r="A256" s="34"/>
      <c r="B256" s="35"/>
      <c r="C256" s="35"/>
      <c r="D256" s="35"/>
      <c r="E256" s="36"/>
      <c r="F256" s="37"/>
      <c r="G256" s="37"/>
    </row>
    <row r="257" spans="1:18" s="10" customFormat="1" ht="23.25" x14ac:dyDescent="0.5">
      <c r="A257" s="38"/>
      <c r="B257" s="39"/>
      <c r="C257" s="39"/>
      <c r="D257" s="39"/>
      <c r="E257" s="40"/>
      <c r="F257" s="41"/>
      <c r="G257" s="41"/>
    </row>
    <row r="258" spans="1:18" s="21" customFormat="1" ht="19.899999999999999" customHeight="1" x14ac:dyDescent="0.5">
      <c r="A258" s="45"/>
      <c r="B258" s="84" t="s">
        <v>71</v>
      </c>
      <c r="C258" s="84"/>
      <c r="D258" s="84"/>
      <c r="F258" s="85" t="s">
        <v>6</v>
      </c>
      <c r="G258" s="86"/>
      <c r="I258" s="37"/>
      <c r="L258" s="37"/>
      <c r="M258" s="37"/>
      <c r="N258" s="37"/>
      <c r="O258" s="37"/>
      <c r="P258" s="37"/>
      <c r="Q258" s="37"/>
      <c r="R258" s="37"/>
    </row>
    <row r="259" spans="1:18" s="37" customFormat="1" ht="19.899999999999999" customHeight="1" x14ac:dyDescent="0.5">
      <c r="A259" s="30">
        <v>1</v>
      </c>
      <c r="B259" s="30" t="s">
        <v>17</v>
      </c>
      <c r="C259" s="30" t="s">
        <v>18</v>
      </c>
      <c r="D259" s="47" t="s">
        <v>22</v>
      </c>
      <c r="E259" s="48">
        <v>1</v>
      </c>
      <c r="F259" s="49">
        <v>1000</v>
      </c>
      <c r="G259" s="53">
        <f t="shared" ref="G259:G260" si="47">SUM(E259*F259)</f>
        <v>1000</v>
      </c>
      <c r="H259" s="21"/>
      <c r="I259" s="28"/>
    </row>
    <row r="260" spans="1:18" s="37" customFormat="1" ht="19.899999999999999" customHeight="1" x14ac:dyDescent="0.5">
      <c r="A260" s="30">
        <v>2</v>
      </c>
      <c r="B260" s="30" t="s">
        <v>19</v>
      </c>
      <c r="C260" s="30" t="s">
        <v>20</v>
      </c>
      <c r="D260" s="47" t="s">
        <v>22</v>
      </c>
      <c r="E260" s="48">
        <v>0</v>
      </c>
      <c r="F260" s="49">
        <v>1000</v>
      </c>
      <c r="G260" s="53">
        <f t="shared" si="47"/>
        <v>0</v>
      </c>
      <c r="H260" s="21"/>
      <c r="I260" s="28"/>
    </row>
    <row r="261" spans="1:18" s="37" customFormat="1" ht="19.899999999999999" customHeight="1" x14ac:dyDescent="0.5">
      <c r="A261" s="30">
        <v>3</v>
      </c>
      <c r="B261" s="30" t="s">
        <v>27</v>
      </c>
      <c r="C261" s="46" t="s">
        <v>28</v>
      </c>
      <c r="D261" s="47" t="s">
        <v>22</v>
      </c>
      <c r="E261" s="48">
        <v>0</v>
      </c>
      <c r="F261" s="49">
        <v>1000</v>
      </c>
      <c r="G261" s="78">
        <f>SUM(E261*F261)</f>
        <v>0</v>
      </c>
      <c r="H261" s="21"/>
      <c r="I261" s="28"/>
    </row>
    <row r="262" spans="1:18" s="37" customFormat="1" ht="19.899999999999999" customHeight="1" x14ac:dyDescent="0.5">
      <c r="A262" s="30">
        <v>4</v>
      </c>
      <c r="B262" s="30" t="s">
        <v>41</v>
      </c>
      <c r="C262" s="79" t="s">
        <v>42</v>
      </c>
      <c r="D262" s="47" t="s">
        <v>22</v>
      </c>
      <c r="E262" s="48">
        <v>4</v>
      </c>
      <c r="F262" s="49">
        <v>1000</v>
      </c>
      <c r="G262" s="78">
        <f t="shared" ref="G262:G263" si="48">SUM(E262*F262)</f>
        <v>4000</v>
      </c>
      <c r="H262" s="21"/>
      <c r="I262" s="28"/>
    </row>
    <row r="263" spans="1:18" s="37" customFormat="1" ht="19.899999999999999" customHeight="1" x14ac:dyDescent="0.5">
      <c r="A263" s="30">
        <v>5</v>
      </c>
      <c r="B263" s="30" t="s">
        <v>43</v>
      </c>
      <c r="C263" s="79" t="s">
        <v>44</v>
      </c>
      <c r="D263" s="47" t="s">
        <v>22</v>
      </c>
      <c r="E263" s="48">
        <v>7</v>
      </c>
      <c r="F263" s="49">
        <v>1000</v>
      </c>
      <c r="G263" s="78">
        <f t="shared" si="48"/>
        <v>7000</v>
      </c>
      <c r="H263" s="21"/>
      <c r="I263" s="28"/>
    </row>
    <row r="264" spans="1:18" s="21" customFormat="1" ht="19.899999999999999" customHeight="1" x14ac:dyDescent="0.5">
      <c r="A264" s="30">
        <v>6</v>
      </c>
      <c r="B264" s="50" t="s">
        <v>23</v>
      </c>
      <c r="C264" s="43" t="s">
        <v>24</v>
      </c>
      <c r="D264" s="47" t="s">
        <v>22</v>
      </c>
      <c r="E264" s="48">
        <v>1</v>
      </c>
      <c r="F264" s="49">
        <v>1000</v>
      </c>
      <c r="G264" s="53">
        <f>SUM(E264*F264)</f>
        <v>1000</v>
      </c>
    </row>
    <row r="265" spans="1:18" s="2" customFormat="1" ht="21.6" customHeight="1" x14ac:dyDescent="0.5">
      <c r="A265" s="30">
        <v>7</v>
      </c>
      <c r="B265" s="31" t="s">
        <v>36</v>
      </c>
      <c r="C265" s="30" t="s">
        <v>35</v>
      </c>
      <c r="D265" s="47" t="s">
        <v>22</v>
      </c>
      <c r="E265" s="48">
        <v>5</v>
      </c>
      <c r="F265" s="49">
        <v>1000</v>
      </c>
      <c r="G265" s="58">
        <f t="shared" ref="G265:G266" si="49">SUM(E265*F265)</f>
        <v>5000</v>
      </c>
      <c r="H265" s="80" t="s">
        <v>57</v>
      </c>
      <c r="K265" s="37"/>
      <c r="L265" s="37"/>
      <c r="M265" s="37"/>
      <c r="N265" s="37"/>
    </row>
    <row r="266" spans="1:18" s="21" customFormat="1" ht="19.899999999999999" customHeight="1" x14ac:dyDescent="0.5">
      <c r="A266" s="30">
        <v>8</v>
      </c>
      <c r="B266" s="51" t="s">
        <v>7</v>
      </c>
      <c r="C266" s="33" t="s">
        <v>29</v>
      </c>
      <c r="D266" s="47" t="s">
        <v>4</v>
      </c>
      <c r="E266" s="48">
        <v>2</v>
      </c>
      <c r="F266" s="52">
        <v>1000</v>
      </c>
      <c r="G266" s="53">
        <f t="shared" si="49"/>
        <v>2000</v>
      </c>
    </row>
    <row r="267" spans="1:18" s="21" customFormat="1" ht="19.899999999999999" customHeight="1" x14ac:dyDescent="0.5">
      <c r="A267" s="30">
        <v>9</v>
      </c>
      <c r="B267" s="33" t="s">
        <v>21</v>
      </c>
      <c r="C267" s="33" t="s">
        <v>3</v>
      </c>
      <c r="D267" s="47" t="s">
        <v>9</v>
      </c>
      <c r="E267" s="29">
        <v>1</v>
      </c>
      <c r="F267" s="54">
        <v>8000</v>
      </c>
      <c r="G267" s="53">
        <f>SUM(E267*F267)</f>
        <v>8000</v>
      </c>
    </row>
    <row r="268" spans="1:18" s="21" customFormat="1" ht="19.899999999999999" customHeight="1" x14ac:dyDescent="0.5">
      <c r="A268" s="30">
        <v>10</v>
      </c>
      <c r="B268" s="55" t="s">
        <v>25</v>
      </c>
      <c r="C268" s="56"/>
      <c r="D268" s="47" t="s">
        <v>4</v>
      </c>
      <c r="E268" s="44" t="s">
        <v>26</v>
      </c>
      <c r="F268" s="49" t="s">
        <v>9</v>
      </c>
      <c r="G268" s="57" t="s">
        <v>9</v>
      </c>
    </row>
    <row r="269" spans="1:18" s="2" customFormat="1" ht="21.6" customHeight="1" x14ac:dyDescent="0.2">
      <c r="A269" s="61"/>
      <c r="B269" s="62"/>
      <c r="C269" s="63"/>
      <c r="D269" s="64"/>
      <c r="E269" s="65"/>
      <c r="F269" s="59" t="s">
        <v>32</v>
      </c>
      <c r="G269" s="60">
        <f>SUM(G259:G268)</f>
        <v>28000</v>
      </c>
      <c r="I269" s="21"/>
      <c r="J269" s="21"/>
    </row>
    <row r="270" spans="1:18" s="2" customFormat="1" ht="21.6" customHeight="1" x14ac:dyDescent="0.2">
      <c r="A270" s="65"/>
      <c r="B270" s="62"/>
      <c r="C270" s="63"/>
      <c r="D270" s="64"/>
      <c r="E270" s="65"/>
      <c r="F270" s="65"/>
      <c r="G270" s="65"/>
      <c r="H270" s="65"/>
      <c r="I270" s="21"/>
      <c r="J270" s="21"/>
    </row>
    <row r="271" spans="1:18" customFormat="1" ht="30" customHeight="1" thickBot="1" x14ac:dyDescent="0.55000000000000004">
      <c r="A271" s="34"/>
      <c r="B271" s="35"/>
      <c r="C271" s="35"/>
      <c r="D271" s="35"/>
      <c r="E271" s="36"/>
      <c r="F271" s="37"/>
      <c r="G271" s="37"/>
    </row>
    <row r="272" spans="1:18" s="10" customFormat="1" ht="23.25" x14ac:dyDescent="0.5">
      <c r="A272" s="38"/>
      <c r="B272" s="39"/>
      <c r="C272" s="39"/>
      <c r="D272" s="39"/>
      <c r="E272" s="40"/>
      <c r="F272" s="41"/>
      <c r="G272" s="41"/>
    </row>
    <row r="273" spans="1:18" s="21" customFormat="1" ht="19.899999999999999" customHeight="1" x14ac:dyDescent="0.5">
      <c r="A273" s="45"/>
      <c r="B273" s="84" t="s">
        <v>72</v>
      </c>
      <c r="C273" s="84"/>
      <c r="D273" s="84"/>
      <c r="F273" s="85" t="s">
        <v>6</v>
      </c>
      <c r="G273" s="86"/>
      <c r="I273" s="37"/>
      <c r="L273" s="37"/>
      <c r="M273" s="37"/>
      <c r="N273" s="37"/>
      <c r="O273" s="37"/>
      <c r="P273" s="37"/>
      <c r="Q273" s="37"/>
      <c r="R273" s="37"/>
    </row>
    <row r="274" spans="1:18" s="37" customFormat="1" ht="19.899999999999999" customHeight="1" x14ac:dyDescent="0.5">
      <c r="A274" s="30">
        <v>1</v>
      </c>
      <c r="B274" s="30" t="s">
        <v>17</v>
      </c>
      <c r="C274" s="30" t="s">
        <v>18</v>
      </c>
      <c r="D274" s="47" t="s">
        <v>22</v>
      </c>
      <c r="E274" s="48">
        <v>1</v>
      </c>
      <c r="F274" s="49">
        <v>1000</v>
      </c>
      <c r="G274" s="53">
        <f t="shared" ref="G274:G275" si="50">SUM(E274*F274)</f>
        <v>1000</v>
      </c>
      <c r="H274" s="21"/>
      <c r="I274" s="28"/>
    </row>
    <row r="275" spans="1:18" s="37" customFormat="1" ht="19.899999999999999" customHeight="1" x14ac:dyDescent="0.5">
      <c r="A275" s="30">
        <v>2</v>
      </c>
      <c r="B275" s="30" t="s">
        <v>19</v>
      </c>
      <c r="C275" s="30" t="s">
        <v>20</v>
      </c>
      <c r="D275" s="47" t="s">
        <v>22</v>
      </c>
      <c r="E275" s="48">
        <v>0</v>
      </c>
      <c r="F275" s="49">
        <v>1000</v>
      </c>
      <c r="G275" s="53">
        <f t="shared" si="50"/>
        <v>0</v>
      </c>
      <c r="H275" s="21"/>
      <c r="I275" s="28"/>
    </row>
    <row r="276" spans="1:18" s="37" customFormat="1" ht="19.899999999999999" customHeight="1" x14ac:dyDescent="0.5">
      <c r="A276" s="30">
        <v>3</v>
      </c>
      <c r="B276" s="30" t="s">
        <v>27</v>
      </c>
      <c r="C276" s="46" t="s">
        <v>28</v>
      </c>
      <c r="D276" s="47" t="s">
        <v>22</v>
      </c>
      <c r="E276" s="48">
        <v>0</v>
      </c>
      <c r="F276" s="49">
        <v>1000</v>
      </c>
      <c r="G276" s="78">
        <f>SUM(E276*F276)</f>
        <v>0</v>
      </c>
      <c r="H276" s="21"/>
      <c r="I276" s="28"/>
    </row>
    <row r="277" spans="1:18" s="37" customFormat="1" ht="19.899999999999999" customHeight="1" x14ac:dyDescent="0.5">
      <c r="A277" s="30">
        <v>4</v>
      </c>
      <c r="B277" s="30" t="s">
        <v>41</v>
      </c>
      <c r="C277" s="79" t="s">
        <v>42</v>
      </c>
      <c r="D277" s="47" t="s">
        <v>22</v>
      </c>
      <c r="E277" s="48">
        <v>4</v>
      </c>
      <c r="F277" s="49">
        <v>1000</v>
      </c>
      <c r="G277" s="78">
        <f t="shared" ref="G277:G278" si="51">SUM(E277*F277)</f>
        <v>4000</v>
      </c>
      <c r="H277" s="21"/>
      <c r="I277" s="28"/>
    </row>
    <row r="278" spans="1:18" s="37" customFormat="1" ht="19.899999999999999" customHeight="1" x14ac:dyDescent="0.5">
      <c r="A278" s="30">
        <v>5</v>
      </c>
      <c r="B278" s="30" t="s">
        <v>43</v>
      </c>
      <c r="C278" s="79" t="s">
        <v>44</v>
      </c>
      <c r="D278" s="47" t="s">
        <v>22</v>
      </c>
      <c r="E278" s="48">
        <v>7</v>
      </c>
      <c r="F278" s="49">
        <v>1000</v>
      </c>
      <c r="G278" s="78">
        <f t="shared" si="51"/>
        <v>7000</v>
      </c>
      <c r="H278" s="21"/>
      <c r="I278" s="28"/>
    </row>
    <row r="279" spans="1:18" s="21" customFormat="1" ht="19.899999999999999" customHeight="1" x14ac:dyDescent="0.5">
      <c r="A279" s="30">
        <v>6</v>
      </c>
      <c r="B279" s="50" t="s">
        <v>23</v>
      </c>
      <c r="C279" s="43" t="s">
        <v>24</v>
      </c>
      <c r="D279" s="47" t="s">
        <v>22</v>
      </c>
      <c r="E279" s="48">
        <v>1</v>
      </c>
      <c r="F279" s="49">
        <v>1000</v>
      </c>
      <c r="G279" s="53">
        <f>SUM(E279*F279)</f>
        <v>1000</v>
      </c>
    </row>
    <row r="280" spans="1:18" s="2" customFormat="1" ht="21.6" customHeight="1" x14ac:dyDescent="0.5">
      <c r="A280" s="30">
        <v>7</v>
      </c>
      <c r="B280" s="31" t="s">
        <v>36</v>
      </c>
      <c r="C280" s="30" t="s">
        <v>35</v>
      </c>
      <c r="D280" s="47" t="s">
        <v>22</v>
      </c>
      <c r="E280" s="48">
        <v>5</v>
      </c>
      <c r="F280" s="49">
        <v>1000</v>
      </c>
      <c r="G280" s="58">
        <f t="shared" ref="G280:G281" si="52">SUM(E280*F280)</f>
        <v>5000</v>
      </c>
      <c r="H280" s="80" t="s">
        <v>57</v>
      </c>
      <c r="K280" s="37"/>
      <c r="L280" s="37"/>
      <c r="M280" s="37"/>
      <c r="N280" s="37"/>
    </row>
    <row r="281" spans="1:18" s="21" customFormat="1" ht="19.899999999999999" customHeight="1" x14ac:dyDescent="0.5">
      <c r="A281" s="30">
        <v>8</v>
      </c>
      <c r="B281" s="51" t="s">
        <v>7</v>
      </c>
      <c r="C281" s="33" t="s">
        <v>29</v>
      </c>
      <c r="D281" s="47" t="s">
        <v>4</v>
      </c>
      <c r="E281" s="48">
        <v>2</v>
      </c>
      <c r="F281" s="52">
        <v>1000</v>
      </c>
      <c r="G281" s="53">
        <f t="shared" si="52"/>
        <v>2000</v>
      </c>
    </row>
    <row r="282" spans="1:18" s="21" customFormat="1" ht="19.899999999999999" customHeight="1" x14ac:dyDescent="0.5">
      <c r="A282" s="30">
        <v>9</v>
      </c>
      <c r="B282" s="33" t="s">
        <v>21</v>
      </c>
      <c r="C282" s="33" t="s">
        <v>3</v>
      </c>
      <c r="D282" s="47" t="s">
        <v>9</v>
      </c>
      <c r="E282" s="29">
        <v>1</v>
      </c>
      <c r="F282" s="54">
        <v>8000</v>
      </c>
      <c r="G282" s="53">
        <f>SUM(E282*F282)</f>
        <v>8000</v>
      </c>
    </row>
    <row r="283" spans="1:18" s="21" customFormat="1" ht="19.899999999999999" customHeight="1" x14ac:dyDescent="0.5">
      <c r="A283" s="30">
        <v>10</v>
      </c>
      <c r="B283" s="55" t="s">
        <v>25</v>
      </c>
      <c r="C283" s="56"/>
      <c r="D283" s="47" t="s">
        <v>4</v>
      </c>
      <c r="E283" s="44" t="s">
        <v>26</v>
      </c>
      <c r="F283" s="49" t="s">
        <v>9</v>
      </c>
      <c r="G283" s="57" t="s">
        <v>9</v>
      </c>
    </row>
    <row r="284" spans="1:18" s="2" customFormat="1" ht="21.6" customHeight="1" x14ac:dyDescent="0.2">
      <c r="A284" s="61"/>
      <c r="B284" s="62"/>
      <c r="C284" s="63"/>
      <c r="D284" s="64"/>
      <c r="E284" s="65"/>
      <c r="F284" s="59" t="s">
        <v>32</v>
      </c>
      <c r="G284" s="60">
        <f>SUM(G274:G283)</f>
        <v>28000</v>
      </c>
      <c r="I284" s="21"/>
      <c r="J284" s="21"/>
    </row>
    <row r="285" spans="1:18" s="2" customFormat="1" ht="21.6" customHeight="1" x14ac:dyDescent="0.2">
      <c r="A285" s="65"/>
      <c r="B285" s="62"/>
      <c r="C285" s="63"/>
      <c r="D285" s="64"/>
      <c r="E285" s="65"/>
      <c r="F285" s="65"/>
      <c r="G285" s="65"/>
      <c r="H285" s="65"/>
      <c r="I285" s="21"/>
      <c r="J285" s="21"/>
    </row>
    <row r="286" spans="1:18" customFormat="1" ht="30" customHeight="1" thickBot="1" x14ac:dyDescent="0.55000000000000004">
      <c r="A286" s="34"/>
      <c r="B286" s="35"/>
      <c r="C286" s="35"/>
      <c r="D286" s="35"/>
      <c r="E286" s="36"/>
      <c r="F286" s="37"/>
      <c r="G286" s="37"/>
    </row>
    <row r="287" spans="1:18" s="10" customFormat="1" ht="23.25" x14ac:dyDescent="0.5">
      <c r="A287" s="38"/>
      <c r="B287" s="39"/>
      <c r="C287" s="39"/>
      <c r="D287" s="39"/>
      <c r="E287" s="40"/>
      <c r="F287" s="41"/>
      <c r="G287" s="41"/>
    </row>
    <row r="288" spans="1:18" s="21" customFormat="1" ht="19.899999999999999" customHeight="1" x14ac:dyDescent="0.5">
      <c r="A288" s="45"/>
      <c r="B288" s="84" t="s">
        <v>73</v>
      </c>
      <c r="C288" s="84"/>
      <c r="D288" s="84"/>
      <c r="F288" s="85" t="s">
        <v>6</v>
      </c>
      <c r="G288" s="86"/>
      <c r="I288" s="37"/>
      <c r="L288" s="37"/>
      <c r="M288" s="37"/>
      <c r="N288" s="37"/>
      <c r="O288" s="37"/>
      <c r="P288" s="37"/>
      <c r="Q288" s="37"/>
      <c r="R288" s="37"/>
    </row>
    <row r="289" spans="1:18" s="37" customFormat="1" ht="19.899999999999999" customHeight="1" x14ac:dyDescent="0.5">
      <c r="A289" s="30">
        <v>1</v>
      </c>
      <c r="B289" s="30" t="s">
        <v>17</v>
      </c>
      <c r="C289" s="30" t="s">
        <v>18</v>
      </c>
      <c r="D289" s="47" t="s">
        <v>22</v>
      </c>
      <c r="E289" s="48">
        <v>1</v>
      </c>
      <c r="F289" s="49">
        <v>1000</v>
      </c>
      <c r="G289" s="53">
        <f t="shared" ref="G289:G290" si="53">SUM(E289*F289)</f>
        <v>1000</v>
      </c>
      <c r="H289" s="21"/>
      <c r="I289" s="28"/>
    </row>
    <row r="290" spans="1:18" s="37" customFormat="1" ht="19.899999999999999" customHeight="1" x14ac:dyDescent="0.5">
      <c r="A290" s="30">
        <v>2</v>
      </c>
      <c r="B290" s="30" t="s">
        <v>19</v>
      </c>
      <c r="C290" s="30" t="s">
        <v>20</v>
      </c>
      <c r="D290" s="47" t="s">
        <v>22</v>
      </c>
      <c r="E290" s="48">
        <v>0</v>
      </c>
      <c r="F290" s="49">
        <v>1000</v>
      </c>
      <c r="G290" s="53">
        <f t="shared" si="53"/>
        <v>0</v>
      </c>
      <c r="H290" s="21"/>
      <c r="I290" s="28"/>
    </row>
    <row r="291" spans="1:18" s="37" customFormat="1" ht="19.899999999999999" customHeight="1" x14ac:dyDescent="0.5">
      <c r="A291" s="30">
        <v>3</v>
      </c>
      <c r="B291" s="30" t="s">
        <v>27</v>
      </c>
      <c r="C291" s="46" t="s">
        <v>28</v>
      </c>
      <c r="D291" s="47" t="s">
        <v>22</v>
      </c>
      <c r="E291" s="48">
        <v>0</v>
      </c>
      <c r="F291" s="49">
        <v>1000</v>
      </c>
      <c r="G291" s="78">
        <f>SUM(E291*F291)</f>
        <v>0</v>
      </c>
      <c r="H291" s="21"/>
      <c r="I291" s="28"/>
    </row>
    <row r="292" spans="1:18" s="37" customFormat="1" ht="19.899999999999999" customHeight="1" x14ac:dyDescent="0.5">
      <c r="A292" s="30">
        <v>4</v>
      </c>
      <c r="B292" s="30" t="s">
        <v>41</v>
      </c>
      <c r="C292" s="79" t="s">
        <v>42</v>
      </c>
      <c r="D292" s="47" t="s">
        <v>22</v>
      </c>
      <c r="E292" s="48">
        <v>4</v>
      </c>
      <c r="F292" s="49">
        <v>1000</v>
      </c>
      <c r="G292" s="78">
        <f t="shared" ref="G292:G293" si="54">SUM(E292*F292)</f>
        <v>4000</v>
      </c>
      <c r="H292" s="21"/>
      <c r="I292" s="28"/>
    </row>
    <row r="293" spans="1:18" s="37" customFormat="1" ht="19.899999999999999" customHeight="1" x14ac:dyDescent="0.5">
      <c r="A293" s="30">
        <v>5</v>
      </c>
      <c r="B293" s="30" t="s">
        <v>43</v>
      </c>
      <c r="C293" s="79" t="s">
        <v>44</v>
      </c>
      <c r="D293" s="47" t="s">
        <v>22</v>
      </c>
      <c r="E293" s="48">
        <v>7</v>
      </c>
      <c r="F293" s="49">
        <v>1000</v>
      </c>
      <c r="G293" s="78">
        <f t="shared" si="54"/>
        <v>7000</v>
      </c>
      <c r="H293" s="21"/>
      <c r="I293" s="28"/>
    </row>
    <row r="294" spans="1:18" s="21" customFormat="1" ht="19.899999999999999" customHeight="1" x14ac:dyDescent="0.5">
      <c r="A294" s="30">
        <v>6</v>
      </c>
      <c r="B294" s="50" t="s">
        <v>23</v>
      </c>
      <c r="C294" s="43" t="s">
        <v>24</v>
      </c>
      <c r="D294" s="47" t="s">
        <v>22</v>
      </c>
      <c r="E294" s="48">
        <v>1</v>
      </c>
      <c r="F294" s="49">
        <v>1000</v>
      </c>
      <c r="G294" s="53">
        <f>SUM(E294*F294)</f>
        <v>1000</v>
      </c>
    </row>
    <row r="295" spans="1:18" s="2" customFormat="1" ht="21.6" customHeight="1" x14ac:dyDescent="0.5">
      <c r="A295" s="30">
        <v>7</v>
      </c>
      <c r="B295" s="31" t="s">
        <v>36</v>
      </c>
      <c r="C295" s="30" t="s">
        <v>35</v>
      </c>
      <c r="D295" s="47" t="s">
        <v>22</v>
      </c>
      <c r="E295" s="48">
        <v>5</v>
      </c>
      <c r="F295" s="49">
        <v>1000</v>
      </c>
      <c r="G295" s="58">
        <f t="shared" ref="G295:G296" si="55">SUM(E295*F295)</f>
        <v>5000</v>
      </c>
      <c r="H295" s="80" t="s">
        <v>57</v>
      </c>
      <c r="K295" s="37"/>
      <c r="L295" s="37"/>
      <c r="M295" s="37"/>
      <c r="N295" s="37"/>
    </row>
    <row r="296" spans="1:18" s="21" customFormat="1" ht="19.899999999999999" customHeight="1" x14ac:dyDescent="0.5">
      <c r="A296" s="30">
        <v>8</v>
      </c>
      <c r="B296" s="51" t="s">
        <v>7</v>
      </c>
      <c r="C296" s="33" t="s">
        <v>29</v>
      </c>
      <c r="D296" s="47" t="s">
        <v>4</v>
      </c>
      <c r="E296" s="48">
        <v>2</v>
      </c>
      <c r="F296" s="52">
        <v>1000</v>
      </c>
      <c r="G296" s="53">
        <f t="shared" si="55"/>
        <v>2000</v>
      </c>
    </row>
    <row r="297" spans="1:18" s="21" customFormat="1" ht="19.899999999999999" customHeight="1" x14ac:dyDescent="0.5">
      <c r="A297" s="30">
        <v>9</v>
      </c>
      <c r="B297" s="33" t="s">
        <v>21</v>
      </c>
      <c r="C297" s="33" t="s">
        <v>3</v>
      </c>
      <c r="D297" s="47" t="s">
        <v>9</v>
      </c>
      <c r="E297" s="29">
        <v>1</v>
      </c>
      <c r="F297" s="54">
        <v>8000</v>
      </c>
      <c r="G297" s="53">
        <f>SUM(E297*F297)</f>
        <v>8000</v>
      </c>
    </row>
    <row r="298" spans="1:18" s="21" customFormat="1" ht="19.899999999999999" customHeight="1" x14ac:dyDescent="0.5">
      <c r="A298" s="30">
        <v>10</v>
      </c>
      <c r="B298" s="55" t="s">
        <v>25</v>
      </c>
      <c r="C298" s="56"/>
      <c r="D298" s="47" t="s">
        <v>4</v>
      </c>
      <c r="E298" s="44" t="s">
        <v>26</v>
      </c>
      <c r="F298" s="49" t="s">
        <v>9</v>
      </c>
      <c r="G298" s="57" t="s">
        <v>9</v>
      </c>
    </row>
    <row r="299" spans="1:18" s="2" customFormat="1" ht="21.6" customHeight="1" x14ac:dyDescent="0.2">
      <c r="A299" s="61"/>
      <c r="B299" s="62"/>
      <c r="C299" s="63"/>
      <c r="D299" s="64"/>
      <c r="E299" s="65"/>
      <c r="F299" s="59" t="s">
        <v>32</v>
      </c>
      <c r="G299" s="60">
        <f>SUM(G289:G298)</f>
        <v>28000</v>
      </c>
      <c r="I299" s="21"/>
      <c r="J299" s="21"/>
    </row>
    <row r="300" spans="1:18" s="2" customFormat="1" ht="21.6" customHeight="1" x14ac:dyDescent="0.2">
      <c r="A300" s="65"/>
      <c r="B300" s="62"/>
      <c r="C300" s="63"/>
      <c r="D300" s="64"/>
      <c r="E300" s="65"/>
      <c r="F300" s="65"/>
      <c r="G300" s="65"/>
      <c r="H300" s="65"/>
      <c r="I300" s="21"/>
      <c r="J300" s="21"/>
    </row>
    <row r="301" spans="1:18" customFormat="1" ht="30" customHeight="1" thickBot="1" x14ac:dyDescent="0.55000000000000004">
      <c r="A301" s="34"/>
      <c r="B301" s="35"/>
      <c r="C301" s="35"/>
      <c r="D301" s="35"/>
      <c r="E301" s="36"/>
      <c r="F301" s="37"/>
      <c r="G301" s="37"/>
    </row>
    <row r="302" spans="1:18" s="10" customFormat="1" ht="23.25" x14ac:dyDescent="0.5">
      <c r="A302" s="38"/>
      <c r="B302" s="39"/>
      <c r="C302" s="39"/>
      <c r="D302" s="39"/>
      <c r="E302" s="40"/>
      <c r="F302" s="41"/>
      <c r="G302" s="41"/>
    </row>
    <row r="303" spans="1:18" s="21" customFormat="1" ht="19.899999999999999" customHeight="1" x14ac:dyDescent="0.5">
      <c r="A303" s="45"/>
      <c r="B303" s="84" t="s">
        <v>74</v>
      </c>
      <c r="C303" s="84"/>
      <c r="D303" s="84"/>
      <c r="F303" s="85" t="s">
        <v>6</v>
      </c>
      <c r="G303" s="86"/>
      <c r="I303" s="37"/>
      <c r="L303" s="37"/>
      <c r="M303" s="37"/>
      <c r="N303" s="37"/>
      <c r="O303" s="37"/>
      <c r="P303" s="37"/>
      <c r="Q303" s="37"/>
      <c r="R303" s="37"/>
    </row>
    <row r="304" spans="1:18" s="37" customFormat="1" ht="19.899999999999999" customHeight="1" x14ac:dyDescent="0.5">
      <c r="A304" s="30">
        <v>1</v>
      </c>
      <c r="B304" s="30" t="s">
        <v>17</v>
      </c>
      <c r="C304" s="30" t="s">
        <v>18</v>
      </c>
      <c r="D304" s="47" t="s">
        <v>22</v>
      </c>
      <c r="E304" s="48">
        <v>1</v>
      </c>
      <c r="F304" s="49">
        <v>1000</v>
      </c>
      <c r="G304" s="53">
        <f t="shared" ref="G304:G305" si="56">SUM(E304*F304)</f>
        <v>1000</v>
      </c>
      <c r="H304" s="21"/>
      <c r="I304" s="28"/>
    </row>
    <row r="305" spans="1:18" s="37" customFormat="1" ht="19.899999999999999" customHeight="1" x14ac:dyDescent="0.5">
      <c r="A305" s="30">
        <v>2</v>
      </c>
      <c r="B305" s="30" t="s">
        <v>19</v>
      </c>
      <c r="C305" s="30" t="s">
        <v>20</v>
      </c>
      <c r="D305" s="47" t="s">
        <v>22</v>
      </c>
      <c r="E305" s="48">
        <v>0</v>
      </c>
      <c r="F305" s="49">
        <v>1000</v>
      </c>
      <c r="G305" s="53">
        <f t="shared" si="56"/>
        <v>0</v>
      </c>
      <c r="H305" s="21"/>
      <c r="I305" s="28"/>
    </row>
    <row r="306" spans="1:18" s="37" customFormat="1" ht="19.899999999999999" customHeight="1" x14ac:dyDescent="0.5">
      <c r="A306" s="30">
        <v>3</v>
      </c>
      <c r="B306" s="30" t="s">
        <v>27</v>
      </c>
      <c r="C306" s="46" t="s">
        <v>28</v>
      </c>
      <c r="D306" s="47" t="s">
        <v>22</v>
      </c>
      <c r="E306" s="48">
        <v>0</v>
      </c>
      <c r="F306" s="49">
        <v>1000</v>
      </c>
      <c r="G306" s="78">
        <f>SUM(E306*F306)</f>
        <v>0</v>
      </c>
      <c r="H306" s="21"/>
      <c r="I306" s="28"/>
    </row>
    <row r="307" spans="1:18" s="37" customFormat="1" ht="19.899999999999999" customHeight="1" x14ac:dyDescent="0.5">
      <c r="A307" s="30">
        <v>4</v>
      </c>
      <c r="B307" s="30" t="s">
        <v>41</v>
      </c>
      <c r="C307" s="79" t="s">
        <v>42</v>
      </c>
      <c r="D307" s="47" t="s">
        <v>22</v>
      </c>
      <c r="E307" s="48">
        <v>4</v>
      </c>
      <c r="F307" s="49">
        <v>1000</v>
      </c>
      <c r="G307" s="78">
        <f t="shared" ref="G307:G308" si="57">SUM(E307*F307)</f>
        <v>4000</v>
      </c>
      <c r="H307" s="21"/>
      <c r="I307" s="28"/>
    </row>
    <row r="308" spans="1:18" s="37" customFormat="1" ht="19.899999999999999" customHeight="1" x14ac:dyDescent="0.5">
      <c r="A308" s="30">
        <v>5</v>
      </c>
      <c r="B308" s="30" t="s">
        <v>43</v>
      </c>
      <c r="C308" s="79" t="s">
        <v>44</v>
      </c>
      <c r="D308" s="47" t="s">
        <v>22</v>
      </c>
      <c r="E308" s="48">
        <v>7</v>
      </c>
      <c r="F308" s="49">
        <v>1000</v>
      </c>
      <c r="G308" s="78">
        <f t="shared" si="57"/>
        <v>7000</v>
      </c>
      <c r="H308" s="21"/>
      <c r="I308" s="28"/>
    </row>
    <row r="309" spans="1:18" s="21" customFormat="1" ht="19.899999999999999" customHeight="1" x14ac:dyDescent="0.5">
      <c r="A309" s="30">
        <v>6</v>
      </c>
      <c r="B309" s="50" t="s">
        <v>23</v>
      </c>
      <c r="C309" s="43" t="s">
        <v>24</v>
      </c>
      <c r="D309" s="47" t="s">
        <v>22</v>
      </c>
      <c r="E309" s="48">
        <v>1</v>
      </c>
      <c r="F309" s="49">
        <v>1000</v>
      </c>
      <c r="G309" s="53">
        <f>SUM(E309*F309)</f>
        <v>1000</v>
      </c>
    </row>
    <row r="310" spans="1:18" s="2" customFormat="1" ht="21.6" customHeight="1" x14ac:dyDescent="0.5">
      <c r="A310" s="30">
        <v>7</v>
      </c>
      <c r="B310" s="31" t="s">
        <v>36</v>
      </c>
      <c r="C310" s="30" t="s">
        <v>35</v>
      </c>
      <c r="D310" s="47" t="s">
        <v>22</v>
      </c>
      <c r="E310" s="48">
        <v>5</v>
      </c>
      <c r="F310" s="49">
        <v>1000</v>
      </c>
      <c r="G310" s="58">
        <f t="shared" ref="G310:G311" si="58">SUM(E310*F310)</f>
        <v>5000</v>
      </c>
      <c r="H310" s="80" t="s">
        <v>57</v>
      </c>
      <c r="K310" s="37"/>
      <c r="L310" s="37"/>
      <c r="M310" s="37"/>
      <c r="N310" s="37"/>
    </row>
    <row r="311" spans="1:18" s="21" customFormat="1" ht="19.899999999999999" customHeight="1" x14ac:dyDescent="0.5">
      <c r="A311" s="30">
        <v>8</v>
      </c>
      <c r="B311" s="51" t="s">
        <v>7</v>
      </c>
      <c r="C311" s="33" t="s">
        <v>29</v>
      </c>
      <c r="D311" s="47" t="s">
        <v>4</v>
      </c>
      <c r="E311" s="48">
        <v>2</v>
      </c>
      <c r="F311" s="52">
        <v>1000</v>
      </c>
      <c r="G311" s="53">
        <f t="shared" si="58"/>
        <v>2000</v>
      </c>
    </row>
    <row r="312" spans="1:18" s="21" customFormat="1" ht="19.899999999999999" customHeight="1" x14ac:dyDescent="0.5">
      <c r="A312" s="30">
        <v>9</v>
      </c>
      <c r="B312" s="33" t="s">
        <v>21</v>
      </c>
      <c r="C312" s="33" t="s">
        <v>3</v>
      </c>
      <c r="D312" s="47" t="s">
        <v>9</v>
      </c>
      <c r="E312" s="29">
        <v>1</v>
      </c>
      <c r="F312" s="54">
        <v>8000</v>
      </c>
      <c r="G312" s="53">
        <f>SUM(E312*F312)</f>
        <v>8000</v>
      </c>
    </row>
    <row r="313" spans="1:18" s="21" customFormat="1" ht="19.899999999999999" customHeight="1" x14ac:dyDescent="0.5">
      <c r="A313" s="30">
        <v>10</v>
      </c>
      <c r="B313" s="55" t="s">
        <v>25</v>
      </c>
      <c r="C313" s="56"/>
      <c r="D313" s="47" t="s">
        <v>4</v>
      </c>
      <c r="E313" s="44" t="s">
        <v>26</v>
      </c>
      <c r="F313" s="49" t="s">
        <v>9</v>
      </c>
      <c r="G313" s="57" t="s">
        <v>9</v>
      </c>
    </row>
    <row r="314" spans="1:18" s="2" customFormat="1" ht="21.6" customHeight="1" x14ac:dyDescent="0.2">
      <c r="A314" s="61"/>
      <c r="B314" s="62"/>
      <c r="C314" s="63"/>
      <c r="D314" s="64"/>
      <c r="E314" s="65"/>
      <c r="F314" s="59" t="s">
        <v>32</v>
      </c>
      <c r="G314" s="60">
        <f>SUM(G304:G313)</f>
        <v>28000</v>
      </c>
      <c r="I314" s="21"/>
      <c r="J314" s="21"/>
    </row>
    <row r="315" spans="1:18" s="2" customFormat="1" ht="21.6" customHeight="1" x14ac:dyDescent="0.2">
      <c r="A315" s="65"/>
      <c r="B315" s="62"/>
      <c r="C315" s="63"/>
      <c r="D315" s="64"/>
      <c r="E315" s="65"/>
      <c r="F315" s="65"/>
      <c r="G315" s="65"/>
      <c r="H315" s="65"/>
      <c r="I315" s="21"/>
      <c r="J315" s="21"/>
    </row>
    <row r="316" spans="1:18" customFormat="1" ht="30" customHeight="1" thickBot="1" x14ac:dyDescent="0.55000000000000004">
      <c r="A316" s="34"/>
      <c r="B316" s="35"/>
      <c r="C316" s="35"/>
      <c r="D316" s="35"/>
      <c r="E316" s="36"/>
      <c r="F316" s="37"/>
      <c r="G316" s="37"/>
    </row>
    <row r="317" spans="1:18" s="10" customFormat="1" ht="23.25" x14ac:dyDescent="0.5">
      <c r="A317" s="38"/>
      <c r="B317" s="39"/>
      <c r="C317" s="39"/>
      <c r="D317" s="39"/>
      <c r="E317" s="40"/>
      <c r="F317" s="41"/>
      <c r="G317" s="41"/>
    </row>
    <row r="318" spans="1:18" s="21" customFormat="1" ht="19.899999999999999" customHeight="1" x14ac:dyDescent="0.5">
      <c r="A318" s="45"/>
      <c r="B318" s="84" t="s">
        <v>75</v>
      </c>
      <c r="C318" s="84"/>
      <c r="D318" s="84"/>
      <c r="F318" s="85" t="s">
        <v>6</v>
      </c>
      <c r="G318" s="86"/>
      <c r="I318" s="37"/>
      <c r="L318" s="37"/>
      <c r="M318" s="37"/>
      <c r="N318" s="37"/>
      <c r="O318" s="37"/>
      <c r="P318" s="37"/>
      <c r="Q318" s="37"/>
      <c r="R318" s="37"/>
    </row>
    <row r="319" spans="1:18" s="37" customFormat="1" ht="19.899999999999999" customHeight="1" x14ac:dyDescent="0.5">
      <c r="A319" s="30">
        <v>1</v>
      </c>
      <c r="B319" s="30" t="s">
        <v>17</v>
      </c>
      <c r="C319" s="30" t="s">
        <v>18</v>
      </c>
      <c r="D319" s="47" t="s">
        <v>22</v>
      </c>
      <c r="E319" s="48">
        <v>1</v>
      </c>
      <c r="F319" s="49">
        <v>1000</v>
      </c>
      <c r="G319" s="53">
        <f t="shared" ref="G319:G320" si="59">SUM(E319*F319)</f>
        <v>1000</v>
      </c>
      <c r="H319" s="21"/>
      <c r="I319" s="28"/>
    </row>
    <row r="320" spans="1:18" s="37" customFormat="1" ht="19.899999999999999" customHeight="1" x14ac:dyDescent="0.5">
      <c r="A320" s="30">
        <v>2</v>
      </c>
      <c r="B320" s="30" t="s">
        <v>19</v>
      </c>
      <c r="C320" s="30" t="s">
        <v>20</v>
      </c>
      <c r="D320" s="47" t="s">
        <v>22</v>
      </c>
      <c r="E320" s="48">
        <v>0</v>
      </c>
      <c r="F320" s="49">
        <v>1000</v>
      </c>
      <c r="G320" s="53">
        <f t="shared" si="59"/>
        <v>0</v>
      </c>
      <c r="H320" s="21"/>
      <c r="I320" s="28"/>
    </row>
    <row r="321" spans="1:18" s="37" customFormat="1" ht="19.899999999999999" customHeight="1" x14ac:dyDescent="0.5">
      <c r="A321" s="30">
        <v>3</v>
      </c>
      <c r="B321" s="30" t="s">
        <v>27</v>
      </c>
      <c r="C321" s="46" t="s">
        <v>28</v>
      </c>
      <c r="D321" s="47" t="s">
        <v>22</v>
      </c>
      <c r="E321" s="48">
        <v>0</v>
      </c>
      <c r="F321" s="49">
        <v>1000</v>
      </c>
      <c r="G321" s="78">
        <f>SUM(E321*F321)</f>
        <v>0</v>
      </c>
      <c r="H321" s="21"/>
      <c r="I321" s="28"/>
    </row>
    <row r="322" spans="1:18" s="37" customFormat="1" ht="19.899999999999999" customHeight="1" x14ac:dyDescent="0.5">
      <c r="A322" s="30">
        <v>4</v>
      </c>
      <c r="B322" s="30" t="s">
        <v>41</v>
      </c>
      <c r="C322" s="79" t="s">
        <v>42</v>
      </c>
      <c r="D322" s="47" t="s">
        <v>22</v>
      </c>
      <c r="E322" s="48">
        <v>4</v>
      </c>
      <c r="F322" s="49">
        <v>1000</v>
      </c>
      <c r="G322" s="78">
        <f t="shared" ref="G322:G323" si="60">SUM(E322*F322)</f>
        <v>4000</v>
      </c>
      <c r="H322" s="21"/>
      <c r="I322" s="28"/>
    </row>
    <row r="323" spans="1:18" s="37" customFormat="1" ht="19.899999999999999" customHeight="1" x14ac:dyDescent="0.5">
      <c r="A323" s="30">
        <v>5</v>
      </c>
      <c r="B323" s="30" t="s">
        <v>43</v>
      </c>
      <c r="C323" s="79" t="s">
        <v>44</v>
      </c>
      <c r="D323" s="47" t="s">
        <v>22</v>
      </c>
      <c r="E323" s="48">
        <v>7</v>
      </c>
      <c r="F323" s="49">
        <v>1000</v>
      </c>
      <c r="G323" s="78">
        <f t="shared" si="60"/>
        <v>7000</v>
      </c>
      <c r="H323" s="21"/>
      <c r="I323" s="28"/>
    </row>
    <row r="324" spans="1:18" s="21" customFormat="1" ht="19.899999999999999" customHeight="1" x14ac:dyDescent="0.5">
      <c r="A324" s="30">
        <v>6</v>
      </c>
      <c r="B324" s="50" t="s">
        <v>23</v>
      </c>
      <c r="C324" s="43" t="s">
        <v>24</v>
      </c>
      <c r="D324" s="47" t="s">
        <v>22</v>
      </c>
      <c r="E324" s="48">
        <v>1</v>
      </c>
      <c r="F324" s="49">
        <v>1000</v>
      </c>
      <c r="G324" s="53">
        <f>SUM(E324*F324)</f>
        <v>1000</v>
      </c>
    </row>
    <row r="325" spans="1:18" s="2" customFormat="1" ht="21.6" customHeight="1" x14ac:dyDescent="0.5">
      <c r="A325" s="30">
        <v>7</v>
      </c>
      <c r="B325" s="31" t="s">
        <v>36</v>
      </c>
      <c r="C325" s="30" t="s">
        <v>35</v>
      </c>
      <c r="D325" s="47" t="s">
        <v>22</v>
      </c>
      <c r="E325" s="48">
        <v>5</v>
      </c>
      <c r="F325" s="49">
        <v>1000</v>
      </c>
      <c r="G325" s="58">
        <f t="shared" ref="G325:G326" si="61">SUM(E325*F325)</f>
        <v>5000</v>
      </c>
      <c r="H325" s="80" t="s">
        <v>57</v>
      </c>
      <c r="K325" s="37"/>
      <c r="L325" s="37"/>
      <c r="M325" s="37"/>
      <c r="N325" s="37"/>
    </row>
    <row r="326" spans="1:18" s="21" customFormat="1" ht="19.899999999999999" customHeight="1" x14ac:dyDescent="0.5">
      <c r="A326" s="30">
        <v>8</v>
      </c>
      <c r="B326" s="51" t="s">
        <v>7</v>
      </c>
      <c r="C326" s="33" t="s">
        <v>29</v>
      </c>
      <c r="D326" s="47" t="s">
        <v>4</v>
      </c>
      <c r="E326" s="48">
        <v>2</v>
      </c>
      <c r="F326" s="52">
        <v>1000</v>
      </c>
      <c r="G326" s="53">
        <f t="shared" si="61"/>
        <v>2000</v>
      </c>
    </row>
    <row r="327" spans="1:18" s="21" customFormat="1" ht="19.899999999999999" customHeight="1" x14ac:dyDescent="0.5">
      <c r="A327" s="30">
        <v>9</v>
      </c>
      <c r="B327" s="33" t="s">
        <v>21</v>
      </c>
      <c r="C327" s="33" t="s">
        <v>3</v>
      </c>
      <c r="D327" s="47" t="s">
        <v>9</v>
      </c>
      <c r="E327" s="29">
        <v>1</v>
      </c>
      <c r="F327" s="54">
        <v>8000</v>
      </c>
      <c r="G327" s="53">
        <f>SUM(E327*F327)</f>
        <v>8000</v>
      </c>
    </row>
    <row r="328" spans="1:18" s="21" customFormat="1" ht="19.899999999999999" customHeight="1" x14ac:dyDescent="0.5">
      <c r="A328" s="30">
        <v>10</v>
      </c>
      <c r="B328" s="55" t="s">
        <v>25</v>
      </c>
      <c r="C328" s="56"/>
      <c r="D328" s="47" t="s">
        <v>4</v>
      </c>
      <c r="E328" s="44" t="s">
        <v>26</v>
      </c>
      <c r="F328" s="49" t="s">
        <v>9</v>
      </c>
      <c r="G328" s="57" t="s">
        <v>9</v>
      </c>
    </row>
    <row r="329" spans="1:18" s="2" customFormat="1" ht="21.6" customHeight="1" x14ac:dyDescent="0.2">
      <c r="A329" s="61"/>
      <c r="B329" s="62"/>
      <c r="C329" s="63"/>
      <c r="D329" s="64"/>
      <c r="E329" s="65"/>
      <c r="F329" s="59" t="s">
        <v>32</v>
      </c>
      <c r="G329" s="60">
        <f>SUM(G319:G328)</f>
        <v>28000</v>
      </c>
      <c r="I329" s="21"/>
      <c r="J329" s="21"/>
    </row>
    <row r="330" spans="1:18" s="2" customFormat="1" ht="21.6" customHeight="1" x14ac:dyDescent="0.2">
      <c r="A330" s="65"/>
      <c r="B330" s="62"/>
      <c r="C330" s="63"/>
      <c r="D330" s="64"/>
      <c r="E330" s="65"/>
      <c r="F330" s="65"/>
      <c r="G330" s="65"/>
      <c r="H330" s="65"/>
      <c r="I330" s="21"/>
      <c r="J330" s="21"/>
    </row>
    <row r="331" spans="1:18" customFormat="1" ht="30" customHeight="1" thickBot="1" x14ac:dyDescent="0.55000000000000004">
      <c r="A331" s="34"/>
      <c r="B331" s="35"/>
      <c r="C331" s="35"/>
      <c r="D331" s="35"/>
      <c r="E331" s="36"/>
      <c r="F331" s="37"/>
      <c r="G331" s="37"/>
    </row>
    <row r="332" spans="1:18" s="10" customFormat="1" ht="23.25" x14ac:dyDescent="0.5">
      <c r="A332" s="38"/>
      <c r="B332" s="39"/>
      <c r="C332" s="39"/>
      <c r="D332" s="39"/>
      <c r="E332" s="40"/>
      <c r="F332" s="41"/>
      <c r="G332" s="41"/>
    </row>
    <row r="333" spans="1:18" s="2" customFormat="1" ht="21.6" customHeight="1" x14ac:dyDescent="0.2">
      <c r="A333" s="65"/>
      <c r="B333" s="62"/>
      <c r="C333" s="63"/>
      <c r="D333" s="64"/>
      <c r="E333" s="65"/>
      <c r="F333" s="65"/>
      <c r="G333" s="65"/>
      <c r="H333" s="65"/>
      <c r="I333" s="21"/>
      <c r="J333" s="21"/>
    </row>
    <row r="334" spans="1:18" s="21" customFormat="1" ht="19.899999999999999" customHeight="1" x14ac:dyDescent="0.5">
      <c r="A334" s="45"/>
      <c r="B334" s="84" t="s">
        <v>76</v>
      </c>
      <c r="C334" s="84"/>
      <c r="D334" s="84"/>
      <c r="F334" s="85" t="s">
        <v>6</v>
      </c>
      <c r="G334" s="86"/>
      <c r="I334" s="37"/>
      <c r="L334" s="37"/>
      <c r="M334" s="37"/>
      <c r="N334" s="37"/>
      <c r="O334" s="37"/>
      <c r="P334" s="37"/>
      <c r="Q334" s="37"/>
      <c r="R334" s="37"/>
    </row>
    <row r="335" spans="1:18" s="37" customFormat="1" ht="19.899999999999999" customHeight="1" x14ac:dyDescent="0.5">
      <c r="A335" s="30">
        <v>1</v>
      </c>
      <c r="B335" s="30" t="s">
        <v>17</v>
      </c>
      <c r="C335" s="30" t="s">
        <v>18</v>
      </c>
      <c r="D335" s="47" t="s">
        <v>22</v>
      </c>
      <c r="E335" s="48">
        <v>1</v>
      </c>
      <c r="F335" s="49">
        <v>1000</v>
      </c>
      <c r="G335" s="53">
        <f t="shared" ref="G335:G336" si="62">SUM(E335*F335)</f>
        <v>1000</v>
      </c>
      <c r="H335" s="21"/>
      <c r="I335" s="28"/>
    </row>
    <row r="336" spans="1:18" s="37" customFormat="1" ht="19.899999999999999" customHeight="1" x14ac:dyDescent="0.5">
      <c r="A336" s="30">
        <v>2</v>
      </c>
      <c r="B336" s="30" t="s">
        <v>19</v>
      </c>
      <c r="C336" s="30" t="s">
        <v>20</v>
      </c>
      <c r="D336" s="47" t="s">
        <v>22</v>
      </c>
      <c r="E336" s="48">
        <v>0</v>
      </c>
      <c r="F336" s="49">
        <v>1000</v>
      </c>
      <c r="G336" s="53">
        <f t="shared" si="62"/>
        <v>0</v>
      </c>
      <c r="H336" s="21"/>
      <c r="I336" s="28"/>
    </row>
    <row r="337" spans="1:18" s="37" customFormat="1" ht="19.899999999999999" customHeight="1" x14ac:dyDescent="0.5">
      <c r="A337" s="30">
        <v>3</v>
      </c>
      <c r="B337" s="30" t="s">
        <v>27</v>
      </c>
      <c r="C337" s="46" t="s">
        <v>28</v>
      </c>
      <c r="D337" s="47" t="s">
        <v>22</v>
      </c>
      <c r="E337" s="48">
        <v>0</v>
      </c>
      <c r="F337" s="49">
        <v>1000</v>
      </c>
      <c r="G337" s="78">
        <f>SUM(E337*F337)</f>
        <v>0</v>
      </c>
      <c r="H337" s="21"/>
      <c r="I337" s="28"/>
    </row>
    <row r="338" spans="1:18" s="37" customFormat="1" ht="19.899999999999999" customHeight="1" x14ac:dyDescent="0.5">
      <c r="A338" s="30">
        <v>4</v>
      </c>
      <c r="B338" s="30" t="s">
        <v>41</v>
      </c>
      <c r="C338" s="79" t="s">
        <v>42</v>
      </c>
      <c r="D338" s="47" t="s">
        <v>22</v>
      </c>
      <c r="E338" s="48">
        <v>6</v>
      </c>
      <c r="F338" s="49">
        <v>1000</v>
      </c>
      <c r="G338" s="78">
        <f t="shared" ref="G338:G339" si="63">SUM(E338*F338)</f>
        <v>6000</v>
      </c>
      <c r="H338" s="21"/>
      <c r="I338" s="28"/>
    </row>
    <row r="339" spans="1:18" s="37" customFormat="1" ht="19.899999999999999" customHeight="1" x14ac:dyDescent="0.5">
      <c r="A339" s="30">
        <v>5</v>
      </c>
      <c r="B339" s="30" t="s">
        <v>43</v>
      </c>
      <c r="C339" s="79" t="s">
        <v>44</v>
      </c>
      <c r="D339" s="47" t="s">
        <v>22</v>
      </c>
      <c r="E339" s="48">
        <v>10</v>
      </c>
      <c r="F339" s="49">
        <v>1000</v>
      </c>
      <c r="G339" s="78">
        <f t="shared" si="63"/>
        <v>10000</v>
      </c>
      <c r="H339" s="21"/>
      <c r="I339" s="28"/>
    </row>
    <row r="340" spans="1:18" s="21" customFormat="1" ht="19.899999999999999" customHeight="1" x14ac:dyDescent="0.5">
      <c r="A340" s="30">
        <v>6</v>
      </c>
      <c r="B340" s="50" t="s">
        <v>23</v>
      </c>
      <c r="C340" s="43" t="s">
        <v>24</v>
      </c>
      <c r="D340" s="47" t="s">
        <v>22</v>
      </c>
      <c r="E340" s="48">
        <v>1</v>
      </c>
      <c r="F340" s="49">
        <v>1000</v>
      </c>
      <c r="G340" s="53">
        <f>SUM(E340*F340)</f>
        <v>1000</v>
      </c>
    </row>
    <row r="341" spans="1:18" s="2" customFormat="1" ht="21.6" customHeight="1" x14ac:dyDescent="0.5">
      <c r="A341" s="30">
        <v>7</v>
      </c>
      <c r="B341" s="31" t="s">
        <v>36</v>
      </c>
      <c r="C341" s="30" t="s">
        <v>35</v>
      </c>
      <c r="D341" s="47" t="s">
        <v>22</v>
      </c>
      <c r="E341" s="48">
        <v>5</v>
      </c>
      <c r="F341" s="49">
        <v>1000</v>
      </c>
      <c r="G341" s="58">
        <f t="shared" ref="G341:G342" si="64">SUM(E341*F341)</f>
        <v>5000</v>
      </c>
      <c r="K341" s="37"/>
      <c r="L341" s="37"/>
      <c r="M341" s="37"/>
      <c r="N341" s="37"/>
    </row>
    <row r="342" spans="1:18" s="21" customFormat="1" ht="19.899999999999999" customHeight="1" x14ac:dyDescent="0.5">
      <c r="A342" s="30">
        <v>8</v>
      </c>
      <c r="B342" s="51" t="s">
        <v>7</v>
      </c>
      <c r="C342" s="33" t="s">
        <v>29</v>
      </c>
      <c r="D342" s="47" t="s">
        <v>4</v>
      </c>
      <c r="E342" s="48">
        <v>5</v>
      </c>
      <c r="F342" s="52">
        <v>1000</v>
      </c>
      <c r="G342" s="53">
        <f t="shared" si="64"/>
        <v>5000</v>
      </c>
    </row>
    <row r="343" spans="1:18" s="21" customFormat="1" ht="19.899999999999999" customHeight="1" x14ac:dyDescent="0.5">
      <c r="A343" s="30">
        <v>9</v>
      </c>
      <c r="B343" s="33" t="s">
        <v>21</v>
      </c>
      <c r="C343" s="33" t="s">
        <v>3</v>
      </c>
      <c r="D343" s="47" t="s">
        <v>9</v>
      </c>
      <c r="E343" s="29">
        <v>1</v>
      </c>
      <c r="F343" s="54">
        <v>8000</v>
      </c>
      <c r="G343" s="53">
        <f>SUM(E343*F343)</f>
        <v>8000</v>
      </c>
    </row>
    <row r="344" spans="1:18" s="21" customFormat="1" ht="19.899999999999999" customHeight="1" x14ac:dyDescent="0.5">
      <c r="A344" s="30">
        <v>10</v>
      </c>
      <c r="B344" s="55" t="s">
        <v>25</v>
      </c>
      <c r="C344" s="56"/>
      <c r="D344" s="47" t="s">
        <v>4</v>
      </c>
      <c r="E344" s="44" t="s">
        <v>26</v>
      </c>
      <c r="F344" s="49" t="s">
        <v>9</v>
      </c>
      <c r="G344" s="57" t="s">
        <v>9</v>
      </c>
    </row>
    <row r="345" spans="1:18" s="2" customFormat="1" ht="21.6" customHeight="1" x14ac:dyDescent="0.2">
      <c r="A345" s="61"/>
      <c r="B345" s="62"/>
      <c r="C345" s="63"/>
      <c r="D345" s="64"/>
      <c r="E345" s="65"/>
      <c r="F345" s="59" t="s">
        <v>32</v>
      </c>
      <c r="G345" s="60">
        <f>SUM(G335:G344)</f>
        <v>36000</v>
      </c>
      <c r="I345" s="21"/>
      <c r="J345" s="21"/>
    </row>
    <row r="346" spans="1:18" s="2" customFormat="1" ht="21.6" customHeight="1" x14ac:dyDescent="0.2">
      <c r="A346" s="65"/>
      <c r="B346" s="62"/>
      <c r="C346" s="63"/>
      <c r="D346" s="64"/>
      <c r="E346" s="65"/>
      <c r="F346" s="65"/>
      <c r="G346" s="65"/>
      <c r="H346" s="65"/>
      <c r="I346" s="21"/>
      <c r="J346" s="21"/>
    </row>
    <row r="347" spans="1:18" customFormat="1" ht="30" customHeight="1" thickBot="1" x14ac:dyDescent="0.55000000000000004">
      <c r="A347" s="34"/>
      <c r="B347" s="35"/>
      <c r="C347" s="35"/>
      <c r="D347" s="35"/>
      <c r="E347" s="36"/>
      <c r="F347" s="37"/>
      <c r="G347" s="37"/>
    </row>
    <row r="348" spans="1:18" s="10" customFormat="1" ht="23.25" x14ac:dyDescent="0.5">
      <c r="A348" s="38"/>
      <c r="B348" s="39"/>
      <c r="C348" s="39"/>
      <c r="D348" s="39"/>
      <c r="E348" s="40"/>
      <c r="F348" s="41"/>
      <c r="G348" s="41"/>
    </row>
    <row r="349" spans="1:18" s="21" customFormat="1" ht="19.899999999999999" customHeight="1" x14ac:dyDescent="0.5">
      <c r="A349" s="45"/>
      <c r="B349" s="84" t="s">
        <v>77</v>
      </c>
      <c r="C349" s="84"/>
      <c r="D349" s="84"/>
      <c r="F349" s="85" t="s">
        <v>6</v>
      </c>
      <c r="G349" s="86"/>
      <c r="I349" s="37"/>
      <c r="L349" s="37"/>
      <c r="M349" s="37"/>
      <c r="N349" s="37"/>
      <c r="O349" s="37"/>
      <c r="P349" s="37"/>
      <c r="Q349" s="37"/>
      <c r="R349" s="37"/>
    </row>
    <row r="350" spans="1:18" s="37" customFormat="1" ht="19.899999999999999" customHeight="1" x14ac:dyDescent="0.5">
      <c r="A350" s="30">
        <v>1</v>
      </c>
      <c r="B350" s="30" t="s">
        <v>17</v>
      </c>
      <c r="C350" s="30" t="s">
        <v>18</v>
      </c>
      <c r="D350" s="47" t="s">
        <v>22</v>
      </c>
      <c r="E350" s="48">
        <v>1</v>
      </c>
      <c r="F350" s="49">
        <v>1000</v>
      </c>
      <c r="G350" s="53">
        <f t="shared" ref="G350:G351" si="65">SUM(E350*F350)</f>
        <v>1000</v>
      </c>
      <c r="H350" s="21"/>
      <c r="I350" s="28"/>
    </row>
    <row r="351" spans="1:18" s="37" customFormat="1" ht="19.899999999999999" customHeight="1" x14ac:dyDescent="0.5">
      <c r="A351" s="30">
        <v>2</v>
      </c>
      <c r="B351" s="30" t="s">
        <v>19</v>
      </c>
      <c r="C351" s="30" t="s">
        <v>20</v>
      </c>
      <c r="D351" s="47" t="s">
        <v>22</v>
      </c>
      <c r="E351" s="48">
        <v>0</v>
      </c>
      <c r="F351" s="49">
        <v>1000</v>
      </c>
      <c r="G351" s="53">
        <f t="shared" si="65"/>
        <v>0</v>
      </c>
      <c r="H351" s="21"/>
      <c r="I351" s="28"/>
    </row>
    <row r="352" spans="1:18" s="37" customFormat="1" ht="19.899999999999999" customHeight="1" x14ac:dyDescent="0.5">
      <c r="A352" s="30">
        <v>3</v>
      </c>
      <c r="B352" s="30" t="s">
        <v>27</v>
      </c>
      <c r="C352" s="46" t="s">
        <v>28</v>
      </c>
      <c r="D352" s="47" t="s">
        <v>22</v>
      </c>
      <c r="E352" s="48">
        <v>0</v>
      </c>
      <c r="F352" s="49">
        <v>1000</v>
      </c>
      <c r="G352" s="78">
        <f>SUM(E352*F352)</f>
        <v>0</v>
      </c>
      <c r="H352" s="21"/>
      <c r="I352" s="28"/>
    </row>
    <row r="353" spans="1:18" s="37" customFormat="1" ht="19.899999999999999" customHeight="1" x14ac:dyDescent="0.5">
      <c r="A353" s="30">
        <v>4</v>
      </c>
      <c r="B353" s="30" t="s">
        <v>41</v>
      </c>
      <c r="C353" s="79" t="s">
        <v>42</v>
      </c>
      <c r="D353" s="47" t="s">
        <v>22</v>
      </c>
      <c r="E353" s="48">
        <v>4</v>
      </c>
      <c r="F353" s="49">
        <v>1000</v>
      </c>
      <c r="G353" s="78">
        <f t="shared" ref="G353:G354" si="66">SUM(E353*F353)</f>
        <v>4000</v>
      </c>
      <c r="H353" s="21"/>
      <c r="I353" s="28"/>
    </row>
    <row r="354" spans="1:18" s="37" customFormat="1" ht="19.899999999999999" customHeight="1" x14ac:dyDescent="0.5">
      <c r="A354" s="30">
        <v>5</v>
      </c>
      <c r="B354" s="30" t="s">
        <v>43</v>
      </c>
      <c r="C354" s="79" t="s">
        <v>44</v>
      </c>
      <c r="D354" s="47" t="s">
        <v>22</v>
      </c>
      <c r="E354" s="48">
        <v>7</v>
      </c>
      <c r="F354" s="49">
        <v>1000</v>
      </c>
      <c r="G354" s="78">
        <f t="shared" si="66"/>
        <v>7000</v>
      </c>
      <c r="H354" s="21"/>
      <c r="I354" s="28"/>
    </row>
    <row r="355" spans="1:18" s="21" customFormat="1" ht="19.899999999999999" customHeight="1" x14ac:dyDescent="0.5">
      <c r="A355" s="30">
        <v>6</v>
      </c>
      <c r="B355" s="50" t="s">
        <v>23</v>
      </c>
      <c r="C355" s="43" t="s">
        <v>24</v>
      </c>
      <c r="D355" s="47" t="s">
        <v>22</v>
      </c>
      <c r="E355" s="48">
        <v>0</v>
      </c>
      <c r="F355" s="49">
        <v>1000</v>
      </c>
      <c r="G355" s="53">
        <f>SUM(E355*F355)</f>
        <v>0</v>
      </c>
    </row>
    <row r="356" spans="1:18" s="2" customFormat="1" ht="21.6" customHeight="1" x14ac:dyDescent="0.5">
      <c r="A356" s="30">
        <v>7</v>
      </c>
      <c r="B356" s="31" t="s">
        <v>36</v>
      </c>
      <c r="C356" s="30" t="s">
        <v>35</v>
      </c>
      <c r="D356" s="47" t="s">
        <v>22</v>
      </c>
      <c r="E356" s="48">
        <v>3</v>
      </c>
      <c r="F356" s="49">
        <v>1000</v>
      </c>
      <c r="G356" s="58">
        <f t="shared" ref="G356:G357" si="67">SUM(E356*F356)</f>
        <v>3000</v>
      </c>
      <c r="K356" s="37"/>
      <c r="L356" s="37"/>
      <c r="M356" s="37"/>
      <c r="N356" s="37"/>
    </row>
    <row r="357" spans="1:18" s="21" customFormat="1" ht="19.899999999999999" customHeight="1" x14ac:dyDescent="0.5">
      <c r="A357" s="30">
        <v>8</v>
      </c>
      <c r="B357" s="51" t="s">
        <v>7</v>
      </c>
      <c r="C357" s="33" t="s">
        <v>29</v>
      </c>
      <c r="D357" s="47" t="s">
        <v>4</v>
      </c>
      <c r="E357" s="48">
        <v>0</v>
      </c>
      <c r="F357" s="52">
        <v>1000</v>
      </c>
      <c r="G357" s="53">
        <f t="shared" si="67"/>
        <v>0</v>
      </c>
    </row>
    <row r="358" spans="1:18" s="21" customFormat="1" ht="19.899999999999999" customHeight="1" x14ac:dyDescent="0.5">
      <c r="A358" s="30">
        <v>9</v>
      </c>
      <c r="B358" s="33" t="s">
        <v>21</v>
      </c>
      <c r="C358" s="33" t="s">
        <v>3</v>
      </c>
      <c r="D358" s="47" t="s">
        <v>9</v>
      </c>
      <c r="E358" s="29">
        <v>1</v>
      </c>
      <c r="F358" s="54">
        <v>8000</v>
      </c>
      <c r="G358" s="53">
        <f>SUM(E358*F358)</f>
        <v>8000</v>
      </c>
    </row>
    <row r="359" spans="1:18" s="21" customFormat="1" ht="19.899999999999999" customHeight="1" x14ac:dyDescent="0.5">
      <c r="A359" s="30">
        <v>10</v>
      </c>
      <c r="B359" s="55" t="s">
        <v>25</v>
      </c>
      <c r="C359" s="56"/>
      <c r="D359" s="47" t="s">
        <v>4</v>
      </c>
      <c r="E359" s="44" t="s">
        <v>26</v>
      </c>
      <c r="F359" s="49" t="s">
        <v>9</v>
      </c>
      <c r="G359" s="57" t="s">
        <v>9</v>
      </c>
    </row>
    <row r="360" spans="1:18" s="2" customFormat="1" ht="21.6" customHeight="1" x14ac:dyDescent="0.2">
      <c r="A360" s="61"/>
      <c r="B360" s="62"/>
      <c r="C360" s="63"/>
      <c r="D360" s="64"/>
      <c r="E360" s="65"/>
      <c r="F360" s="59" t="s">
        <v>32</v>
      </c>
      <c r="G360" s="60">
        <f>SUM(G350:G359)</f>
        <v>23000</v>
      </c>
      <c r="I360" s="21"/>
      <c r="J360" s="21"/>
    </row>
    <row r="361" spans="1:18" s="2" customFormat="1" ht="21.6" customHeight="1" x14ac:dyDescent="0.2">
      <c r="A361" s="65"/>
      <c r="B361" s="62"/>
      <c r="C361" s="63"/>
      <c r="D361" s="64"/>
      <c r="E361" s="65"/>
      <c r="F361" s="65"/>
      <c r="G361" s="65"/>
      <c r="H361" s="65"/>
      <c r="I361" s="21"/>
      <c r="J361" s="21"/>
    </row>
    <row r="362" spans="1:18" customFormat="1" ht="30" customHeight="1" thickBot="1" x14ac:dyDescent="0.55000000000000004">
      <c r="A362" s="34"/>
      <c r="B362" s="35"/>
      <c r="C362" s="35"/>
      <c r="D362" s="35"/>
      <c r="E362" s="36"/>
      <c r="F362" s="37"/>
      <c r="G362" s="37"/>
    </row>
    <row r="363" spans="1:18" s="10" customFormat="1" ht="23.25" x14ac:dyDescent="0.5">
      <c r="A363" s="38"/>
      <c r="B363" s="39"/>
      <c r="C363" s="39"/>
      <c r="D363" s="39"/>
      <c r="E363" s="40"/>
      <c r="F363" s="41"/>
      <c r="G363" s="41"/>
    </row>
    <row r="364" spans="1:18" s="21" customFormat="1" ht="19.899999999999999" customHeight="1" x14ac:dyDescent="0.5">
      <c r="A364" s="45"/>
      <c r="B364" s="84" t="s">
        <v>78</v>
      </c>
      <c r="C364" s="84"/>
      <c r="D364" s="84"/>
      <c r="F364" s="85" t="s">
        <v>6</v>
      </c>
      <c r="G364" s="86"/>
      <c r="I364" s="37"/>
      <c r="L364" s="37"/>
      <c r="M364" s="37"/>
      <c r="N364" s="37"/>
      <c r="O364" s="37"/>
      <c r="P364" s="37"/>
      <c r="Q364" s="37"/>
      <c r="R364" s="37"/>
    </row>
    <row r="365" spans="1:18" s="37" customFormat="1" ht="19.899999999999999" customHeight="1" x14ac:dyDescent="0.5">
      <c r="A365" s="30">
        <v>1</v>
      </c>
      <c r="B365" s="30" t="s">
        <v>17</v>
      </c>
      <c r="C365" s="30" t="s">
        <v>18</v>
      </c>
      <c r="D365" s="47" t="s">
        <v>22</v>
      </c>
      <c r="E365" s="48">
        <v>1</v>
      </c>
      <c r="F365" s="49">
        <v>1000</v>
      </c>
      <c r="G365" s="53">
        <f t="shared" ref="G365:G366" si="68">SUM(E365*F365)</f>
        <v>1000</v>
      </c>
      <c r="H365" s="21"/>
      <c r="I365" s="28"/>
    </row>
    <row r="366" spans="1:18" s="37" customFormat="1" ht="19.899999999999999" customHeight="1" x14ac:dyDescent="0.5">
      <c r="A366" s="30">
        <v>2</v>
      </c>
      <c r="B366" s="30" t="s">
        <v>19</v>
      </c>
      <c r="C366" s="30" t="s">
        <v>20</v>
      </c>
      <c r="D366" s="47" t="s">
        <v>22</v>
      </c>
      <c r="E366" s="48">
        <v>0</v>
      </c>
      <c r="F366" s="49">
        <v>1000</v>
      </c>
      <c r="G366" s="53">
        <f t="shared" si="68"/>
        <v>0</v>
      </c>
      <c r="H366" s="21"/>
      <c r="I366" s="28"/>
    </row>
    <row r="367" spans="1:18" s="37" customFormat="1" ht="19.899999999999999" customHeight="1" x14ac:dyDescent="0.5">
      <c r="A367" s="30">
        <v>3</v>
      </c>
      <c r="B367" s="30" t="s">
        <v>27</v>
      </c>
      <c r="C367" s="46" t="s">
        <v>28</v>
      </c>
      <c r="D367" s="47" t="s">
        <v>22</v>
      </c>
      <c r="E367" s="48">
        <v>0</v>
      </c>
      <c r="F367" s="49">
        <v>1000</v>
      </c>
      <c r="G367" s="78">
        <f>SUM(E367*F367)</f>
        <v>0</v>
      </c>
      <c r="H367" s="21"/>
      <c r="I367" s="28"/>
    </row>
    <row r="368" spans="1:18" s="37" customFormat="1" ht="19.899999999999999" customHeight="1" x14ac:dyDescent="0.5">
      <c r="A368" s="30">
        <v>4</v>
      </c>
      <c r="B368" s="30" t="s">
        <v>41</v>
      </c>
      <c r="C368" s="79" t="s">
        <v>42</v>
      </c>
      <c r="D368" s="47" t="s">
        <v>22</v>
      </c>
      <c r="E368" s="48">
        <v>4</v>
      </c>
      <c r="F368" s="49">
        <v>1000</v>
      </c>
      <c r="G368" s="78">
        <f t="shared" ref="G368:G369" si="69">SUM(E368*F368)</f>
        <v>4000</v>
      </c>
      <c r="H368" s="21"/>
      <c r="I368" s="28"/>
    </row>
    <row r="369" spans="1:18" s="37" customFormat="1" ht="19.899999999999999" customHeight="1" x14ac:dyDescent="0.5">
      <c r="A369" s="30">
        <v>5</v>
      </c>
      <c r="B369" s="30" t="s">
        <v>43</v>
      </c>
      <c r="C369" s="79" t="s">
        <v>44</v>
      </c>
      <c r="D369" s="47" t="s">
        <v>22</v>
      </c>
      <c r="E369" s="48">
        <v>7</v>
      </c>
      <c r="F369" s="49">
        <v>1000</v>
      </c>
      <c r="G369" s="78">
        <f t="shared" si="69"/>
        <v>7000</v>
      </c>
      <c r="H369" s="21"/>
      <c r="I369" s="28"/>
    </row>
    <row r="370" spans="1:18" s="21" customFormat="1" ht="19.899999999999999" customHeight="1" x14ac:dyDescent="0.5">
      <c r="A370" s="30">
        <v>6</v>
      </c>
      <c r="B370" s="50" t="s">
        <v>23</v>
      </c>
      <c r="C370" s="43" t="s">
        <v>24</v>
      </c>
      <c r="D370" s="47" t="s">
        <v>22</v>
      </c>
      <c r="E370" s="48">
        <v>0</v>
      </c>
      <c r="F370" s="49">
        <v>1000</v>
      </c>
      <c r="G370" s="53">
        <f>SUM(E370*F370)</f>
        <v>0</v>
      </c>
    </row>
    <row r="371" spans="1:18" s="2" customFormat="1" ht="21.6" customHeight="1" x14ac:dyDescent="0.5">
      <c r="A371" s="30">
        <v>7</v>
      </c>
      <c r="B371" s="31" t="s">
        <v>36</v>
      </c>
      <c r="C371" s="30" t="s">
        <v>35</v>
      </c>
      <c r="D371" s="47" t="s">
        <v>22</v>
      </c>
      <c r="E371" s="48">
        <v>3</v>
      </c>
      <c r="F371" s="49">
        <v>1000</v>
      </c>
      <c r="G371" s="58">
        <f t="shared" ref="G371:G372" si="70">SUM(E371*F371)</f>
        <v>3000</v>
      </c>
      <c r="K371" s="37"/>
      <c r="L371" s="37"/>
      <c r="M371" s="37"/>
      <c r="N371" s="37"/>
    </row>
    <row r="372" spans="1:18" s="21" customFormat="1" ht="19.899999999999999" customHeight="1" x14ac:dyDescent="0.5">
      <c r="A372" s="30">
        <v>8</v>
      </c>
      <c r="B372" s="51" t="s">
        <v>7</v>
      </c>
      <c r="C372" s="33" t="s">
        <v>29</v>
      </c>
      <c r="D372" s="47" t="s">
        <v>4</v>
      </c>
      <c r="E372" s="48">
        <v>0</v>
      </c>
      <c r="F372" s="52">
        <v>1000</v>
      </c>
      <c r="G372" s="53">
        <f t="shared" si="70"/>
        <v>0</v>
      </c>
    </row>
    <row r="373" spans="1:18" s="21" customFormat="1" ht="19.899999999999999" customHeight="1" x14ac:dyDescent="0.5">
      <c r="A373" s="30">
        <v>9</v>
      </c>
      <c r="B373" s="33" t="s">
        <v>21</v>
      </c>
      <c r="C373" s="33" t="s">
        <v>3</v>
      </c>
      <c r="D373" s="47" t="s">
        <v>9</v>
      </c>
      <c r="E373" s="29">
        <v>1</v>
      </c>
      <c r="F373" s="54">
        <v>8000</v>
      </c>
      <c r="G373" s="53">
        <f>SUM(E373*F373)</f>
        <v>8000</v>
      </c>
    </row>
    <row r="374" spans="1:18" s="21" customFormat="1" ht="19.899999999999999" customHeight="1" x14ac:dyDescent="0.5">
      <c r="A374" s="30">
        <v>10</v>
      </c>
      <c r="B374" s="55" t="s">
        <v>25</v>
      </c>
      <c r="C374" s="56"/>
      <c r="D374" s="47" t="s">
        <v>4</v>
      </c>
      <c r="E374" s="44" t="s">
        <v>26</v>
      </c>
      <c r="F374" s="49" t="s">
        <v>9</v>
      </c>
      <c r="G374" s="57" t="s">
        <v>9</v>
      </c>
    </row>
    <row r="375" spans="1:18" s="2" customFormat="1" ht="21.6" customHeight="1" x14ac:dyDescent="0.2">
      <c r="A375" s="61"/>
      <c r="B375" s="62"/>
      <c r="C375" s="63"/>
      <c r="D375" s="64"/>
      <c r="E375" s="65"/>
      <c r="F375" s="59" t="s">
        <v>32</v>
      </c>
      <c r="G375" s="60">
        <f>SUM(G365:G374)</f>
        <v>23000</v>
      </c>
      <c r="I375" s="21"/>
      <c r="J375" s="21"/>
    </row>
    <row r="376" spans="1:18" s="2" customFormat="1" ht="21.6" customHeight="1" x14ac:dyDescent="0.2">
      <c r="A376" s="65"/>
      <c r="B376" s="62"/>
      <c r="C376" s="63"/>
      <c r="D376" s="64"/>
      <c r="E376" s="65"/>
      <c r="F376" s="65"/>
      <c r="G376" s="65"/>
      <c r="H376" s="65"/>
      <c r="I376" s="21"/>
      <c r="J376" s="21"/>
    </row>
    <row r="377" spans="1:18" customFormat="1" ht="30" customHeight="1" thickBot="1" x14ac:dyDescent="0.55000000000000004">
      <c r="A377" s="34"/>
      <c r="B377" s="35"/>
      <c r="C377" s="35"/>
      <c r="D377" s="35"/>
      <c r="E377" s="36"/>
      <c r="F377" s="37"/>
      <c r="G377" s="37"/>
    </row>
    <row r="378" spans="1:18" s="10" customFormat="1" ht="23.25" x14ac:dyDescent="0.5">
      <c r="A378" s="38"/>
      <c r="B378" s="39"/>
      <c r="C378" s="39"/>
      <c r="D378" s="39"/>
      <c r="E378" s="40"/>
      <c r="F378" s="41"/>
      <c r="G378" s="41"/>
    </row>
    <row r="379" spans="1:18" s="21" customFormat="1" ht="19.899999999999999" customHeight="1" x14ac:dyDescent="0.5">
      <c r="A379" s="45"/>
      <c r="B379" s="84" t="s">
        <v>79</v>
      </c>
      <c r="C379" s="84"/>
      <c r="D379" s="84"/>
      <c r="F379" s="85" t="s">
        <v>6</v>
      </c>
      <c r="G379" s="86"/>
      <c r="I379" s="37"/>
      <c r="L379" s="37"/>
      <c r="M379" s="37"/>
      <c r="N379" s="37"/>
      <c r="O379" s="37"/>
      <c r="P379" s="37"/>
      <c r="Q379" s="37"/>
      <c r="R379" s="37"/>
    </row>
    <row r="380" spans="1:18" s="37" customFormat="1" ht="19.899999999999999" customHeight="1" x14ac:dyDescent="0.5">
      <c r="A380" s="30">
        <v>1</v>
      </c>
      <c r="B380" s="30" t="s">
        <v>17</v>
      </c>
      <c r="C380" s="30" t="s">
        <v>18</v>
      </c>
      <c r="D380" s="47" t="s">
        <v>22</v>
      </c>
      <c r="E380" s="48">
        <v>1</v>
      </c>
      <c r="F380" s="49">
        <v>1000</v>
      </c>
      <c r="G380" s="53">
        <f t="shared" ref="G380:G381" si="71">SUM(E380*F380)</f>
        <v>1000</v>
      </c>
      <c r="H380" s="21"/>
      <c r="I380" s="28"/>
    </row>
    <row r="381" spans="1:18" s="37" customFormat="1" ht="19.899999999999999" customHeight="1" x14ac:dyDescent="0.5">
      <c r="A381" s="30">
        <v>2</v>
      </c>
      <c r="B381" s="30" t="s">
        <v>19</v>
      </c>
      <c r="C381" s="30" t="s">
        <v>20</v>
      </c>
      <c r="D381" s="47" t="s">
        <v>22</v>
      </c>
      <c r="E381" s="48">
        <v>0</v>
      </c>
      <c r="F381" s="49">
        <v>1000</v>
      </c>
      <c r="G381" s="53">
        <f t="shared" si="71"/>
        <v>0</v>
      </c>
      <c r="H381" s="21"/>
      <c r="I381" s="28"/>
    </row>
    <row r="382" spans="1:18" s="37" customFormat="1" ht="19.899999999999999" customHeight="1" x14ac:dyDescent="0.5">
      <c r="A382" s="30">
        <v>3</v>
      </c>
      <c r="B382" s="30" t="s">
        <v>27</v>
      </c>
      <c r="C382" s="46" t="s">
        <v>28</v>
      </c>
      <c r="D382" s="47" t="s">
        <v>22</v>
      </c>
      <c r="E382" s="48">
        <v>0</v>
      </c>
      <c r="F382" s="49">
        <v>1000</v>
      </c>
      <c r="G382" s="78">
        <f>SUM(E382*F382)</f>
        <v>0</v>
      </c>
      <c r="H382" s="21"/>
      <c r="I382" s="28"/>
    </row>
    <row r="383" spans="1:18" s="37" customFormat="1" ht="19.899999999999999" customHeight="1" x14ac:dyDescent="0.5">
      <c r="A383" s="30">
        <v>4</v>
      </c>
      <c r="B383" s="30" t="s">
        <v>41</v>
      </c>
      <c r="C383" s="79" t="s">
        <v>42</v>
      </c>
      <c r="D383" s="47" t="s">
        <v>22</v>
      </c>
      <c r="E383" s="48">
        <v>4</v>
      </c>
      <c r="F383" s="49">
        <v>1000</v>
      </c>
      <c r="G383" s="78">
        <f t="shared" ref="G383:G384" si="72">SUM(E383*F383)</f>
        <v>4000</v>
      </c>
      <c r="H383" s="21"/>
      <c r="I383" s="28"/>
    </row>
    <row r="384" spans="1:18" s="37" customFormat="1" ht="19.899999999999999" customHeight="1" x14ac:dyDescent="0.5">
      <c r="A384" s="30">
        <v>5</v>
      </c>
      <c r="B384" s="30" t="s">
        <v>43</v>
      </c>
      <c r="C384" s="79" t="s">
        <v>44</v>
      </c>
      <c r="D384" s="47" t="s">
        <v>22</v>
      </c>
      <c r="E384" s="48">
        <v>7</v>
      </c>
      <c r="F384" s="49">
        <v>1000</v>
      </c>
      <c r="G384" s="78">
        <f t="shared" si="72"/>
        <v>7000</v>
      </c>
      <c r="H384" s="21"/>
      <c r="I384" s="28"/>
    </row>
    <row r="385" spans="1:18" s="21" customFormat="1" ht="19.899999999999999" customHeight="1" x14ac:dyDescent="0.5">
      <c r="A385" s="30">
        <v>6</v>
      </c>
      <c r="B385" s="50" t="s">
        <v>23</v>
      </c>
      <c r="C385" s="43" t="s">
        <v>24</v>
      </c>
      <c r="D385" s="47" t="s">
        <v>22</v>
      </c>
      <c r="E385" s="48">
        <v>0</v>
      </c>
      <c r="F385" s="49">
        <v>1000</v>
      </c>
      <c r="G385" s="53">
        <f>SUM(E385*F385)</f>
        <v>0</v>
      </c>
    </row>
    <row r="386" spans="1:18" s="2" customFormat="1" ht="21.6" customHeight="1" x14ac:dyDescent="0.5">
      <c r="A386" s="30">
        <v>7</v>
      </c>
      <c r="B386" s="31" t="s">
        <v>36</v>
      </c>
      <c r="C386" s="30" t="s">
        <v>35</v>
      </c>
      <c r="D386" s="47" t="s">
        <v>22</v>
      </c>
      <c r="E386" s="48">
        <v>3</v>
      </c>
      <c r="F386" s="49">
        <v>1000</v>
      </c>
      <c r="G386" s="58">
        <f t="shared" ref="G386:G387" si="73">SUM(E386*F386)</f>
        <v>3000</v>
      </c>
      <c r="K386" s="37"/>
      <c r="L386" s="37"/>
      <c r="M386" s="37"/>
      <c r="N386" s="37"/>
    </row>
    <row r="387" spans="1:18" s="21" customFormat="1" ht="19.899999999999999" customHeight="1" x14ac:dyDescent="0.5">
      <c r="A387" s="30">
        <v>8</v>
      </c>
      <c r="B387" s="51" t="s">
        <v>7</v>
      </c>
      <c r="C387" s="33" t="s">
        <v>29</v>
      </c>
      <c r="D387" s="47" t="s">
        <v>4</v>
      </c>
      <c r="E387" s="48">
        <v>0</v>
      </c>
      <c r="F387" s="52">
        <v>1000</v>
      </c>
      <c r="G387" s="53">
        <f t="shared" si="73"/>
        <v>0</v>
      </c>
    </row>
    <row r="388" spans="1:18" s="21" customFormat="1" ht="19.899999999999999" customHeight="1" x14ac:dyDescent="0.5">
      <c r="A388" s="30">
        <v>9</v>
      </c>
      <c r="B388" s="33" t="s">
        <v>21</v>
      </c>
      <c r="C388" s="33" t="s">
        <v>3</v>
      </c>
      <c r="D388" s="47" t="s">
        <v>9</v>
      </c>
      <c r="E388" s="29">
        <v>1</v>
      </c>
      <c r="F388" s="54">
        <v>8000</v>
      </c>
      <c r="G388" s="53">
        <f>SUM(E388*F388)</f>
        <v>8000</v>
      </c>
    </row>
    <row r="389" spans="1:18" s="21" customFormat="1" ht="19.899999999999999" customHeight="1" x14ac:dyDescent="0.5">
      <c r="A389" s="30">
        <v>10</v>
      </c>
      <c r="B389" s="55" t="s">
        <v>25</v>
      </c>
      <c r="C389" s="56"/>
      <c r="D389" s="47" t="s">
        <v>4</v>
      </c>
      <c r="E389" s="44" t="s">
        <v>26</v>
      </c>
      <c r="F389" s="49" t="s">
        <v>9</v>
      </c>
      <c r="G389" s="57" t="s">
        <v>9</v>
      </c>
    </row>
    <row r="390" spans="1:18" s="2" customFormat="1" ht="21.6" customHeight="1" x14ac:dyDescent="0.2">
      <c r="A390" s="61"/>
      <c r="B390" s="62"/>
      <c r="C390" s="63"/>
      <c r="D390" s="64"/>
      <c r="E390" s="65"/>
      <c r="F390" s="59" t="s">
        <v>32</v>
      </c>
      <c r="G390" s="60">
        <f>SUM(G380:G389)</f>
        <v>23000</v>
      </c>
      <c r="I390" s="21"/>
      <c r="J390" s="21"/>
    </row>
    <row r="391" spans="1:18" s="2" customFormat="1" ht="21.6" customHeight="1" x14ac:dyDescent="0.2">
      <c r="A391" s="65"/>
      <c r="B391" s="62"/>
      <c r="C391" s="63"/>
      <c r="D391" s="64"/>
      <c r="E391" s="65"/>
      <c r="F391" s="65"/>
      <c r="G391" s="65"/>
      <c r="H391" s="65"/>
      <c r="I391" s="21"/>
      <c r="J391" s="21"/>
    </row>
    <row r="392" spans="1:18" customFormat="1" ht="30" customHeight="1" thickBot="1" x14ac:dyDescent="0.55000000000000004">
      <c r="A392" s="34"/>
      <c r="B392" s="35"/>
      <c r="C392" s="35"/>
      <c r="D392" s="35"/>
      <c r="E392" s="36"/>
      <c r="F392" s="37"/>
      <c r="G392" s="37"/>
    </row>
    <row r="393" spans="1:18" s="10" customFormat="1" ht="23.25" x14ac:dyDescent="0.5">
      <c r="A393" s="38"/>
      <c r="B393" s="39"/>
      <c r="C393" s="39"/>
      <c r="D393" s="39"/>
      <c r="E393" s="40"/>
      <c r="F393" s="41"/>
      <c r="G393" s="41"/>
    </row>
    <row r="394" spans="1:18" s="21" customFormat="1" ht="19.899999999999999" customHeight="1" x14ac:dyDescent="0.5">
      <c r="A394" s="45"/>
      <c r="B394" s="84" t="s">
        <v>80</v>
      </c>
      <c r="C394" s="84"/>
      <c r="D394" s="84"/>
      <c r="F394" s="85" t="s">
        <v>6</v>
      </c>
      <c r="G394" s="86"/>
      <c r="I394" s="37"/>
      <c r="L394" s="37"/>
      <c r="M394" s="37"/>
      <c r="N394" s="37"/>
      <c r="O394" s="37"/>
      <c r="P394" s="37"/>
      <c r="Q394" s="37"/>
      <c r="R394" s="37"/>
    </row>
    <row r="395" spans="1:18" s="37" customFormat="1" ht="19.899999999999999" customHeight="1" x14ac:dyDescent="0.5">
      <c r="A395" s="30">
        <v>1</v>
      </c>
      <c r="B395" s="30" t="s">
        <v>17</v>
      </c>
      <c r="C395" s="30" t="s">
        <v>18</v>
      </c>
      <c r="D395" s="47" t="s">
        <v>22</v>
      </c>
      <c r="E395" s="48">
        <v>1</v>
      </c>
      <c r="F395" s="49">
        <v>1000</v>
      </c>
      <c r="G395" s="53">
        <f t="shared" ref="G395:G396" si="74">SUM(E395*F395)</f>
        <v>1000</v>
      </c>
      <c r="H395" s="21"/>
      <c r="I395" s="28"/>
    </row>
    <row r="396" spans="1:18" s="37" customFormat="1" ht="19.899999999999999" customHeight="1" x14ac:dyDescent="0.5">
      <c r="A396" s="30">
        <v>2</v>
      </c>
      <c r="B396" s="30" t="s">
        <v>19</v>
      </c>
      <c r="C396" s="30" t="s">
        <v>20</v>
      </c>
      <c r="D396" s="47" t="s">
        <v>22</v>
      </c>
      <c r="E396" s="48">
        <v>0</v>
      </c>
      <c r="F396" s="49">
        <v>1000</v>
      </c>
      <c r="G396" s="53">
        <f t="shared" si="74"/>
        <v>0</v>
      </c>
      <c r="H396" s="21"/>
      <c r="I396" s="28"/>
    </row>
    <row r="397" spans="1:18" s="37" customFormat="1" ht="19.899999999999999" customHeight="1" x14ac:dyDescent="0.5">
      <c r="A397" s="30">
        <v>3</v>
      </c>
      <c r="B397" s="30" t="s">
        <v>27</v>
      </c>
      <c r="C397" s="46" t="s">
        <v>28</v>
      </c>
      <c r="D397" s="47" t="s">
        <v>22</v>
      </c>
      <c r="E397" s="48">
        <v>0</v>
      </c>
      <c r="F397" s="49">
        <v>1000</v>
      </c>
      <c r="G397" s="78">
        <f>SUM(E397*F397)</f>
        <v>0</v>
      </c>
      <c r="H397" s="21"/>
      <c r="I397" s="28"/>
    </row>
    <row r="398" spans="1:18" s="37" customFormat="1" ht="19.899999999999999" customHeight="1" x14ac:dyDescent="0.5">
      <c r="A398" s="30">
        <v>4</v>
      </c>
      <c r="B398" s="30" t="s">
        <v>41</v>
      </c>
      <c r="C398" s="79" t="s">
        <v>42</v>
      </c>
      <c r="D398" s="47" t="s">
        <v>22</v>
      </c>
      <c r="E398" s="48">
        <v>4</v>
      </c>
      <c r="F398" s="49">
        <v>1000</v>
      </c>
      <c r="G398" s="78">
        <f t="shared" ref="G398:G399" si="75">SUM(E398*F398)</f>
        <v>4000</v>
      </c>
      <c r="H398" s="21"/>
      <c r="I398" s="28"/>
    </row>
    <row r="399" spans="1:18" s="37" customFormat="1" ht="19.899999999999999" customHeight="1" x14ac:dyDescent="0.5">
      <c r="A399" s="30">
        <v>5</v>
      </c>
      <c r="B399" s="30" t="s">
        <v>43</v>
      </c>
      <c r="C399" s="79" t="s">
        <v>44</v>
      </c>
      <c r="D399" s="47" t="s">
        <v>22</v>
      </c>
      <c r="E399" s="48">
        <v>7</v>
      </c>
      <c r="F399" s="49">
        <v>1000</v>
      </c>
      <c r="G399" s="78">
        <f t="shared" si="75"/>
        <v>7000</v>
      </c>
      <c r="H399" s="21"/>
      <c r="I399" s="28"/>
    </row>
    <row r="400" spans="1:18" s="21" customFormat="1" ht="19.899999999999999" customHeight="1" x14ac:dyDescent="0.5">
      <c r="A400" s="30">
        <v>6</v>
      </c>
      <c r="B400" s="50" t="s">
        <v>23</v>
      </c>
      <c r="C400" s="43" t="s">
        <v>24</v>
      </c>
      <c r="D400" s="47" t="s">
        <v>22</v>
      </c>
      <c r="E400" s="48">
        <v>0</v>
      </c>
      <c r="F400" s="49">
        <v>1000</v>
      </c>
      <c r="G400" s="53">
        <f>SUM(E400*F400)</f>
        <v>0</v>
      </c>
    </row>
    <row r="401" spans="1:18" s="2" customFormat="1" ht="21.6" customHeight="1" x14ac:dyDescent="0.5">
      <c r="A401" s="30">
        <v>7</v>
      </c>
      <c r="B401" s="31" t="s">
        <v>36</v>
      </c>
      <c r="C401" s="30" t="s">
        <v>35</v>
      </c>
      <c r="D401" s="47" t="s">
        <v>22</v>
      </c>
      <c r="E401" s="48">
        <v>3</v>
      </c>
      <c r="F401" s="49">
        <v>1000</v>
      </c>
      <c r="G401" s="58">
        <f t="shared" ref="G401:G402" si="76">SUM(E401*F401)</f>
        <v>3000</v>
      </c>
      <c r="K401" s="37"/>
      <c r="L401" s="37"/>
      <c r="M401" s="37"/>
      <c r="N401" s="37"/>
    </row>
    <row r="402" spans="1:18" s="21" customFormat="1" ht="19.899999999999999" customHeight="1" x14ac:dyDescent="0.5">
      <c r="A402" s="30">
        <v>8</v>
      </c>
      <c r="B402" s="51" t="s">
        <v>7</v>
      </c>
      <c r="C402" s="33" t="s">
        <v>29</v>
      </c>
      <c r="D402" s="47" t="s">
        <v>4</v>
      </c>
      <c r="E402" s="48">
        <v>0</v>
      </c>
      <c r="F402" s="52">
        <v>1000</v>
      </c>
      <c r="G402" s="53">
        <f t="shared" si="76"/>
        <v>0</v>
      </c>
    </row>
    <row r="403" spans="1:18" s="21" customFormat="1" ht="19.899999999999999" customHeight="1" x14ac:dyDescent="0.5">
      <c r="A403" s="30">
        <v>9</v>
      </c>
      <c r="B403" s="33" t="s">
        <v>21</v>
      </c>
      <c r="C403" s="33" t="s">
        <v>3</v>
      </c>
      <c r="D403" s="47" t="s">
        <v>9</v>
      </c>
      <c r="E403" s="29">
        <v>1</v>
      </c>
      <c r="F403" s="54">
        <v>8000</v>
      </c>
      <c r="G403" s="53">
        <f>SUM(E403*F403)</f>
        <v>8000</v>
      </c>
    </row>
    <row r="404" spans="1:18" s="21" customFormat="1" ht="19.899999999999999" customHeight="1" x14ac:dyDescent="0.5">
      <c r="A404" s="30">
        <v>10</v>
      </c>
      <c r="B404" s="55" t="s">
        <v>25</v>
      </c>
      <c r="C404" s="56"/>
      <c r="D404" s="47" t="s">
        <v>4</v>
      </c>
      <c r="E404" s="44" t="s">
        <v>26</v>
      </c>
      <c r="F404" s="49" t="s">
        <v>9</v>
      </c>
      <c r="G404" s="57" t="s">
        <v>9</v>
      </c>
    </row>
    <row r="405" spans="1:18" s="2" customFormat="1" ht="21.6" customHeight="1" x14ac:dyDescent="0.2">
      <c r="A405" s="61"/>
      <c r="B405" s="62"/>
      <c r="C405" s="63"/>
      <c r="D405" s="64"/>
      <c r="E405" s="65"/>
      <c r="F405" s="59" t="s">
        <v>32</v>
      </c>
      <c r="G405" s="60">
        <f>SUM(G395:G404)</f>
        <v>23000</v>
      </c>
      <c r="I405" s="21"/>
      <c r="J405" s="21"/>
    </row>
    <row r="406" spans="1:18" s="2" customFormat="1" ht="21.6" customHeight="1" x14ac:dyDescent="0.2">
      <c r="A406" s="65"/>
      <c r="B406" s="62"/>
      <c r="C406" s="63"/>
      <c r="D406" s="64"/>
      <c r="E406" s="65"/>
      <c r="F406" s="65"/>
      <c r="G406" s="65"/>
      <c r="H406" s="65"/>
      <c r="I406" s="21"/>
      <c r="J406" s="21"/>
    </row>
    <row r="407" spans="1:18" customFormat="1" ht="30" customHeight="1" thickBot="1" x14ac:dyDescent="0.55000000000000004">
      <c r="A407" s="34"/>
      <c r="B407" s="35"/>
      <c r="C407" s="35"/>
      <c r="D407" s="35"/>
      <c r="E407" s="36"/>
      <c r="F407" s="37"/>
      <c r="G407" s="37"/>
    </row>
    <row r="408" spans="1:18" s="10" customFormat="1" ht="23.25" x14ac:dyDescent="0.5">
      <c r="A408" s="38"/>
      <c r="B408" s="39"/>
      <c r="C408" s="39"/>
      <c r="D408" s="39"/>
      <c r="E408" s="40"/>
      <c r="F408" s="41"/>
      <c r="G408" s="41"/>
    </row>
    <row r="409" spans="1:18" s="21" customFormat="1" ht="19.899999999999999" customHeight="1" x14ac:dyDescent="0.5">
      <c r="A409" s="45"/>
      <c r="B409" s="84" t="s">
        <v>81</v>
      </c>
      <c r="C409" s="84"/>
      <c r="D409" s="84"/>
      <c r="F409" s="85" t="s">
        <v>6</v>
      </c>
      <c r="G409" s="86"/>
      <c r="I409" s="37"/>
      <c r="L409" s="37"/>
      <c r="M409" s="37"/>
      <c r="N409" s="37"/>
      <c r="O409" s="37"/>
      <c r="P409" s="37"/>
      <c r="Q409" s="37"/>
      <c r="R409" s="37"/>
    </row>
    <row r="410" spans="1:18" s="37" customFormat="1" ht="19.899999999999999" customHeight="1" x14ac:dyDescent="0.5">
      <c r="A410" s="30">
        <v>1</v>
      </c>
      <c r="B410" s="30" t="s">
        <v>17</v>
      </c>
      <c r="C410" s="30" t="s">
        <v>18</v>
      </c>
      <c r="D410" s="47" t="s">
        <v>22</v>
      </c>
      <c r="E410" s="48">
        <v>1</v>
      </c>
      <c r="F410" s="49">
        <v>1000</v>
      </c>
      <c r="G410" s="53">
        <f t="shared" ref="G410:G411" si="77">SUM(E410*F410)</f>
        <v>1000</v>
      </c>
      <c r="H410" s="21"/>
      <c r="I410" s="28"/>
    </row>
    <row r="411" spans="1:18" s="37" customFormat="1" ht="19.899999999999999" customHeight="1" x14ac:dyDescent="0.5">
      <c r="A411" s="30">
        <v>2</v>
      </c>
      <c r="B411" s="30" t="s">
        <v>19</v>
      </c>
      <c r="C411" s="30" t="s">
        <v>20</v>
      </c>
      <c r="D411" s="47" t="s">
        <v>22</v>
      </c>
      <c r="E411" s="48">
        <v>0</v>
      </c>
      <c r="F411" s="49">
        <v>1000</v>
      </c>
      <c r="G411" s="53">
        <f t="shared" si="77"/>
        <v>0</v>
      </c>
      <c r="H411" s="21"/>
      <c r="I411" s="28"/>
    </row>
    <row r="412" spans="1:18" s="37" customFormat="1" ht="19.899999999999999" customHeight="1" x14ac:dyDescent="0.5">
      <c r="A412" s="30">
        <v>3</v>
      </c>
      <c r="B412" s="30" t="s">
        <v>27</v>
      </c>
      <c r="C412" s="46" t="s">
        <v>28</v>
      </c>
      <c r="D412" s="47" t="s">
        <v>22</v>
      </c>
      <c r="E412" s="48">
        <v>0</v>
      </c>
      <c r="F412" s="49">
        <v>1000</v>
      </c>
      <c r="G412" s="78">
        <f>SUM(E412*F412)</f>
        <v>0</v>
      </c>
      <c r="H412" s="21"/>
      <c r="I412" s="28"/>
    </row>
    <row r="413" spans="1:18" s="37" customFormat="1" ht="19.899999999999999" customHeight="1" x14ac:dyDescent="0.5">
      <c r="A413" s="30">
        <v>4</v>
      </c>
      <c r="B413" s="30" t="s">
        <v>41</v>
      </c>
      <c r="C413" s="79" t="s">
        <v>42</v>
      </c>
      <c r="D413" s="47" t="s">
        <v>22</v>
      </c>
      <c r="E413" s="48">
        <v>4</v>
      </c>
      <c r="F413" s="49">
        <v>1000</v>
      </c>
      <c r="G413" s="78">
        <f t="shared" ref="G413:G414" si="78">SUM(E413*F413)</f>
        <v>4000</v>
      </c>
      <c r="H413" s="21"/>
      <c r="I413" s="28"/>
    </row>
    <row r="414" spans="1:18" s="37" customFormat="1" ht="19.899999999999999" customHeight="1" x14ac:dyDescent="0.5">
      <c r="A414" s="30">
        <v>5</v>
      </c>
      <c r="B414" s="30" t="s">
        <v>43</v>
      </c>
      <c r="C414" s="79" t="s">
        <v>44</v>
      </c>
      <c r="D414" s="47" t="s">
        <v>22</v>
      </c>
      <c r="E414" s="48">
        <v>7</v>
      </c>
      <c r="F414" s="49">
        <v>1000</v>
      </c>
      <c r="G414" s="78">
        <f t="shared" si="78"/>
        <v>7000</v>
      </c>
      <c r="H414" s="21"/>
      <c r="I414" s="28"/>
    </row>
    <row r="415" spans="1:18" s="21" customFormat="1" ht="19.899999999999999" customHeight="1" x14ac:dyDescent="0.5">
      <c r="A415" s="30">
        <v>6</v>
      </c>
      <c r="B415" s="50" t="s">
        <v>23</v>
      </c>
      <c r="C415" s="43" t="s">
        <v>24</v>
      </c>
      <c r="D415" s="47" t="s">
        <v>22</v>
      </c>
      <c r="E415" s="48">
        <v>0</v>
      </c>
      <c r="F415" s="49">
        <v>1000</v>
      </c>
      <c r="G415" s="53">
        <f>SUM(E415*F415)</f>
        <v>0</v>
      </c>
    </row>
    <row r="416" spans="1:18" s="2" customFormat="1" ht="21.6" customHeight="1" x14ac:dyDescent="0.5">
      <c r="A416" s="30">
        <v>7</v>
      </c>
      <c r="B416" s="31" t="s">
        <v>36</v>
      </c>
      <c r="C416" s="30" t="s">
        <v>35</v>
      </c>
      <c r="D416" s="47" t="s">
        <v>22</v>
      </c>
      <c r="E416" s="48">
        <v>3</v>
      </c>
      <c r="F416" s="49">
        <v>1000</v>
      </c>
      <c r="G416" s="58">
        <f t="shared" ref="G416:G417" si="79">SUM(E416*F416)</f>
        <v>3000</v>
      </c>
      <c r="K416" s="37"/>
      <c r="L416" s="37"/>
      <c r="M416" s="37"/>
      <c r="N416" s="37"/>
    </row>
    <row r="417" spans="1:18" s="21" customFormat="1" ht="19.899999999999999" customHeight="1" x14ac:dyDescent="0.5">
      <c r="A417" s="30">
        <v>8</v>
      </c>
      <c r="B417" s="51" t="s">
        <v>7</v>
      </c>
      <c r="C417" s="33" t="s">
        <v>29</v>
      </c>
      <c r="D417" s="47" t="s">
        <v>4</v>
      </c>
      <c r="E417" s="48">
        <v>0</v>
      </c>
      <c r="F417" s="52">
        <v>1000</v>
      </c>
      <c r="G417" s="53">
        <f t="shared" si="79"/>
        <v>0</v>
      </c>
    </row>
    <row r="418" spans="1:18" s="21" customFormat="1" ht="19.899999999999999" customHeight="1" x14ac:dyDescent="0.5">
      <c r="A418" s="30">
        <v>9</v>
      </c>
      <c r="B418" s="33" t="s">
        <v>21</v>
      </c>
      <c r="C418" s="33" t="s">
        <v>3</v>
      </c>
      <c r="D418" s="47" t="s">
        <v>9</v>
      </c>
      <c r="E418" s="29">
        <v>1</v>
      </c>
      <c r="F418" s="54">
        <v>8000</v>
      </c>
      <c r="G418" s="53">
        <f>SUM(E418*F418)</f>
        <v>8000</v>
      </c>
    </row>
    <row r="419" spans="1:18" s="21" customFormat="1" ht="19.899999999999999" customHeight="1" x14ac:dyDescent="0.5">
      <c r="A419" s="30">
        <v>10</v>
      </c>
      <c r="B419" s="55" t="s">
        <v>25</v>
      </c>
      <c r="C419" s="56"/>
      <c r="D419" s="47" t="s">
        <v>4</v>
      </c>
      <c r="E419" s="44" t="s">
        <v>26</v>
      </c>
      <c r="F419" s="49" t="s">
        <v>9</v>
      </c>
      <c r="G419" s="57" t="s">
        <v>9</v>
      </c>
    </row>
    <row r="420" spans="1:18" s="2" customFormat="1" ht="21.6" customHeight="1" x14ac:dyDescent="0.2">
      <c r="A420" s="61"/>
      <c r="B420" s="62"/>
      <c r="C420" s="63"/>
      <c r="D420" s="64"/>
      <c r="E420" s="65"/>
      <c r="F420" s="59" t="s">
        <v>32</v>
      </c>
      <c r="G420" s="60">
        <f>SUM(G410:G419)</f>
        <v>23000</v>
      </c>
      <c r="I420" s="21"/>
      <c r="J420" s="21"/>
    </row>
    <row r="421" spans="1:18" s="2" customFormat="1" ht="21.6" customHeight="1" x14ac:dyDescent="0.2">
      <c r="A421" s="65"/>
      <c r="B421" s="62"/>
      <c r="C421" s="63"/>
      <c r="D421" s="64"/>
      <c r="E421" s="65"/>
      <c r="F421" s="65"/>
      <c r="G421" s="65"/>
      <c r="H421" s="65"/>
      <c r="I421" s="21"/>
      <c r="J421" s="21"/>
    </row>
    <row r="422" spans="1:18" customFormat="1" ht="30" customHeight="1" thickBot="1" x14ac:dyDescent="0.55000000000000004">
      <c r="A422" s="34"/>
      <c r="B422" s="35"/>
      <c r="C422" s="35"/>
      <c r="D422" s="35"/>
      <c r="E422" s="36"/>
      <c r="F422" s="37"/>
      <c r="G422" s="37"/>
    </row>
    <row r="423" spans="1:18" s="10" customFormat="1" ht="23.25" x14ac:dyDescent="0.5">
      <c r="A423" s="38"/>
      <c r="B423" s="39"/>
      <c r="C423" s="39"/>
      <c r="D423" s="39"/>
      <c r="E423" s="40"/>
      <c r="F423" s="41"/>
      <c r="G423" s="41"/>
    </row>
    <row r="424" spans="1:18" customFormat="1" ht="23.25" x14ac:dyDescent="0.5">
      <c r="A424" s="71"/>
      <c r="B424" s="35"/>
      <c r="C424" s="35"/>
      <c r="D424" s="35"/>
      <c r="E424" s="36"/>
      <c r="F424" s="37"/>
      <c r="G424" s="37"/>
    </row>
    <row r="425" spans="1:18" s="21" customFormat="1" ht="19.899999999999999" customHeight="1" x14ac:dyDescent="0.5">
      <c r="A425" s="45"/>
      <c r="B425" s="84" t="s">
        <v>82</v>
      </c>
      <c r="C425" s="84"/>
      <c r="D425" s="84"/>
      <c r="F425" s="85" t="s">
        <v>6</v>
      </c>
      <c r="G425" s="86"/>
      <c r="I425" s="37"/>
      <c r="L425" s="37"/>
      <c r="M425" s="37"/>
      <c r="N425" s="37"/>
      <c r="O425" s="37"/>
      <c r="P425" s="37"/>
      <c r="Q425" s="37"/>
      <c r="R425" s="37"/>
    </row>
    <row r="426" spans="1:18" s="37" customFormat="1" ht="19.899999999999999" customHeight="1" x14ac:dyDescent="0.5">
      <c r="A426" s="30">
        <v>1</v>
      </c>
      <c r="B426" s="30" t="s">
        <v>17</v>
      </c>
      <c r="C426" s="30" t="s">
        <v>18</v>
      </c>
      <c r="D426" s="47" t="s">
        <v>22</v>
      </c>
      <c r="E426" s="48">
        <v>1</v>
      </c>
      <c r="F426" s="49">
        <v>1000</v>
      </c>
      <c r="G426" s="53">
        <f t="shared" ref="G426:G427" si="80">SUM(E426*F426)</f>
        <v>1000</v>
      </c>
      <c r="H426" s="21"/>
      <c r="I426" s="28"/>
    </row>
    <row r="427" spans="1:18" s="37" customFormat="1" ht="19.899999999999999" customHeight="1" x14ac:dyDescent="0.5">
      <c r="A427" s="30">
        <v>2</v>
      </c>
      <c r="B427" s="30" t="s">
        <v>19</v>
      </c>
      <c r="C427" s="30" t="s">
        <v>20</v>
      </c>
      <c r="D427" s="47" t="s">
        <v>22</v>
      </c>
      <c r="E427" s="48">
        <v>0</v>
      </c>
      <c r="F427" s="49">
        <v>1000</v>
      </c>
      <c r="G427" s="53">
        <f t="shared" si="80"/>
        <v>0</v>
      </c>
      <c r="H427" s="21"/>
      <c r="I427" s="28"/>
    </row>
    <row r="428" spans="1:18" s="37" customFormat="1" ht="19.899999999999999" customHeight="1" x14ac:dyDescent="0.5">
      <c r="A428" s="30">
        <v>3</v>
      </c>
      <c r="B428" s="30" t="s">
        <v>27</v>
      </c>
      <c r="C428" s="46" t="s">
        <v>28</v>
      </c>
      <c r="D428" s="47" t="s">
        <v>22</v>
      </c>
      <c r="E428" s="48">
        <v>0</v>
      </c>
      <c r="F428" s="49">
        <v>1000</v>
      </c>
      <c r="G428" s="78">
        <f>SUM(E428*F428)</f>
        <v>0</v>
      </c>
      <c r="H428" s="21"/>
      <c r="I428" s="28"/>
    </row>
    <row r="429" spans="1:18" s="37" customFormat="1" ht="19.899999999999999" customHeight="1" x14ac:dyDescent="0.5">
      <c r="A429" s="30">
        <v>4</v>
      </c>
      <c r="B429" s="30" t="s">
        <v>41</v>
      </c>
      <c r="C429" s="79" t="s">
        <v>42</v>
      </c>
      <c r="D429" s="47" t="s">
        <v>22</v>
      </c>
      <c r="E429" s="48">
        <v>4</v>
      </c>
      <c r="F429" s="49">
        <v>1000</v>
      </c>
      <c r="G429" s="78">
        <f t="shared" ref="G429:G430" si="81">SUM(E429*F429)</f>
        <v>4000</v>
      </c>
      <c r="H429" s="21"/>
      <c r="I429" s="28"/>
    </row>
    <row r="430" spans="1:18" s="37" customFormat="1" ht="19.899999999999999" customHeight="1" x14ac:dyDescent="0.5">
      <c r="A430" s="30">
        <v>5</v>
      </c>
      <c r="B430" s="30" t="s">
        <v>43</v>
      </c>
      <c r="C430" s="79" t="s">
        <v>44</v>
      </c>
      <c r="D430" s="47" t="s">
        <v>22</v>
      </c>
      <c r="E430" s="48">
        <v>7</v>
      </c>
      <c r="F430" s="49">
        <v>1000</v>
      </c>
      <c r="G430" s="78">
        <f t="shared" si="81"/>
        <v>7000</v>
      </c>
      <c r="H430" s="21"/>
      <c r="I430" s="28"/>
    </row>
    <row r="431" spans="1:18" s="21" customFormat="1" ht="19.899999999999999" customHeight="1" x14ac:dyDescent="0.5">
      <c r="A431" s="30">
        <v>6</v>
      </c>
      <c r="B431" s="50" t="s">
        <v>23</v>
      </c>
      <c r="C431" s="43" t="s">
        <v>24</v>
      </c>
      <c r="D431" s="47" t="s">
        <v>22</v>
      </c>
      <c r="E431" s="48">
        <v>0</v>
      </c>
      <c r="F431" s="49">
        <v>1000</v>
      </c>
      <c r="G431" s="53">
        <f>SUM(E431*F431)</f>
        <v>0</v>
      </c>
    </row>
    <row r="432" spans="1:18" s="2" customFormat="1" ht="21.6" customHeight="1" x14ac:dyDescent="0.5">
      <c r="A432" s="30">
        <v>7</v>
      </c>
      <c r="B432" s="31" t="s">
        <v>36</v>
      </c>
      <c r="C432" s="30" t="s">
        <v>35</v>
      </c>
      <c r="D432" s="47" t="s">
        <v>22</v>
      </c>
      <c r="E432" s="48">
        <v>3</v>
      </c>
      <c r="F432" s="49">
        <v>1000</v>
      </c>
      <c r="G432" s="58">
        <f t="shared" ref="G432:G433" si="82">SUM(E432*F432)</f>
        <v>3000</v>
      </c>
      <c r="K432" s="37"/>
      <c r="L432" s="37"/>
      <c r="M432" s="37"/>
      <c r="N432" s="37"/>
    </row>
    <row r="433" spans="1:18" s="21" customFormat="1" ht="19.899999999999999" customHeight="1" x14ac:dyDescent="0.5">
      <c r="A433" s="30">
        <v>8</v>
      </c>
      <c r="B433" s="51" t="s">
        <v>7</v>
      </c>
      <c r="C433" s="33" t="s">
        <v>29</v>
      </c>
      <c r="D433" s="47" t="s">
        <v>4</v>
      </c>
      <c r="E433" s="48">
        <v>0</v>
      </c>
      <c r="F433" s="52">
        <v>1000</v>
      </c>
      <c r="G433" s="53">
        <f t="shared" si="82"/>
        <v>0</v>
      </c>
    </row>
    <row r="434" spans="1:18" s="21" customFormat="1" ht="19.899999999999999" customHeight="1" x14ac:dyDescent="0.5">
      <c r="A434" s="30">
        <v>9</v>
      </c>
      <c r="B434" s="33" t="s">
        <v>21</v>
      </c>
      <c r="C434" s="33" t="s">
        <v>3</v>
      </c>
      <c r="D434" s="47" t="s">
        <v>9</v>
      </c>
      <c r="E434" s="29">
        <v>1</v>
      </c>
      <c r="F434" s="54">
        <v>8000</v>
      </c>
      <c r="G434" s="53">
        <f>SUM(E434*F434)</f>
        <v>8000</v>
      </c>
    </row>
    <row r="435" spans="1:18" s="21" customFormat="1" ht="19.899999999999999" customHeight="1" x14ac:dyDescent="0.5">
      <c r="A435" s="30">
        <v>10</v>
      </c>
      <c r="B435" s="55" t="s">
        <v>25</v>
      </c>
      <c r="C435" s="56"/>
      <c r="D435" s="47" t="s">
        <v>4</v>
      </c>
      <c r="E435" s="44" t="s">
        <v>26</v>
      </c>
      <c r="F435" s="49" t="s">
        <v>9</v>
      </c>
      <c r="G435" s="57" t="s">
        <v>9</v>
      </c>
    </row>
    <row r="436" spans="1:18" s="2" customFormat="1" ht="21.6" customHeight="1" x14ac:dyDescent="0.2">
      <c r="A436" s="61"/>
      <c r="B436" s="62"/>
      <c r="C436" s="63"/>
      <c r="D436" s="64"/>
      <c r="E436" s="65"/>
      <c r="F436" s="59" t="s">
        <v>32</v>
      </c>
      <c r="G436" s="60">
        <f>SUM(G426:G435)</f>
        <v>23000</v>
      </c>
      <c r="I436" s="21"/>
      <c r="J436" s="21"/>
    </row>
    <row r="437" spans="1:18" s="2" customFormat="1" ht="21.6" customHeight="1" x14ac:dyDescent="0.2">
      <c r="A437" s="65"/>
      <c r="B437" s="62"/>
      <c r="C437" s="63"/>
      <c r="D437" s="64"/>
      <c r="E437" s="65"/>
      <c r="F437" s="65"/>
      <c r="G437" s="65"/>
      <c r="H437" s="65"/>
      <c r="I437" s="21"/>
      <c r="J437" s="21"/>
    </row>
    <row r="438" spans="1:18" customFormat="1" ht="30" customHeight="1" thickBot="1" x14ac:dyDescent="0.55000000000000004">
      <c r="A438" s="34"/>
      <c r="B438" s="35"/>
      <c r="C438" s="35"/>
      <c r="D438" s="35"/>
      <c r="E438" s="36"/>
      <c r="F438" s="37"/>
      <c r="G438" s="37"/>
    </row>
    <row r="439" spans="1:18" s="10" customFormat="1" ht="23.25" x14ac:dyDescent="0.5">
      <c r="A439" s="38"/>
      <c r="B439" s="39"/>
      <c r="C439" s="39"/>
      <c r="D439" s="39"/>
      <c r="E439" s="40"/>
      <c r="F439" s="41"/>
      <c r="G439" s="41"/>
    </row>
    <row r="440" spans="1:18" customFormat="1" ht="23.25" x14ac:dyDescent="0.5">
      <c r="A440" s="71"/>
      <c r="B440" s="35"/>
      <c r="C440" s="35"/>
      <c r="D440" s="35"/>
      <c r="E440" s="36"/>
      <c r="F440" s="37"/>
      <c r="G440" s="37"/>
    </row>
    <row r="441" spans="1:18" s="21" customFormat="1" ht="19.899999999999999" customHeight="1" x14ac:dyDescent="0.5">
      <c r="A441" s="45"/>
      <c r="B441" s="84" t="s">
        <v>83</v>
      </c>
      <c r="C441" s="84"/>
      <c r="D441" s="84"/>
      <c r="F441" s="85" t="s">
        <v>6</v>
      </c>
      <c r="G441" s="86"/>
      <c r="I441" s="37"/>
      <c r="L441" s="37"/>
      <c r="M441" s="37"/>
      <c r="N441" s="37"/>
      <c r="O441" s="37"/>
      <c r="P441" s="37"/>
      <c r="Q441" s="37"/>
      <c r="R441" s="37"/>
    </row>
    <row r="442" spans="1:18" s="37" customFormat="1" ht="19.899999999999999" customHeight="1" x14ac:dyDescent="0.5">
      <c r="A442" s="30">
        <v>1</v>
      </c>
      <c r="B442" s="30" t="s">
        <v>17</v>
      </c>
      <c r="C442" s="30" t="s">
        <v>18</v>
      </c>
      <c r="D442" s="47" t="s">
        <v>22</v>
      </c>
      <c r="E442" s="48">
        <v>1</v>
      </c>
      <c r="F442" s="49">
        <v>1000</v>
      </c>
      <c r="G442" s="53">
        <f t="shared" ref="G442:G443" si="83">SUM(E442*F442)</f>
        <v>1000</v>
      </c>
      <c r="H442" s="21"/>
      <c r="I442" s="28"/>
    </row>
    <row r="443" spans="1:18" s="37" customFormat="1" ht="19.899999999999999" customHeight="1" x14ac:dyDescent="0.5">
      <c r="A443" s="30">
        <v>2</v>
      </c>
      <c r="B443" s="30" t="s">
        <v>19</v>
      </c>
      <c r="C443" s="30" t="s">
        <v>20</v>
      </c>
      <c r="D443" s="47" t="s">
        <v>22</v>
      </c>
      <c r="E443" s="48">
        <v>0</v>
      </c>
      <c r="F443" s="49">
        <v>1000</v>
      </c>
      <c r="G443" s="53">
        <f t="shared" si="83"/>
        <v>0</v>
      </c>
      <c r="H443" s="21"/>
      <c r="I443" s="28"/>
    </row>
    <row r="444" spans="1:18" s="37" customFormat="1" ht="19.899999999999999" customHeight="1" x14ac:dyDescent="0.5">
      <c r="A444" s="30">
        <v>3</v>
      </c>
      <c r="B444" s="30" t="s">
        <v>27</v>
      </c>
      <c r="C444" s="46" t="s">
        <v>28</v>
      </c>
      <c r="D444" s="47" t="s">
        <v>22</v>
      </c>
      <c r="E444" s="48">
        <v>0</v>
      </c>
      <c r="F444" s="49">
        <v>1000</v>
      </c>
      <c r="G444" s="78">
        <f>SUM(E444*F444)</f>
        <v>0</v>
      </c>
      <c r="H444" s="21"/>
      <c r="I444" s="28"/>
    </row>
    <row r="445" spans="1:18" s="37" customFormat="1" ht="19.899999999999999" customHeight="1" x14ac:dyDescent="0.5">
      <c r="A445" s="30">
        <v>4</v>
      </c>
      <c r="B445" s="30" t="s">
        <v>41</v>
      </c>
      <c r="C445" s="79" t="s">
        <v>42</v>
      </c>
      <c r="D445" s="47" t="s">
        <v>22</v>
      </c>
      <c r="E445" s="48">
        <v>4</v>
      </c>
      <c r="F445" s="49">
        <v>1000</v>
      </c>
      <c r="G445" s="78">
        <f t="shared" ref="G445:G446" si="84">SUM(E445*F445)</f>
        <v>4000</v>
      </c>
      <c r="H445" s="21"/>
      <c r="I445" s="28"/>
    </row>
    <row r="446" spans="1:18" s="37" customFormat="1" ht="19.899999999999999" customHeight="1" x14ac:dyDescent="0.5">
      <c r="A446" s="30">
        <v>5</v>
      </c>
      <c r="B446" s="30" t="s">
        <v>43</v>
      </c>
      <c r="C446" s="79" t="s">
        <v>44</v>
      </c>
      <c r="D446" s="47" t="s">
        <v>22</v>
      </c>
      <c r="E446" s="48">
        <v>7</v>
      </c>
      <c r="F446" s="49">
        <v>1000</v>
      </c>
      <c r="G446" s="78">
        <f t="shared" si="84"/>
        <v>7000</v>
      </c>
      <c r="H446" s="21"/>
      <c r="I446" s="28"/>
    </row>
    <row r="447" spans="1:18" s="21" customFormat="1" ht="19.899999999999999" customHeight="1" x14ac:dyDescent="0.5">
      <c r="A447" s="30">
        <v>6</v>
      </c>
      <c r="B447" s="50" t="s">
        <v>23</v>
      </c>
      <c r="C447" s="43" t="s">
        <v>24</v>
      </c>
      <c r="D447" s="47" t="s">
        <v>22</v>
      </c>
      <c r="E447" s="48">
        <v>0</v>
      </c>
      <c r="F447" s="49">
        <v>1000</v>
      </c>
      <c r="G447" s="53">
        <f>SUM(E447*F447)</f>
        <v>0</v>
      </c>
    </row>
    <row r="448" spans="1:18" s="2" customFormat="1" ht="21.6" customHeight="1" x14ac:dyDescent="0.5">
      <c r="A448" s="30">
        <v>7</v>
      </c>
      <c r="B448" s="31" t="s">
        <v>36</v>
      </c>
      <c r="C448" s="30" t="s">
        <v>35</v>
      </c>
      <c r="D448" s="47" t="s">
        <v>22</v>
      </c>
      <c r="E448" s="48">
        <v>3</v>
      </c>
      <c r="F448" s="49">
        <v>1000</v>
      </c>
      <c r="G448" s="58">
        <f t="shared" ref="G448:G449" si="85">SUM(E448*F448)</f>
        <v>3000</v>
      </c>
      <c r="K448" s="37"/>
      <c r="L448" s="37"/>
      <c r="M448" s="37"/>
      <c r="N448" s="37"/>
    </row>
    <row r="449" spans="1:18" s="21" customFormat="1" ht="19.899999999999999" customHeight="1" x14ac:dyDescent="0.5">
      <c r="A449" s="30">
        <v>8</v>
      </c>
      <c r="B449" s="51" t="s">
        <v>7</v>
      </c>
      <c r="C449" s="33" t="s">
        <v>29</v>
      </c>
      <c r="D449" s="47" t="s">
        <v>4</v>
      </c>
      <c r="E449" s="48">
        <v>0</v>
      </c>
      <c r="F449" s="52">
        <v>1000</v>
      </c>
      <c r="G449" s="53">
        <f t="shared" si="85"/>
        <v>0</v>
      </c>
    </row>
    <row r="450" spans="1:18" s="21" customFormat="1" ht="19.899999999999999" customHeight="1" x14ac:dyDescent="0.5">
      <c r="A450" s="30">
        <v>9</v>
      </c>
      <c r="B450" s="33" t="s">
        <v>21</v>
      </c>
      <c r="C450" s="33" t="s">
        <v>3</v>
      </c>
      <c r="D450" s="47" t="s">
        <v>9</v>
      </c>
      <c r="E450" s="29">
        <v>1</v>
      </c>
      <c r="F450" s="54">
        <v>8000</v>
      </c>
      <c r="G450" s="53">
        <f>SUM(E450*F450)</f>
        <v>8000</v>
      </c>
    </row>
    <row r="451" spans="1:18" s="21" customFormat="1" ht="19.899999999999999" customHeight="1" x14ac:dyDescent="0.5">
      <c r="A451" s="30">
        <v>10</v>
      </c>
      <c r="B451" s="55" t="s">
        <v>25</v>
      </c>
      <c r="C451" s="56"/>
      <c r="D451" s="47" t="s">
        <v>4</v>
      </c>
      <c r="E451" s="44" t="s">
        <v>26</v>
      </c>
      <c r="F451" s="49" t="s">
        <v>9</v>
      </c>
      <c r="G451" s="57" t="s">
        <v>9</v>
      </c>
    </row>
    <row r="452" spans="1:18" s="2" customFormat="1" ht="21.6" customHeight="1" x14ac:dyDescent="0.2">
      <c r="A452" s="61"/>
      <c r="B452" s="62"/>
      <c r="C452" s="63"/>
      <c r="D452" s="64"/>
      <c r="E452" s="65"/>
      <c r="F452" s="59" t="s">
        <v>32</v>
      </c>
      <c r="G452" s="60">
        <f>SUM(G442:G451)</f>
        <v>23000</v>
      </c>
      <c r="I452" s="21"/>
      <c r="J452" s="21"/>
    </row>
    <row r="453" spans="1:18" s="2" customFormat="1" ht="21.6" customHeight="1" x14ac:dyDescent="0.2">
      <c r="A453" s="65"/>
      <c r="B453" s="62"/>
      <c r="C453" s="63"/>
      <c r="D453" s="64"/>
      <c r="E453" s="65"/>
      <c r="F453" s="65"/>
      <c r="G453" s="65"/>
      <c r="H453" s="65"/>
      <c r="I453" s="21"/>
      <c r="J453" s="21"/>
    </row>
    <row r="454" spans="1:18" customFormat="1" ht="30" customHeight="1" thickBot="1" x14ac:dyDescent="0.55000000000000004">
      <c r="A454" s="34"/>
      <c r="B454" s="35"/>
      <c r="C454" s="35"/>
      <c r="D454" s="35"/>
      <c r="E454" s="36"/>
      <c r="F454" s="37"/>
      <c r="G454" s="37"/>
    </row>
    <row r="455" spans="1:18" s="10" customFormat="1" ht="23.25" x14ac:dyDescent="0.5">
      <c r="A455" s="38"/>
      <c r="B455" s="39"/>
      <c r="C455" s="39"/>
      <c r="D455" s="39"/>
      <c r="E455" s="40"/>
      <c r="F455" s="41"/>
      <c r="G455" s="41"/>
    </row>
    <row r="456" spans="1:18" customFormat="1" ht="23.25" x14ac:dyDescent="0.5">
      <c r="A456" s="71"/>
      <c r="B456" s="35"/>
      <c r="C456" s="35"/>
      <c r="D456" s="35"/>
      <c r="E456" s="36"/>
      <c r="F456" s="37"/>
      <c r="G456" s="37"/>
    </row>
    <row r="457" spans="1:18" s="21" customFormat="1" ht="19.899999999999999" customHeight="1" x14ac:dyDescent="0.5">
      <c r="A457" s="45"/>
      <c r="B457" s="84" t="s">
        <v>53</v>
      </c>
      <c r="C457" s="84"/>
      <c r="D457" s="84"/>
      <c r="F457" s="85" t="s">
        <v>6</v>
      </c>
      <c r="G457" s="86"/>
      <c r="I457" s="37"/>
      <c r="L457" s="37"/>
      <c r="M457" s="37"/>
      <c r="N457" s="37"/>
      <c r="O457" s="37"/>
      <c r="P457" s="37"/>
      <c r="Q457" s="37"/>
      <c r="R457" s="37"/>
    </row>
    <row r="458" spans="1:18" s="37" customFormat="1" ht="19.899999999999999" customHeight="1" x14ac:dyDescent="0.5">
      <c r="A458" s="30">
        <v>1</v>
      </c>
      <c r="B458" s="30" t="s">
        <v>17</v>
      </c>
      <c r="C458" s="30" t="s">
        <v>18</v>
      </c>
      <c r="D458" s="47" t="s">
        <v>22</v>
      </c>
      <c r="E458" s="48">
        <v>1</v>
      </c>
      <c r="F458" s="49">
        <v>1000</v>
      </c>
      <c r="G458" s="53">
        <f t="shared" ref="G458:G459" si="86">SUM(E458*F458)</f>
        <v>1000</v>
      </c>
      <c r="H458" s="21"/>
      <c r="I458" s="28"/>
    </row>
    <row r="459" spans="1:18" s="37" customFormat="1" ht="19.899999999999999" customHeight="1" x14ac:dyDescent="0.5">
      <c r="A459" s="30">
        <v>2</v>
      </c>
      <c r="B459" s="30" t="s">
        <v>19</v>
      </c>
      <c r="C459" s="30" t="s">
        <v>20</v>
      </c>
      <c r="D459" s="47" t="s">
        <v>22</v>
      </c>
      <c r="E459" s="48">
        <v>0</v>
      </c>
      <c r="F459" s="49">
        <v>1000</v>
      </c>
      <c r="G459" s="53">
        <f t="shared" si="86"/>
        <v>0</v>
      </c>
      <c r="H459" s="21"/>
      <c r="I459" s="28"/>
    </row>
    <row r="460" spans="1:18" s="37" customFormat="1" ht="19.899999999999999" customHeight="1" x14ac:dyDescent="0.5">
      <c r="A460" s="30">
        <v>3</v>
      </c>
      <c r="B460" s="30" t="s">
        <v>27</v>
      </c>
      <c r="C460" s="46" t="s">
        <v>28</v>
      </c>
      <c r="D460" s="47" t="s">
        <v>22</v>
      </c>
      <c r="E460" s="48">
        <v>0</v>
      </c>
      <c r="F460" s="49">
        <v>1000</v>
      </c>
      <c r="G460" s="78">
        <f>SUM(E460*F460)</f>
        <v>0</v>
      </c>
      <c r="H460" s="21"/>
      <c r="I460" s="28"/>
    </row>
    <row r="461" spans="1:18" s="37" customFormat="1" ht="19.899999999999999" customHeight="1" x14ac:dyDescent="0.5">
      <c r="A461" s="30">
        <v>4</v>
      </c>
      <c r="B461" s="30" t="s">
        <v>41</v>
      </c>
      <c r="C461" s="79" t="s">
        <v>42</v>
      </c>
      <c r="D461" s="47" t="s">
        <v>22</v>
      </c>
      <c r="E461" s="48">
        <v>0</v>
      </c>
      <c r="F461" s="49">
        <v>1000</v>
      </c>
      <c r="G461" s="78">
        <f t="shared" ref="G461:G462" si="87">SUM(E461*F461)</f>
        <v>0</v>
      </c>
      <c r="H461" s="21"/>
      <c r="I461" s="28"/>
    </row>
    <row r="462" spans="1:18" s="37" customFormat="1" ht="19.899999999999999" customHeight="1" x14ac:dyDescent="0.5">
      <c r="A462" s="30">
        <v>5</v>
      </c>
      <c r="B462" s="30" t="s">
        <v>43</v>
      </c>
      <c r="C462" s="79" t="s">
        <v>44</v>
      </c>
      <c r="D462" s="47" t="s">
        <v>22</v>
      </c>
      <c r="E462" s="48">
        <v>0</v>
      </c>
      <c r="F462" s="49">
        <v>1000</v>
      </c>
      <c r="G462" s="78">
        <f t="shared" si="87"/>
        <v>0</v>
      </c>
      <c r="H462" s="21"/>
      <c r="I462" s="28"/>
    </row>
    <row r="463" spans="1:18" s="21" customFormat="1" ht="19.899999999999999" customHeight="1" x14ac:dyDescent="0.5">
      <c r="A463" s="30">
        <v>6</v>
      </c>
      <c r="B463" s="50" t="s">
        <v>23</v>
      </c>
      <c r="C463" s="43" t="s">
        <v>24</v>
      </c>
      <c r="D463" s="47" t="s">
        <v>22</v>
      </c>
      <c r="E463" s="48">
        <v>0</v>
      </c>
      <c r="F463" s="49">
        <v>1000</v>
      </c>
      <c r="G463" s="53">
        <f>SUM(E463*F463)</f>
        <v>0</v>
      </c>
    </row>
    <row r="464" spans="1:18" s="2" customFormat="1" ht="21.6" customHeight="1" x14ac:dyDescent="0.5">
      <c r="A464" s="30">
        <v>7</v>
      </c>
      <c r="B464" s="31" t="s">
        <v>36</v>
      </c>
      <c r="C464" s="30" t="s">
        <v>35</v>
      </c>
      <c r="D464" s="47" t="s">
        <v>22</v>
      </c>
      <c r="E464" s="48">
        <v>1</v>
      </c>
      <c r="F464" s="49">
        <v>1000</v>
      </c>
      <c r="G464" s="58">
        <f t="shared" ref="G464:G465" si="88">SUM(E464*F464)</f>
        <v>1000</v>
      </c>
      <c r="K464" s="37"/>
      <c r="L464" s="37"/>
      <c r="M464" s="37"/>
      <c r="N464" s="37"/>
    </row>
    <row r="465" spans="1:18" s="21" customFormat="1" ht="19.899999999999999" customHeight="1" x14ac:dyDescent="0.5">
      <c r="A465" s="30">
        <v>8</v>
      </c>
      <c r="B465" s="51" t="s">
        <v>7</v>
      </c>
      <c r="C465" s="33" t="s">
        <v>29</v>
      </c>
      <c r="D465" s="47" t="s">
        <v>4</v>
      </c>
      <c r="E465" s="48">
        <v>0</v>
      </c>
      <c r="F465" s="52">
        <v>1000</v>
      </c>
      <c r="G465" s="53">
        <f t="shared" si="88"/>
        <v>0</v>
      </c>
    </row>
    <row r="466" spans="1:18" s="21" customFormat="1" ht="19.899999999999999" customHeight="1" x14ac:dyDescent="0.5">
      <c r="A466" s="30">
        <v>9</v>
      </c>
      <c r="B466" s="33" t="s">
        <v>21</v>
      </c>
      <c r="C466" s="33" t="s">
        <v>3</v>
      </c>
      <c r="D466" s="47" t="s">
        <v>9</v>
      </c>
      <c r="E466" s="29">
        <v>1</v>
      </c>
      <c r="F466" s="54">
        <v>8000</v>
      </c>
      <c r="G466" s="53">
        <f>SUM(E466*F466)</f>
        <v>8000</v>
      </c>
    </row>
    <row r="467" spans="1:18" s="21" customFormat="1" ht="19.899999999999999" customHeight="1" x14ac:dyDescent="0.5">
      <c r="A467" s="30">
        <v>10</v>
      </c>
      <c r="B467" s="55" t="s">
        <v>25</v>
      </c>
      <c r="C467" s="56"/>
      <c r="D467" s="47" t="s">
        <v>4</v>
      </c>
      <c r="E467" s="44" t="s">
        <v>26</v>
      </c>
      <c r="F467" s="49" t="s">
        <v>9</v>
      </c>
      <c r="G467" s="57" t="s">
        <v>9</v>
      </c>
    </row>
    <row r="468" spans="1:18" s="2" customFormat="1" ht="21.6" customHeight="1" x14ac:dyDescent="0.2">
      <c r="A468" s="61"/>
      <c r="B468" s="62"/>
      <c r="C468" s="63"/>
      <c r="D468" s="64"/>
      <c r="E468" s="65"/>
      <c r="F468" s="59" t="s">
        <v>32</v>
      </c>
      <c r="G468" s="60">
        <f>SUM(G458:G467)</f>
        <v>10000</v>
      </c>
      <c r="I468" s="21"/>
      <c r="J468" s="21"/>
    </row>
    <row r="469" spans="1:18" s="2" customFormat="1" ht="21.6" customHeight="1" x14ac:dyDescent="0.2">
      <c r="A469" s="65"/>
      <c r="B469" s="62"/>
      <c r="C469" s="63"/>
      <c r="D469" s="64"/>
      <c r="E469" s="65"/>
      <c r="F469" s="65"/>
      <c r="G469" s="65"/>
      <c r="H469" s="65"/>
      <c r="I469" s="21"/>
      <c r="J469" s="21"/>
    </row>
    <row r="470" spans="1:18" customFormat="1" ht="30" customHeight="1" thickBot="1" x14ac:dyDescent="0.55000000000000004">
      <c r="A470" s="34"/>
      <c r="B470" s="35"/>
      <c r="C470" s="35"/>
      <c r="D470" s="35"/>
      <c r="E470" s="36"/>
      <c r="F470" s="37"/>
      <c r="G470" s="37"/>
    </row>
    <row r="471" spans="1:18" s="10" customFormat="1" ht="23.25" x14ac:dyDescent="0.5">
      <c r="A471" s="38"/>
      <c r="B471" s="39"/>
      <c r="C471" s="39"/>
      <c r="D471" s="39"/>
      <c r="E471" s="40"/>
      <c r="F471" s="41"/>
      <c r="G471" s="41"/>
    </row>
    <row r="472" spans="1:18" s="4" customFormat="1" ht="21" x14ac:dyDescent="0.2">
      <c r="A472" s="5"/>
      <c r="B472" s="5"/>
      <c r="C472" s="5"/>
      <c r="D472" s="5"/>
      <c r="E472" s="6"/>
    </row>
    <row r="473" spans="1:18" s="21" customFormat="1" ht="19.899999999999999" customHeight="1" x14ac:dyDescent="0.5">
      <c r="A473" s="45"/>
      <c r="B473" s="84" t="s">
        <v>49</v>
      </c>
      <c r="C473" s="84"/>
      <c r="D473" s="84"/>
      <c r="F473" s="85" t="s">
        <v>6</v>
      </c>
      <c r="G473" s="86"/>
      <c r="I473" s="37"/>
      <c r="L473" s="37"/>
      <c r="M473" s="37"/>
      <c r="N473" s="37"/>
      <c r="O473" s="37"/>
      <c r="P473" s="37"/>
      <c r="Q473" s="37"/>
      <c r="R473" s="37"/>
    </row>
    <row r="474" spans="1:18" s="37" customFormat="1" ht="19.899999999999999" customHeight="1" x14ac:dyDescent="0.5">
      <c r="A474" s="30">
        <v>1</v>
      </c>
      <c r="B474" s="30" t="s">
        <v>17</v>
      </c>
      <c r="C474" s="30" t="s">
        <v>18</v>
      </c>
      <c r="D474" s="47" t="s">
        <v>22</v>
      </c>
      <c r="E474" s="48">
        <v>1</v>
      </c>
      <c r="F474" s="49">
        <v>1000</v>
      </c>
      <c r="G474" s="53">
        <f t="shared" ref="G474:G475" si="89">SUM(E474*F474)</f>
        <v>1000</v>
      </c>
      <c r="H474" s="21"/>
      <c r="I474" s="28"/>
    </row>
    <row r="475" spans="1:18" s="37" customFormat="1" ht="19.899999999999999" customHeight="1" x14ac:dyDescent="0.5">
      <c r="A475" s="30">
        <v>2</v>
      </c>
      <c r="B475" s="30" t="s">
        <v>19</v>
      </c>
      <c r="C475" s="30" t="s">
        <v>20</v>
      </c>
      <c r="D475" s="47" t="s">
        <v>22</v>
      </c>
      <c r="E475" s="48">
        <v>2</v>
      </c>
      <c r="F475" s="49">
        <v>1000</v>
      </c>
      <c r="G475" s="53">
        <f t="shared" si="89"/>
        <v>2000</v>
      </c>
      <c r="H475" s="21"/>
      <c r="I475" s="28"/>
    </row>
    <row r="476" spans="1:18" s="37" customFormat="1" ht="19.899999999999999" customHeight="1" x14ac:dyDescent="0.5">
      <c r="A476" s="30">
        <v>3</v>
      </c>
      <c r="B476" s="30" t="s">
        <v>27</v>
      </c>
      <c r="C476" s="46" t="s">
        <v>28</v>
      </c>
      <c r="D476" s="47" t="s">
        <v>22</v>
      </c>
      <c r="E476" s="48">
        <v>0</v>
      </c>
      <c r="F476" s="49">
        <v>1000</v>
      </c>
      <c r="G476" s="78">
        <f>SUM(E476*F476)</f>
        <v>0</v>
      </c>
      <c r="H476" s="21"/>
      <c r="I476" s="28"/>
    </row>
    <row r="477" spans="1:18" s="37" customFormat="1" ht="19.899999999999999" customHeight="1" x14ac:dyDescent="0.5">
      <c r="A477" s="30">
        <v>4</v>
      </c>
      <c r="B477" s="30" t="s">
        <v>41</v>
      </c>
      <c r="C477" s="79" t="s">
        <v>42</v>
      </c>
      <c r="D477" s="47" t="s">
        <v>22</v>
      </c>
      <c r="E477" s="48">
        <v>0</v>
      </c>
      <c r="F477" s="49">
        <v>1000</v>
      </c>
      <c r="G477" s="78">
        <f t="shared" ref="G477:G478" si="90">SUM(E477*F477)</f>
        <v>0</v>
      </c>
      <c r="H477" s="21"/>
      <c r="I477" s="28"/>
    </row>
    <row r="478" spans="1:18" s="37" customFormat="1" ht="19.899999999999999" customHeight="1" x14ac:dyDescent="0.5">
      <c r="A478" s="30">
        <v>5</v>
      </c>
      <c r="B478" s="30" t="s">
        <v>43</v>
      </c>
      <c r="C478" s="79" t="s">
        <v>44</v>
      </c>
      <c r="D478" s="47" t="s">
        <v>22</v>
      </c>
      <c r="E478" s="48">
        <v>0</v>
      </c>
      <c r="F478" s="49">
        <v>1000</v>
      </c>
      <c r="G478" s="78">
        <f t="shared" si="90"/>
        <v>0</v>
      </c>
      <c r="H478" s="21"/>
      <c r="I478" s="28"/>
    </row>
    <row r="479" spans="1:18" s="21" customFormat="1" ht="19.899999999999999" customHeight="1" x14ac:dyDescent="0.5">
      <c r="A479" s="30">
        <v>6</v>
      </c>
      <c r="B479" s="50" t="s">
        <v>23</v>
      </c>
      <c r="C479" s="43" t="s">
        <v>24</v>
      </c>
      <c r="D479" s="47" t="s">
        <v>22</v>
      </c>
      <c r="E479" s="48">
        <v>3</v>
      </c>
      <c r="F479" s="49">
        <v>1000</v>
      </c>
      <c r="G479" s="53">
        <f>SUM(E479*F479)</f>
        <v>3000</v>
      </c>
    </row>
    <row r="480" spans="1:18" s="2" customFormat="1" ht="21.6" customHeight="1" x14ac:dyDescent="0.5">
      <c r="A480" s="30">
        <v>7</v>
      </c>
      <c r="B480" s="31" t="s">
        <v>36</v>
      </c>
      <c r="C480" s="30" t="s">
        <v>35</v>
      </c>
      <c r="D480" s="47" t="s">
        <v>22</v>
      </c>
      <c r="E480" s="48">
        <v>5</v>
      </c>
      <c r="F480" s="49">
        <v>1000</v>
      </c>
      <c r="G480" s="58">
        <f t="shared" ref="G480:G481" si="91">SUM(E480*F480)</f>
        <v>5000</v>
      </c>
      <c r="K480" s="37"/>
      <c r="L480" s="37"/>
      <c r="M480" s="37"/>
      <c r="N480" s="37"/>
    </row>
    <row r="481" spans="1:14" s="21" customFormat="1" ht="19.899999999999999" customHeight="1" x14ac:dyDescent="0.5">
      <c r="A481" s="30">
        <v>8</v>
      </c>
      <c r="B481" s="51" t="s">
        <v>7</v>
      </c>
      <c r="C481" s="33" t="s">
        <v>29</v>
      </c>
      <c r="D481" s="47" t="s">
        <v>4</v>
      </c>
      <c r="E481" s="48">
        <v>0</v>
      </c>
      <c r="F481" s="52">
        <v>1000</v>
      </c>
      <c r="G481" s="53">
        <f t="shared" si="91"/>
        <v>0</v>
      </c>
    </row>
    <row r="482" spans="1:14" s="21" customFormat="1" ht="19.899999999999999" customHeight="1" x14ac:dyDescent="0.5">
      <c r="A482" s="30">
        <v>9</v>
      </c>
      <c r="B482" s="33" t="s">
        <v>21</v>
      </c>
      <c r="C482" s="33" t="s">
        <v>3</v>
      </c>
      <c r="D482" s="47" t="s">
        <v>9</v>
      </c>
      <c r="E482" s="29">
        <v>1</v>
      </c>
      <c r="F482" s="54">
        <v>8000</v>
      </c>
      <c r="G482" s="53">
        <f>SUM(E482*F482)</f>
        <v>8000</v>
      </c>
    </row>
    <row r="483" spans="1:14" s="21" customFormat="1" ht="19.899999999999999" customHeight="1" x14ac:dyDescent="0.5">
      <c r="A483" s="30">
        <v>10</v>
      </c>
      <c r="B483" s="55" t="s">
        <v>25</v>
      </c>
      <c r="C483" s="56"/>
      <c r="D483" s="47" t="s">
        <v>4</v>
      </c>
      <c r="E483" s="44" t="s">
        <v>26</v>
      </c>
      <c r="F483" s="49" t="s">
        <v>9</v>
      </c>
      <c r="G483" s="57" t="s">
        <v>9</v>
      </c>
    </row>
    <row r="484" spans="1:14" s="2" customFormat="1" ht="21.6" customHeight="1" x14ac:dyDescent="0.2">
      <c r="A484" s="61"/>
      <c r="B484" s="62"/>
      <c r="C484" s="63"/>
      <c r="D484" s="64"/>
      <c r="E484" s="65"/>
      <c r="F484" s="59" t="s">
        <v>32</v>
      </c>
      <c r="G484" s="60">
        <f>SUM(G474:G483)</f>
        <v>19000</v>
      </c>
      <c r="I484" s="21"/>
      <c r="J484" s="21"/>
    </row>
    <row r="485" spans="1:14" s="2" customFormat="1" ht="21.6" customHeight="1" x14ac:dyDescent="0.2">
      <c r="A485" s="65"/>
      <c r="B485" s="62"/>
      <c r="C485" s="63"/>
      <c r="D485" s="64"/>
      <c r="E485" s="65"/>
      <c r="F485" s="65"/>
      <c r="G485" s="65"/>
      <c r="H485" s="65"/>
      <c r="I485" s="21"/>
      <c r="J485" s="21"/>
    </row>
    <row r="486" spans="1:14" customFormat="1" ht="30" customHeight="1" thickBot="1" x14ac:dyDescent="0.55000000000000004">
      <c r="A486" s="34"/>
      <c r="B486" s="35"/>
      <c r="C486" s="35"/>
      <c r="D486" s="35"/>
      <c r="E486" s="36"/>
      <c r="F486" s="37"/>
      <c r="G486" s="37"/>
    </row>
    <row r="487" spans="1:14" s="10" customFormat="1" ht="23.25" x14ac:dyDescent="0.5">
      <c r="A487" s="38"/>
      <c r="B487" s="39"/>
      <c r="C487" s="39"/>
      <c r="D487" s="39"/>
      <c r="E487" s="40"/>
      <c r="F487" s="41"/>
      <c r="G487" s="41"/>
    </row>
    <row r="488" spans="1:14" s="4" customFormat="1" x14ac:dyDescent="0.2">
      <c r="A488" s="5"/>
      <c r="B488" s="5"/>
      <c r="C488" s="5"/>
      <c r="D488" s="5"/>
      <c r="E488" s="6"/>
      <c r="M488" s="1"/>
      <c r="N488" s="1"/>
    </row>
  </sheetData>
  <mergeCells count="62">
    <mergeCell ref="A1:E1"/>
    <mergeCell ref="A18:B18"/>
    <mergeCell ref="B31:D31"/>
    <mergeCell ref="F31:G31"/>
    <mergeCell ref="B77:D77"/>
    <mergeCell ref="F77:G77"/>
    <mergeCell ref="B46:D46"/>
    <mergeCell ref="F46:G46"/>
    <mergeCell ref="B61:D61"/>
    <mergeCell ref="F61:G61"/>
    <mergeCell ref="B108:D108"/>
    <mergeCell ref="F108:G108"/>
    <mergeCell ref="B123:D123"/>
    <mergeCell ref="F123:G123"/>
    <mergeCell ref="B92:D92"/>
    <mergeCell ref="F92:G92"/>
    <mergeCell ref="B228:D228"/>
    <mergeCell ref="F228:G228"/>
    <mergeCell ref="B243:D243"/>
    <mergeCell ref="F243:G243"/>
    <mergeCell ref="B258:D258"/>
    <mergeCell ref="F258:G258"/>
    <mergeCell ref="B183:D183"/>
    <mergeCell ref="F183:G183"/>
    <mergeCell ref="B198:D198"/>
    <mergeCell ref="F198:G198"/>
    <mergeCell ref="B213:D213"/>
    <mergeCell ref="F213:G213"/>
    <mergeCell ref="B473:D473"/>
    <mergeCell ref="F473:G473"/>
    <mergeCell ref="B457:D457"/>
    <mergeCell ref="F457:G457"/>
    <mergeCell ref="B409:D409"/>
    <mergeCell ref="F409:G409"/>
    <mergeCell ref="B138:D138"/>
    <mergeCell ref="F138:G138"/>
    <mergeCell ref="B153:D153"/>
    <mergeCell ref="F153:G153"/>
    <mergeCell ref="B168:D168"/>
    <mergeCell ref="F168:G168"/>
    <mergeCell ref="B273:D273"/>
    <mergeCell ref="F273:G273"/>
    <mergeCell ref="B288:D288"/>
    <mergeCell ref="F288:G288"/>
    <mergeCell ref="B303:D303"/>
    <mergeCell ref="F303:G303"/>
    <mergeCell ref="B318:D318"/>
    <mergeCell ref="F318:G318"/>
    <mergeCell ref="B425:D425"/>
    <mergeCell ref="F425:G425"/>
    <mergeCell ref="B441:D441"/>
    <mergeCell ref="F441:G441"/>
    <mergeCell ref="B364:D364"/>
    <mergeCell ref="F364:G364"/>
    <mergeCell ref="B379:D379"/>
    <mergeCell ref="F379:G379"/>
    <mergeCell ref="B394:D394"/>
    <mergeCell ref="F394:G394"/>
    <mergeCell ref="B334:D334"/>
    <mergeCell ref="F334:G334"/>
    <mergeCell ref="B349:D349"/>
    <mergeCell ref="F349:G349"/>
  </mergeCells>
  <printOptions horizontalCentered="1"/>
  <pageMargins left="0" right="0" top="0.49" bottom="0.24" header="0" footer="0"/>
  <pageSetup paperSize="9" scale="14" fitToHeight="0" orientation="portrait" horizontalDpi="4294967293" r:id="rId1"/>
  <headerFooter>
    <oddFooter>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KNX_Option1</vt:lpstr>
      <vt:lpstr>KNX_Option1!Print_Area</vt:lpstr>
      <vt:lpstr>KNX_Option1!Print_Titles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2017-09-12T04:18:13Z</cp:lastPrinted>
  <dcterms:created xsi:type="dcterms:W3CDTF">2006-09-16T00:00:00Z</dcterms:created>
  <dcterms:modified xsi:type="dcterms:W3CDTF">2026-02-23T06:31:46Z</dcterms:modified>
</cp:coreProperties>
</file>