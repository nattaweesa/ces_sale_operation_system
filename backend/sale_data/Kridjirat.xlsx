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CES\Report_2026\"/>
    </mc:Choice>
  </mc:AlternateContent>
  <xr:revisionPtr revIDLastSave="0" documentId="13_ncr:1_{989241B6-0BC4-4C0D-B651-311242E88056}" xr6:coauthVersionLast="47" xr6:coauthVersionMax="47" xr10:uidLastSave="{00000000-0000-0000-0000-000000000000}"/>
  <bookViews>
    <workbookView xWindow="-108" yWindow="-108" windowWidth="23256" windowHeight="12456" firstSheet="13" activeTab="13" xr2:uid="{00000000-000D-0000-FFFF-FFFF00000000}"/>
  </bookViews>
  <sheets>
    <sheet name="Kridjirat F." sheetId="1" state="hidden" r:id="rId1"/>
    <sheet name="DEC" sheetId="2" state="hidden" r:id="rId2"/>
    <sheet name="NOV" sheetId="3" state="hidden" r:id="rId3"/>
    <sheet name="OCT" sheetId="4" state="hidden" r:id="rId4"/>
    <sheet name="SEP" sheetId="5" state="hidden" r:id="rId5"/>
    <sheet name="AUG" sheetId="6" state="hidden" r:id="rId6"/>
    <sheet name="JUL" sheetId="7" state="hidden" r:id="rId7"/>
    <sheet name="INV" sheetId="8" state="hidden" r:id="rId8"/>
    <sheet name="Pj." sheetId="9" state="hidden" r:id="rId9"/>
    <sheet name="Detail_Pj." sheetId="10" state="hidden" r:id="rId10"/>
    <sheet name="Visit" sheetId="11" state="hidden" r:id="rId11"/>
    <sheet name="PO" sheetId="12" state="hidden" r:id="rId12"/>
    <sheet name="Forecast" sheetId="13" state="hidden" r:id="rId13"/>
    <sheet name="Forcash_Update 23-03-26" sheetId="17" r:id="rId14"/>
    <sheet name="Sheet1" sheetId="18" state="hidden" r:id="rId15"/>
    <sheet name="Forcash_Old" sheetId="16" state="hidden" r:id="rId16"/>
    <sheet name="Report M&amp;E Contractor List" sheetId="14" state="hidden" r:id="rId17"/>
    <sheet name="Lost" sheetId="15" r:id="rId18"/>
  </sheets>
  <definedNames>
    <definedName name="_xlnm._FilterDatabase" localSheetId="8" hidden="1">Pj.!$A$1:$N$90</definedName>
  </definedNames>
  <calcPr calcId="191029"/>
</workbook>
</file>

<file path=xl/calcChain.xml><?xml version="1.0" encoding="utf-8"?>
<calcChain xmlns="http://schemas.openxmlformats.org/spreadsheetml/2006/main">
  <c r="T114" i="17" l="1"/>
  <c r="T115" i="17"/>
  <c r="T116" i="17"/>
  <c r="T117" i="17"/>
  <c r="T118" i="17"/>
  <c r="T119" i="17"/>
  <c r="T108" i="17"/>
  <c r="T6" i="17"/>
  <c r="T7" i="17"/>
  <c r="T8" i="17"/>
  <c r="T10" i="17"/>
  <c r="R9" i="17"/>
  <c r="T9" i="17" s="1"/>
  <c r="R7" i="17"/>
  <c r="R245" i="17" l="1"/>
  <c r="T245" i="17" s="1"/>
  <c r="R244" i="17"/>
  <c r="T244" i="17" s="1"/>
  <c r="R243" i="17"/>
  <c r="T243" i="17" s="1"/>
  <c r="R241" i="17"/>
  <c r="T241" i="17" s="1"/>
  <c r="R240" i="17"/>
  <c r="T240" i="17" s="1"/>
  <c r="R239" i="17"/>
  <c r="T239" i="17" s="1"/>
  <c r="R237" i="17"/>
  <c r="T237" i="17" s="1"/>
  <c r="R236" i="17"/>
  <c r="T236" i="17" s="1"/>
  <c r="R235" i="17"/>
  <c r="T235" i="17" s="1"/>
  <c r="R233" i="17"/>
  <c r="T233" i="17" s="1"/>
  <c r="R232" i="17"/>
  <c r="T232" i="17" s="1"/>
  <c r="R231" i="17"/>
  <c r="T231" i="17" s="1"/>
  <c r="R229" i="17"/>
  <c r="T229" i="17" s="1"/>
  <c r="R228" i="17"/>
  <c r="T228" i="17" s="1"/>
  <c r="R227" i="17"/>
  <c r="T227" i="17" s="1"/>
  <c r="R125" i="17"/>
  <c r="R209" i="17"/>
  <c r="T209" i="17" s="1"/>
  <c r="R208" i="17"/>
  <c r="T208" i="17" s="1"/>
  <c r="R207" i="17"/>
  <c r="T207" i="17" s="1"/>
  <c r="R206" i="17"/>
  <c r="T206" i="17" s="1"/>
  <c r="R205" i="17"/>
  <c r="T205" i="17" s="1"/>
  <c r="R204" i="17"/>
  <c r="T204" i="17" s="1"/>
  <c r="T202" i="17"/>
  <c r="T201" i="17"/>
  <c r="R200" i="17"/>
  <c r="T200" i="17" s="1"/>
  <c r="R144" i="17" l="1"/>
  <c r="T144" i="17" s="1"/>
  <c r="R145" i="17"/>
  <c r="T145" i="17" s="1"/>
  <c r="R146" i="17"/>
  <c r="T146" i="17" s="1"/>
  <c r="R97" i="17" l="1"/>
  <c r="T97" i="17" s="1"/>
  <c r="R96" i="17"/>
  <c r="T96" i="17" s="1"/>
  <c r="R95" i="17"/>
  <c r="T95" i="17" s="1"/>
  <c r="R94" i="17"/>
  <c r="T94" i="17" s="1"/>
  <c r="R93" i="17"/>
  <c r="T93" i="17" s="1"/>
  <c r="R103" i="17" l="1"/>
  <c r="T103" i="17" s="1"/>
  <c r="R102" i="17"/>
  <c r="T102" i="17" s="1"/>
  <c r="T101" i="17"/>
  <c r="R151" i="17"/>
  <c r="T151" i="17" s="1"/>
  <c r="R150" i="17"/>
  <c r="T150" i="17" s="1"/>
  <c r="R149" i="17"/>
  <c r="T149" i="17" s="1"/>
  <c r="R148" i="17"/>
  <c r="T148" i="17" s="1"/>
  <c r="R147" i="17"/>
  <c r="T147" i="17" s="1"/>
  <c r="R129" i="17"/>
  <c r="T129" i="17" s="1"/>
  <c r="R130" i="17"/>
  <c r="T130" i="17" s="1"/>
  <c r="R123" i="17"/>
  <c r="T123" i="17" s="1"/>
  <c r="R126" i="17"/>
  <c r="T126" i="17" s="1"/>
  <c r="R127" i="17"/>
  <c r="T125" i="17"/>
  <c r="R124" i="17"/>
  <c r="T124" i="17" s="1"/>
  <c r="R113" i="17" l="1"/>
  <c r="T113" i="17" s="1"/>
  <c r="R112" i="17"/>
  <c r="T112" i="17" s="1"/>
  <c r="R111" i="17"/>
  <c r="T111" i="17" s="1"/>
  <c r="R110" i="17"/>
  <c r="T110" i="17" s="1"/>
  <c r="R109" i="17"/>
  <c r="T109" i="17" s="1"/>
  <c r="R120" i="17"/>
  <c r="T120" i="17" s="1"/>
  <c r="R25" i="18" l="1"/>
  <c r="R54" i="18" l="1"/>
  <c r="T54" i="18" s="1"/>
  <c r="R51" i="18"/>
  <c r="T51" i="18" s="1"/>
  <c r="R45" i="18"/>
  <c r="T45" i="18" s="1"/>
  <c r="R40" i="18"/>
  <c r="T40" i="18" s="1"/>
  <c r="R37" i="18"/>
  <c r="T37" i="18" s="1"/>
  <c r="R20" i="18"/>
  <c r="T20" i="18" s="1"/>
  <c r="R15" i="18"/>
  <c r="T15" i="18" s="1"/>
  <c r="R7" i="18"/>
  <c r="T7" i="18" s="1"/>
  <c r="R8" i="18"/>
  <c r="T8" i="18" s="1"/>
  <c r="R107" i="18"/>
  <c r="T107" i="18" s="1"/>
  <c r="R81" i="18"/>
  <c r="T81" i="18" s="1"/>
  <c r="U133" i="18" l="1"/>
  <c r="S133" i="18"/>
  <c r="S264" i="17"/>
  <c r="S268" i="17" s="1"/>
  <c r="G133" i="18"/>
  <c r="H133" i="18"/>
  <c r="I133" i="18"/>
  <c r="J133" i="18"/>
  <c r="K133" i="18"/>
  <c r="L133" i="18"/>
  <c r="M133" i="18"/>
  <c r="N133" i="18"/>
  <c r="O133" i="18"/>
  <c r="P133" i="18"/>
  <c r="Q133" i="18"/>
  <c r="F133" i="18"/>
  <c r="J264" i="17"/>
  <c r="S138" i="18"/>
  <c r="R63" i="18"/>
  <c r="T63" i="18" s="1"/>
  <c r="R64" i="18"/>
  <c r="T64" i="18" s="1"/>
  <c r="R131" i="18"/>
  <c r="T131" i="18" s="1"/>
  <c r="R130" i="18"/>
  <c r="T130" i="18" s="1"/>
  <c r="R129" i="18"/>
  <c r="T129" i="18" s="1"/>
  <c r="R128" i="18"/>
  <c r="T128" i="18" s="1"/>
  <c r="R127" i="18"/>
  <c r="T127" i="18" s="1"/>
  <c r="R126" i="18"/>
  <c r="T126" i="18" s="1"/>
  <c r="R125" i="18"/>
  <c r="T125" i="18" s="1"/>
  <c r="R124" i="18"/>
  <c r="T124" i="18" s="1"/>
  <c r="R123" i="18"/>
  <c r="T123" i="18" s="1"/>
  <c r="R122" i="18"/>
  <c r="T122" i="18" s="1"/>
  <c r="R121" i="18"/>
  <c r="T121" i="18" s="1"/>
  <c r="R120" i="18"/>
  <c r="T120" i="18" s="1"/>
  <c r="R119" i="18"/>
  <c r="T119" i="18" s="1"/>
  <c r="R118" i="18"/>
  <c r="T118" i="18" s="1"/>
  <c r="R117" i="18"/>
  <c r="T117" i="18" s="1"/>
  <c r="R116" i="18"/>
  <c r="T116" i="18" s="1"/>
  <c r="R115" i="18"/>
  <c r="T115" i="18" s="1"/>
  <c r="R114" i="18"/>
  <c r="T114" i="18" s="1"/>
  <c r="R113" i="18"/>
  <c r="T113" i="18" s="1"/>
  <c r="R112" i="18"/>
  <c r="T112" i="18" s="1"/>
  <c r="R111" i="18"/>
  <c r="T111" i="18" s="1"/>
  <c r="R110" i="18"/>
  <c r="T110" i="18" s="1"/>
  <c r="R109" i="18"/>
  <c r="T109" i="18" s="1"/>
  <c r="R108" i="18"/>
  <c r="T108" i="18" s="1"/>
  <c r="R106" i="18"/>
  <c r="T106" i="18" s="1"/>
  <c r="R105" i="18"/>
  <c r="T105" i="18" s="1"/>
  <c r="R104" i="18"/>
  <c r="T104" i="18" s="1"/>
  <c r="R103" i="18"/>
  <c r="T103" i="18" s="1"/>
  <c r="R102" i="18"/>
  <c r="T102" i="18" s="1"/>
  <c r="R101" i="18"/>
  <c r="T101" i="18" s="1"/>
  <c r="R100" i="18"/>
  <c r="T100" i="18" s="1"/>
  <c r="R99" i="18"/>
  <c r="T99" i="18" s="1"/>
  <c r="R98" i="18"/>
  <c r="T98" i="18" s="1"/>
  <c r="R97" i="18"/>
  <c r="T97" i="18" s="1"/>
  <c r="R96" i="18"/>
  <c r="T96" i="18" s="1"/>
  <c r="R95" i="18"/>
  <c r="T95" i="18" s="1"/>
  <c r="R94" i="18"/>
  <c r="T94" i="18" s="1"/>
  <c r="R93" i="18"/>
  <c r="T93" i="18" s="1"/>
  <c r="R92" i="18"/>
  <c r="T92" i="18" s="1"/>
  <c r="R91" i="18"/>
  <c r="T91" i="18" s="1"/>
  <c r="R90" i="18"/>
  <c r="T90" i="18" s="1"/>
  <c r="R89" i="18"/>
  <c r="T89" i="18" s="1"/>
  <c r="R88" i="18"/>
  <c r="T88" i="18" s="1"/>
  <c r="R87" i="18"/>
  <c r="T87" i="18" s="1"/>
  <c r="R86" i="18"/>
  <c r="T86" i="18" s="1"/>
  <c r="R85" i="18"/>
  <c r="T85" i="18" s="1"/>
  <c r="R84" i="18"/>
  <c r="T84" i="18" s="1"/>
  <c r="R83" i="18"/>
  <c r="T83" i="18" s="1"/>
  <c r="R82" i="18"/>
  <c r="T82" i="18" s="1"/>
  <c r="R80" i="18"/>
  <c r="T80" i="18" s="1"/>
  <c r="R79" i="18"/>
  <c r="T79" i="18" s="1"/>
  <c r="R78" i="18"/>
  <c r="T78" i="18" s="1"/>
  <c r="R77" i="18"/>
  <c r="T77" i="18" s="1"/>
  <c r="R76" i="18"/>
  <c r="T76" i="18" s="1"/>
  <c r="R75" i="18"/>
  <c r="T75" i="18" s="1"/>
  <c r="R74" i="18"/>
  <c r="T74" i="18" s="1"/>
  <c r="R73" i="18"/>
  <c r="T73" i="18" s="1"/>
  <c r="R72" i="18"/>
  <c r="T72" i="18" s="1"/>
  <c r="R71" i="18"/>
  <c r="T71" i="18" s="1"/>
  <c r="R70" i="18"/>
  <c r="T70" i="18" s="1"/>
  <c r="R69" i="18"/>
  <c r="T69" i="18" s="1"/>
  <c r="R68" i="18"/>
  <c r="T68" i="18" s="1"/>
  <c r="R67" i="18"/>
  <c r="T67" i="18" s="1"/>
  <c r="R66" i="18"/>
  <c r="T66" i="18" s="1"/>
  <c r="R65" i="18"/>
  <c r="T65" i="18" s="1"/>
  <c r="R62" i="18"/>
  <c r="T62" i="18" s="1"/>
  <c r="R61" i="18"/>
  <c r="T61" i="18" s="1"/>
  <c r="R60" i="18"/>
  <c r="T60" i="18" s="1"/>
  <c r="R59" i="18"/>
  <c r="T59" i="18" s="1"/>
  <c r="R58" i="18"/>
  <c r="T58" i="18" s="1"/>
  <c r="T57" i="18"/>
  <c r="T56" i="18"/>
  <c r="R55" i="18"/>
  <c r="T55" i="18" s="1"/>
  <c r="R53" i="18"/>
  <c r="T53" i="18" s="1"/>
  <c r="T52" i="18"/>
  <c r="R50" i="18"/>
  <c r="T50" i="18" s="1"/>
  <c r="T49" i="18"/>
  <c r="R48" i="18"/>
  <c r="T48" i="18" s="1"/>
  <c r="R47" i="18"/>
  <c r="T47" i="18" s="1"/>
  <c r="T46" i="18"/>
  <c r="R19" i="18"/>
  <c r="T19" i="18" s="1"/>
  <c r="R18" i="18"/>
  <c r="T18" i="18" s="1"/>
  <c r="R17" i="18"/>
  <c r="T17" i="18" s="1"/>
  <c r="R16" i="18"/>
  <c r="T16" i="18" s="1"/>
  <c r="R44" i="18"/>
  <c r="T44" i="18" s="1"/>
  <c r="R43" i="18"/>
  <c r="T43" i="18" s="1"/>
  <c r="R42" i="18"/>
  <c r="T42" i="18" s="1"/>
  <c r="R41" i="18"/>
  <c r="T41" i="18" s="1"/>
  <c r="R39" i="18"/>
  <c r="T39" i="18" s="1"/>
  <c r="R38" i="18"/>
  <c r="T38" i="18" s="1"/>
  <c r="R31" i="18"/>
  <c r="T31" i="18" s="1"/>
  <c r="R30" i="18"/>
  <c r="T30" i="18" s="1"/>
  <c r="R29" i="18"/>
  <c r="T29" i="18" s="1"/>
  <c r="R28" i="18"/>
  <c r="T28" i="18" s="1"/>
  <c r="R27" i="18"/>
  <c r="R26" i="18"/>
  <c r="T25" i="18" s="1"/>
  <c r="R24" i="18"/>
  <c r="T24" i="18" s="1"/>
  <c r="R23" i="18"/>
  <c r="T23" i="18" s="1"/>
  <c r="R22" i="18"/>
  <c r="T22" i="18" s="1"/>
  <c r="R21" i="18"/>
  <c r="T21" i="18" s="1"/>
  <c r="R14" i="18"/>
  <c r="T14" i="18" s="1"/>
  <c r="R13" i="18"/>
  <c r="T13" i="18" s="1"/>
  <c r="R12" i="18"/>
  <c r="T12" i="18" s="1"/>
  <c r="R11" i="18"/>
  <c r="T11" i="18" s="1"/>
  <c r="R10" i="18"/>
  <c r="T10" i="18" s="1"/>
  <c r="R9" i="18"/>
  <c r="T9" i="18" s="1"/>
  <c r="R6" i="18"/>
  <c r="T6" i="18" s="1"/>
  <c r="R5" i="18"/>
  <c r="T5" i="18" s="1"/>
  <c r="R13" i="17"/>
  <c r="T13" i="17" s="1"/>
  <c r="R179" i="17"/>
  <c r="T179" i="17" s="1"/>
  <c r="R178" i="17"/>
  <c r="T178" i="17" s="1"/>
  <c r="R177" i="17"/>
  <c r="T177" i="17" s="1"/>
  <c r="R107" i="17"/>
  <c r="T107" i="17" s="1"/>
  <c r="R106" i="17"/>
  <c r="T106" i="17" s="1"/>
  <c r="R105" i="17"/>
  <c r="T105" i="17" s="1"/>
  <c r="R104" i="17"/>
  <c r="T104" i="17" s="1"/>
  <c r="R35" i="17"/>
  <c r="R36" i="17"/>
  <c r="R121" i="17"/>
  <c r="R122" i="17"/>
  <c r="I264" i="17"/>
  <c r="F264" i="17"/>
  <c r="M264" i="17"/>
  <c r="L264" i="17"/>
  <c r="R100" i="17"/>
  <c r="T100" i="17" s="1"/>
  <c r="R99" i="17"/>
  <c r="T99" i="17" s="1"/>
  <c r="R98" i="17"/>
  <c r="T98" i="17" s="1"/>
  <c r="R143" i="17"/>
  <c r="T143" i="17" s="1"/>
  <c r="R173" i="17"/>
  <c r="T173" i="17" s="1"/>
  <c r="R172" i="17"/>
  <c r="T172" i="17" s="1"/>
  <c r="R171" i="17"/>
  <c r="T171" i="17" s="1"/>
  <c r="R158" i="17"/>
  <c r="T158" i="17" s="1"/>
  <c r="R157" i="17"/>
  <c r="T157" i="17" s="1"/>
  <c r="R156" i="17"/>
  <c r="T156" i="17" s="1"/>
  <c r="R155" i="17"/>
  <c r="T155" i="17" s="1"/>
  <c r="R154" i="17"/>
  <c r="T154" i="17" s="1"/>
  <c r="R153" i="17"/>
  <c r="T153" i="17" s="1"/>
  <c r="R152" i="17"/>
  <c r="T152" i="17" s="1"/>
  <c r="T27" i="18" l="1"/>
  <c r="T26" i="18"/>
  <c r="T133" i="18" s="1"/>
  <c r="S136" i="18" s="1"/>
  <c r="R133" i="18"/>
  <c r="R142" i="17"/>
  <c r="T142" i="17" s="1"/>
  <c r="R141" i="17"/>
  <c r="T141" i="17" s="1"/>
  <c r="R140" i="17"/>
  <c r="T140" i="17" s="1"/>
  <c r="R139" i="17"/>
  <c r="T139" i="17" s="1"/>
  <c r="R138" i="17"/>
  <c r="T138" i="17" s="1"/>
  <c r="R137" i="17"/>
  <c r="T137" i="17" s="1"/>
  <c r="R136" i="17"/>
  <c r="T136" i="17" s="1"/>
  <c r="R135" i="17"/>
  <c r="T135" i="17" s="1"/>
  <c r="R134" i="17"/>
  <c r="T134" i="17" s="1"/>
  <c r="R133" i="17"/>
  <c r="T133" i="17" s="1"/>
  <c r="R132" i="17"/>
  <c r="T132" i="17" s="1"/>
  <c r="R131" i="17"/>
  <c r="T131" i="17" s="1"/>
  <c r="T121" i="17"/>
  <c r="T122" i="17"/>
  <c r="T127" i="17"/>
  <c r="P128" i="17"/>
  <c r="P264" i="17" s="1"/>
  <c r="K264" i="17"/>
  <c r="R160" i="17"/>
  <c r="T160" i="17" s="1"/>
  <c r="R161" i="17"/>
  <c r="T161" i="17" s="1"/>
  <c r="R162" i="17"/>
  <c r="T162" i="17" s="1"/>
  <c r="R163" i="17"/>
  <c r="T163" i="17" s="1"/>
  <c r="R164" i="17"/>
  <c r="T164" i="17" s="1"/>
  <c r="R165" i="17"/>
  <c r="T165" i="17" s="1"/>
  <c r="R166" i="17"/>
  <c r="T166" i="17" s="1"/>
  <c r="R167" i="17"/>
  <c r="T167" i="17" s="1"/>
  <c r="R168" i="17"/>
  <c r="T168" i="17" s="1"/>
  <c r="R169" i="17"/>
  <c r="T169" i="17" s="1"/>
  <c r="R170" i="17"/>
  <c r="T170" i="17" s="1"/>
  <c r="R174" i="17"/>
  <c r="T174" i="17" s="1"/>
  <c r="R175" i="17"/>
  <c r="T175" i="17" s="1"/>
  <c r="R176" i="17"/>
  <c r="T176" i="17" s="1"/>
  <c r="R180" i="17"/>
  <c r="T180" i="17" s="1"/>
  <c r="R181" i="17"/>
  <c r="T181" i="17" s="1"/>
  <c r="R182" i="17"/>
  <c r="T182" i="17" s="1"/>
  <c r="R183" i="17"/>
  <c r="T183" i="17" s="1"/>
  <c r="R184" i="17"/>
  <c r="T184" i="17" s="1"/>
  <c r="R185" i="17"/>
  <c r="T185" i="17" s="1"/>
  <c r="R186" i="17"/>
  <c r="T186" i="17" s="1"/>
  <c r="R187" i="17"/>
  <c r="T187" i="17" s="1"/>
  <c r="R189" i="17"/>
  <c r="T189" i="17" s="1"/>
  <c r="R190" i="17"/>
  <c r="T190" i="17" s="1"/>
  <c r="R191" i="17"/>
  <c r="T191" i="17" s="1"/>
  <c r="R192" i="17"/>
  <c r="T192" i="17" s="1"/>
  <c r="R193" i="17"/>
  <c r="T193" i="17" s="1"/>
  <c r="R194" i="17"/>
  <c r="T194" i="17" s="1"/>
  <c r="R195" i="17"/>
  <c r="T195" i="17" s="1"/>
  <c r="R196" i="17"/>
  <c r="T196" i="17" s="1"/>
  <c r="R197" i="17"/>
  <c r="T197" i="17" s="1"/>
  <c r="R198" i="17"/>
  <c r="T198" i="17" s="1"/>
  <c r="R199" i="17"/>
  <c r="T199" i="17" s="1"/>
  <c r="R210" i="17"/>
  <c r="T210" i="17" s="1"/>
  <c r="R211" i="17"/>
  <c r="T211" i="17" s="1"/>
  <c r="R212" i="17"/>
  <c r="T212" i="17" s="1"/>
  <c r="R213" i="17"/>
  <c r="T213" i="17" s="1"/>
  <c r="R214" i="17"/>
  <c r="T214" i="17" s="1"/>
  <c r="R215" i="17"/>
  <c r="T215" i="17" s="1"/>
  <c r="R216" i="17"/>
  <c r="T216" i="17" s="1"/>
  <c r="R217" i="17"/>
  <c r="T217" i="17" s="1"/>
  <c r="R218" i="17"/>
  <c r="T218" i="17" s="1"/>
  <c r="R219" i="17"/>
  <c r="T219" i="17" s="1"/>
  <c r="R220" i="17"/>
  <c r="T220" i="17" s="1"/>
  <c r="R221" i="17"/>
  <c r="T221" i="17" s="1"/>
  <c r="R222" i="17"/>
  <c r="T222" i="17" s="1"/>
  <c r="R223" i="17"/>
  <c r="T223" i="17" s="1"/>
  <c r="R224" i="17"/>
  <c r="T224" i="17" s="1"/>
  <c r="R225" i="17"/>
  <c r="T225" i="17" s="1"/>
  <c r="R226" i="17"/>
  <c r="T226" i="17" s="1"/>
  <c r="R238" i="17"/>
  <c r="T238" i="17" s="1"/>
  <c r="R247" i="17"/>
  <c r="T247" i="17" s="1"/>
  <c r="R248" i="17"/>
  <c r="T248" i="17" s="1"/>
  <c r="R249" i="17"/>
  <c r="T249" i="17" s="1"/>
  <c r="R250" i="17"/>
  <c r="T250" i="17" s="1"/>
  <c r="R251" i="17"/>
  <c r="T251" i="17" s="1"/>
  <c r="R252" i="17"/>
  <c r="T252" i="17" s="1"/>
  <c r="R253" i="17"/>
  <c r="T253" i="17" s="1"/>
  <c r="R254" i="17"/>
  <c r="T254" i="17" s="1"/>
  <c r="R255" i="17"/>
  <c r="T255" i="17" s="1"/>
  <c r="R256" i="17"/>
  <c r="T256" i="17" s="1"/>
  <c r="R257" i="17"/>
  <c r="T257" i="17" s="1"/>
  <c r="R258" i="17"/>
  <c r="T258" i="17" s="1"/>
  <c r="R259" i="17"/>
  <c r="T259" i="17" s="1"/>
  <c r="R260" i="17"/>
  <c r="T260" i="17" s="1"/>
  <c r="R261" i="17"/>
  <c r="T261" i="17" s="1"/>
  <c r="R262" i="17"/>
  <c r="T262" i="17" s="1"/>
  <c r="R263" i="17"/>
  <c r="T263" i="17" s="1"/>
  <c r="T210" i="16"/>
  <c r="T211" i="16"/>
  <c r="T212" i="16"/>
  <c r="T213" i="16"/>
  <c r="T214" i="16"/>
  <c r="T215" i="16"/>
  <c r="T216" i="16"/>
  <c r="T217" i="16"/>
  <c r="T218" i="16"/>
  <c r="T219" i="16"/>
  <c r="R210" i="16"/>
  <c r="R211" i="16"/>
  <c r="R212" i="16"/>
  <c r="R213" i="16"/>
  <c r="R214" i="16"/>
  <c r="R215" i="16"/>
  <c r="R216" i="16"/>
  <c r="R217" i="16"/>
  <c r="R218" i="16"/>
  <c r="R219" i="16"/>
  <c r="T223" i="16"/>
  <c r="T224" i="16"/>
  <c r="R220" i="16"/>
  <c r="T220" i="16" s="1"/>
  <c r="R221" i="16"/>
  <c r="T221" i="16" s="1"/>
  <c r="R222" i="16"/>
  <c r="T222" i="16" s="1"/>
  <c r="R223" i="16"/>
  <c r="R224" i="16"/>
  <c r="R92" i="17"/>
  <c r="T92" i="17" s="1"/>
  <c r="R91" i="17"/>
  <c r="T91" i="17" s="1"/>
  <c r="R90" i="17"/>
  <c r="T90" i="17" s="1"/>
  <c r="R89" i="17"/>
  <c r="T89" i="17" s="1"/>
  <c r="R88" i="17"/>
  <c r="T88" i="17" s="1"/>
  <c r="R87" i="17"/>
  <c r="T87" i="17" s="1"/>
  <c r="R86" i="17"/>
  <c r="T86" i="17" s="1"/>
  <c r="R85" i="17"/>
  <c r="T85" i="17" s="1"/>
  <c r="R84" i="17"/>
  <c r="T84" i="17" s="1"/>
  <c r="R83" i="17"/>
  <c r="T83" i="17" s="1"/>
  <c r="R82" i="17"/>
  <c r="T82" i="17" s="1"/>
  <c r="R81" i="17"/>
  <c r="T81" i="17" s="1"/>
  <c r="R80" i="17"/>
  <c r="T80" i="17" s="1"/>
  <c r="R79" i="17"/>
  <c r="T79" i="17" s="1"/>
  <c r="R78" i="17"/>
  <c r="T78" i="17" s="1"/>
  <c r="R77" i="17"/>
  <c r="T77" i="17" s="1"/>
  <c r="R76" i="17"/>
  <c r="T76" i="17" s="1"/>
  <c r="R75" i="17"/>
  <c r="T75" i="17" s="1"/>
  <c r="R74" i="17"/>
  <c r="T74" i="17" s="1"/>
  <c r="R73" i="17"/>
  <c r="T73" i="17" s="1"/>
  <c r="R72" i="17"/>
  <c r="T72" i="17" s="1"/>
  <c r="R71" i="17"/>
  <c r="T71" i="17" s="1"/>
  <c r="R70" i="17"/>
  <c r="T70" i="17" s="1"/>
  <c r="R69" i="17"/>
  <c r="T69" i="17" s="1"/>
  <c r="R68" i="17"/>
  <c r="T68" i="17" s="1"/>
  <c r="R67" i="17"/>
  <c r="T67" i="17" s="1"/>
  <c r="R66" i="17"/>
  <c r="T66" i="17" s="1"/>
  <c r="R65" i="17"/>
  <c r="T65" i="17" s="1"/>
  <c r="R64" i="17"/>
  <c r="T64" i="17" s="1"/>
  <c r="R63" i="17"/>
  <c r="T63" i="17" s="1"/>
  <c r="R62" i="17"/>
  <c r="T62" i="17" s="1"/>
  <c r="R61" i="17"/>
  <c r="T61" i="17" s="1"/>
  <c r="R60" i="17"/>
  <c r="T60" i="17" s="1"/>
  <c r="R59" i="17"/>
  <c r="T59" i="17" s="1"/>
  <c r="R58" i="17"/>
  <c r="T58" i="17" s="1"/>
  <c r="R57" i="17"/>
  <c r="T57" i="17" s="1"/>
  <c r="R56" i="17"/>
  <c r="T56" i="17" s="1"/>
  <c r="R55" i="17"/>
  <c r="T55" i="17" s="1"/>
  <c r="R54" i="17"/>
  <c r="T54" i="17" s="1"/>
  <c r="R53" i="17"/>
  <c r="T53" i="17" s="1"/>
  <c r="R52" i="17"/>
  <c r="T52" i="17" s="1"/>
  <c r="R51" i="17"/>
  <c r="T51" i="17" s="1"/>
  <c r="R50" i="17"/>
  <c r="T50" i="17" s="1"/>
  <c r="R49" i="17"/>
  <c r="T49" i="17" s="1"/>
  <c r="R48" i="17"/>
  <c r="T48" i="17" s="1"/>
  <c r="R47" i="17"/>
  <c r="T47" i="17" s="1"/>
  <c r="R46" i="17"/>
  <c r="T46" i="17" s="1"/>
  <c r="R45" i="17"/>
  <c r="T45" i="17" s="1"/>
  <c r="R44" i="17"/>
  <c r="T44" i="17" s="1"/>
  <c r="R43" i="17"/>
  <c r="T43" i="17" s="1"/>
  <c r="R42" i="17"/>
  <c r="T42" i="17" s="1"/>
  <c r="R41" i="17"/>
  <c r="T41" i="17" s="1"/>
  <c r="R40" i="17"/>
  <c r="T40" i="17" s="1"/>
  <c r="R39" i="17"/>
  <c r="T39" i="17" s="1"/>
  <c r="T38" i="17"/>
  <c r="R37" i="17"/>
  <c r="T37" i="17" s="1"/>
  <c r="T36" i="17"/>
  <c r="T35" i="17"/>
  <c r="R34" i="17"/>
  <c r="T34" i="17" s="1"/>
  <c r="R33" i="17"/>
  <c r="T33" i="17" s="1"/>
  <c r="R32" i="17"/>
  <c r="T32" i="17" s="1"/>
  <c r="R31" i="17"/>
  <c r="T31" i="17" s="1"/>
  <c r="R30" i="17"/>
  <c r="T30" i="17" s="1"/>
  <c r="R29" i="17"/>
  <c r="T29" i="17" s="1"/>
  <c r="R28" i="17"/>
  <c r="T28" i="17" s="1"/>
  <c r="R27" i="17"/>
  <c r="T27" i="17" s="1"/>
  <c r="R26" i="17"/>
  <c r="T26" i="17" s="1"/>
  <c r="R25" i="17"/>
  <c r="T25" i="17" s="1"/>
  <c r="R24" i="17"/>
  <c r="T24" i="17" s="1"/>
  <c r="R23" i="17"/>
  <c r="T23" i="17" s="1"/>
  <c r="R22" i="17"/>
  <c r="T22" i="17" s="1"/>
  <c r="R21" i="17"/>
  <c r="T21" i="17" s="1"/>
  <c r="R20" i="17"/>
  <c r="T20" i="17" s="1"/>
  <c r="R19" i="17"/>
  <c r="T19" i="17" s="1"/>
  <c r="R18" i="17"/>
  <c r="T18" i="17" s="1"/>
  <c r="R17" i="17"/>
  <c r="T17" i="17" s="1"/>
  <c r="U264" i="17"/>
  <c r="R16" i="17"/>
  <c r="T16" i="17" s="1"/>
  <c r="R15" i="17"/>
  <c r="T15" i="17" s="1"/>
  <c r="R14" i="17"/>
  <c r="T14" i="17" s="1"/>
  <c r="R12" i="17"/>
  <c r="T12" i="17" s="1"/>
  <c r="R11" i="17"/>
  <c r="T11" i="17" s="1"/>
  <c r="R6" i="17"/>
  <c r="R5" i="17"/>
  <c r="T5" i="17" s="1"/>
  <c r="S269" i="17"/>
  <c r="Q264" i="17"/>
  <c r="O264" i="17"/>
  <c r="N264" i="17"/>
  <c r="H264" i="17"/>
  <c r="G264" i="17"/>
  <c r="T203" i="16"/>
  <c r="T204" i="16"/>
  <c r="R203" i="16"/>
  <c r="R204" i="16"/>
  <c r="R205" i="16"/>
  <c r="T205" i="16" s="1"/>
  <c r="R206" i="16"/>
  <c r="T206" i="16" s="1"/>
  <c r="R207" i="16"/>
  <c r="T207" i="16" s="1"/>
  <c r="R208" i="16"/>
  <c r="T208" i="16" s="1"/>
  <c r="R209" i="16"/>
  <c r="T209" i="16" s="1"/>
  <c r="R225" i="16"/>
  <c r="T225" i="16" s="1"/>
  <c r="R226" i="16"/>
  <c r="T226" i="16" s="1"/>
  <c r="R150" i="16"/>
  <c r="R151" i="16"/>
  <c r="R152" i="16"/>
  <c r="R153" i="16"/>
  <c r="R154" i="16"/>
  <c r="R155" i="16"/>
  <c r="R156" i="16"/>
  <c r="R157" i="16"/>
  <c r="R158" i="16"/>
  <c r="R159" i="16"/>
  <c r="R160" i="16"/>
  <c r="R161" i="16"/>
  <c r="R162" i="16"/>
  <c r="R163" i="16"/>
  <c r="R164" i="16"/>
  <c r="R165" i="16"/>
  <c r="R166" i="16"/>
  <c r="R167" i="16"/>
  <c r="R168" i="16"/>
  <c r="R169" i="16"/>
  <c r="R170" i="16"/>
  <c r="R171" i="16"/>
  <c r="R172" i="16"/>
  <c r="R173" i="16"/>
  <c r="R174" i="16"/>
  <c r="R175" i="16"/>
  <c r="R176" i="16"/>
  <c r="R177" i="16"/>
  <c r="R178" i="16"/>
  <c r="R179" i="16"/>
  <c r="R180" i="16"/>
  <c r="R181" i="16"/>
  <c r="R182" i="16"/>
  <c r="R183" i="16"/>
  <c r="R184" i="16"/>
  <c r="R185" i="16"/>
  <c r="R186" i="16"/>
  <c r="R200" i="16"/>
  <c r="T200" i="16" s="1"/>
  <c r="R201" i="16"/>
  <c r="T201" i="16" s="1"/>
  <c r="R202" i="16"/>
  <c r="T202" i="16" s="1"/>
  <c r="R227" i="16"/>
  <c r="T227" i="16" s="1"/>
  <c r="R228" i="16"/>
  <c r="T228" i="16" s="1"/>
  <c r="R189" i="16"/>
  <c r="R190" i="16"/>
  <c r="R191" i="16"/>
  <c r="R192" i="16"/>
  <c r="R193" i="16"/>
  <c r="R194" i="16"/>
  <c r="R195" i="16"/>
  <c r="R196" i="16"/>
  <c r="R197" i="16"/>
  <c r="R198" i="16"/>
  <c r="R199" i="16"/>
  <c r="R128" i="17" l="1"/>
  <c r="T189" i="16"/>
  <c r="T190" i="16"/>
  <c r="T191" i="16"/>
  <c r="T192" i="16"/>
  <c r="T193" i="16"/>
  <c r="T194" i="16"/>
  <c r="T195" i="16"/>
  <c r="T196" i="16"/>
  <c r="T197" i="16"/>
  <c r="T198" i="16"/>
  <c r="T199" i="16"/>
  <c r="T186" i="16"/>
  <c r="R187" i="16"/>
  <c r="T187" i="16" s="1"/>
  <c r="T150" i="16"/>
  <c r="T151" i="16"/>
  <c r="T152" i="16"/>
  <c r="T153" i="16"/>
  <c r="T154" i="16"/>
  <c r="T155" i="16"/>
  <c r="T156" i="16"/>
  <c r="T157" i="16"/>
  <c r="T158" i="16"/>
  <c r="T159" i="16"/>
  <c r="T160" i="16"/>
  <c r="T161" i="16"/>
  <c r="T162" i="16"/>
  <c r="T163" i="16"/>
  <c r="T164" i="16"/>
  <c r="T165" i="16"/>
  <c r="T166" i="16"/>
  <c r="T167" i="16"/>
  <c r="T168" i="16"/>
  <c r="T169" i="16"/>
  <c r="T170" i="16"/>
  <c r="T171" i="16"/>
  <c r="T172" i="16"/>
  <c r="T173" i="16"/>
  <c r="T174" i="16"/>
  <c r="T175" i="16"/>
  <c r="T176" i="16"/>
  <c r="T177" i="16"/>
  <c r="T178" i="16"/>
  <c r="T179" i="16"/>
  <c r="T180" i="16"/>
  <c r="T181" i="16"/>
  <c r="T182" i="16"/>
  <c r="T183" i="16"/>
  <c r="T184" i="16"/>
  <c r="T185" i="16"/>
  <c r="T27" i="16"/>
  <c r="T28" i="16"/>
  <c r="T30" i="16"/>
  <c r="T112" i="16"/>
  <c r="T115" i="16"/>
  <c r="T123" i="16"/>
  <c r="T124" i="16"/>
  <c r="T143" i="16"/>
  <c r="T144" i="16"/>
  <c r="R39" i="16"/>
  <c r="T39" i="16" s="1"/>
  <c r="R40" i="16"/>
  <c r="T40" i="16" s="1"/>
  <c r="R41" i="16"/>
  <c r="T41" i="16" s="1"/>
  <c r="R42" i="16"/>
  <c r="T42" i="16" s="1"/>
  <c r="R43" i="16"/>
  <c r="T43" i="16" s="1"/>
  <c r="R44" i="16"/>
  <c r="T44" i="16" s="1"/>
  <c r="R45" i="16"/>
  <c r="T45" i="16" s="1"/>
  <c r="R46" i="16"/>
  <c r="T46" i="16" s="1"/>
  <c r="R47" i="16"/>
  <c r="T47" i="16" s="1"/>
  <c r="R48" i="16"/>
  <c r="T48" i="16" s="1"/>
  <c r="R49" i="16"/>
  <c r="T49" i="16" s="1"/>
  <c r="R50" i="16"/>
  <c r="T50" i="16" s="1"/>
  <c r="R51" i="16"/>
  <c r="T51" i="16" s="1"/>
  <c r="R52" i="16"/>
  <c r="T52" i="16" s="1"/>
  <c r="R53" i="16"/>
  <c r="T53" i="16" s="1"/>
  <c r="R54" i="16"/>
  <c r="T54" i="16" s="1"/>
  <c r="R55" i="16"/>
  <c r="T55" i="16" s="1"/>
  <c r="R56" i="16"/>
  <c r="T56" i="16" s="1"/>
  <c r="R57" i="16"/>
  <c r="T57" i="16" s="1"/>
  <c r="R58" i="16"/>
  <c r="T58" i="16" s="1"/>
  <c r="R59" i="16"/>
  <c r="T59" i="16" s="1"/>
  <c r="R60" i="16"/>
  <c r="T60" i="16" s="1"/>
  <c r="R61" i="16"/>
  <c r="T61" i="16" s="1"/>
  <c r="R62" i="16"/>
  <c r="T62" i="16" s="1"/>
  <c r="R63" i="16"/>
  <c r="T63" i="16" s="1"/>
  <c r="R64" i="16"/>
  <c r="T64" i="16" s="1"/>
  <c r="R65" i="16"/>
  <c r="T65" i="16" s="1"/>
  <c r="R66" i="16"/>
  <c r="T66" i="16" s="1"/>
  <c r="R67" i="16"/>
  <c r="T67" i="16" s="1"/>
  <c r="R68" i="16"/>
  <c r="T68" i="16" s="1"/>
  <c r="R69" i="16"/>
  <c r="T69" i="16" s="1"/>
  <c r="R70" i="16"/>
  <c r="T70" i="16" s="1"/>
  <c r="R71" i="16"/>
  <c r="T71" i="16" s="1"/>
  <c r="R72" i="16"/>
  <c r="T72" i="16" s="1"/>
  <c r="R73" i="16"/>
  <c r="T73" i="16" s="1"/>
  <c r="R74" i="16"/>
  <c r="T74" i="16" s="1"/>
  <c r="R75" i="16"/>
  <c r="T75" i="16" s="1"/>
  <c r="R76" i="16"/>
  <c r="T76" i="16" s="1"/>
  <c r="R77" i="16"/>
  <c r="T77" i="16" s="1"/>
  <c r="R78" i="16"/>
  <c r="T78" i="16" s="1"/>
  <c r="R79" i="16"/>
  <c r="T79" i="16" s="1"/>
  <c r="R80" i="16"/>
  <c r="T80" i="16" s="1"/>
  <c r="R81" i="16"/>
  <c r="T81" i="16" s="1"/>
  <c r="R82" i="16"/>
  <c r="T82" i="16" s="1"/>
  <c r="R83" i="16"/>
  <c r="T83" i="16" s="1"/>
  <c r="R84" i="16"/>
  <c r="T84" i="16" s="1"/>
  <c r="R85" i="16"/>
  <c r="T85" i="16" s="1"/>
  <c r="R86" i="16"/>
  <c r="T86" i="16" s="1"/>
  <c r="R87" i="16"/>
  <c r="T87" i="16" s="1"/>
  <c r="R88" i="16"/>
  <c r="T88" i="16" s="1"/>
  <c r="R89" i="16"/>
  <c r="T89" i="16" s="1"/>
  <c r="R90" i="16"/>
  <c r="T90" i="16" s="1"/>
  <c r="R91" i="16"/>
  <c r="T91" i="16" s="1"/>
  <c r="R92" i="16"/>
  <c r="T92" i="16" s="1"/>
  <c r="R93" i="16"/>
  <c r="T93" i="16" s="1"/>
  <c r="R94" i="16"/>
  <c r="T94" i="16" s="1"/>
  <c r="R95" i="16"/>
  <c r="T95" i="16" s="1"/>
  <c r="R96" i="16"/>
  <c r="T96" i="16" s="1"/>
  <c r="R97" i="16"/>
  <c r="T97" i="16" s="1"/>
  <c r="R98" i="16"/>
  <c r="T98" i="16" s="1"/>
  <c r="R99" i="16"/>
  <c r="T99" i="16" s="1"/>
  <c r="R100" i="16"/>
  <c r="T100" i="16" s="1"/>
  <c r="R101" i="16"/>
  <c r="T101" i="16" s="1"/>
  <c r="R102" i="16"/>
  <c r="T102" i="16" s="1"/>
  <c r="R103" i="16"/>
  <c r="T103" i="16" s="1"/>
  <c r="R104" i="16"/>
  <c r="T104" i="16" s="1"/>
  <c r="R105" i="16"/>
  <c r="T105" i="16" s="1"/>
  <c r="R106" i="16"/>
  <c r="T106" i="16" s="1"/>
  <c r="R107" i="16"/>
  <c r="T107" i="16" s="1"/>
  <c r="R108" i="16"/>
  <c r="T108" i="16" s="1"/>
  <c r="R109" i="16"/>
  <c r="T109" i="16" s="1"/>
  <c r="R110" i="16"/>
  <c r="T110" i="16" s="1"/>
  <c r="R111" i="16"/>
  <c r="T111" i="16" s="1"/>
  <c r="R113" i="16"/>
  <c r="T113" i="16" s="1"/>
  <c r="R114" i="16"/>
  <c r="T114" i="16" s="1"/>
  <c r="R116" i="16"/>
  <c r="T116" i="16" s="1"/>
  <c r="R117" i="16"/>
  <c r="T117" i="16" s="1"/>
  <c r="R118" i="16"/>
  <c r="T118" i="16" s="1"/>
  <c r="R119" i="16"/>
  <c r="T119" i="16" s="1"/>
  <c r="R120" i="16"/>
  <c r="T120" i="16" s="1"/>
  <c r="R121" i="16"/>
  <c r="T121" i="16" s="1"/>
  <c r="R122" i="16"/>
  <c r="T122" i="16" s="1"/>
  <c r="R125" i="16"/>
  <c r="T125" i="16" s="1"/>
  <c r="R126" i="16"/>
  <c r="T126" i="16" s="1"/>
  <c r="R127" i="16"/>
  <c r="T127" i="16" s="1"/>
  <c r="R128" i="16"/>
  <c r="T128" i="16" s="1"/>
  <c r="R129" i="16"/>
  <c r="T129" i="16" s="1"/>
  <c r="R131" i="16"/>
  <c r="T131" i="16" s="1"/>
  <c r="R132" i="16"/>
  <c r="T132" i="16" s="1"/>
  <c r="R133" i="16"/>
  <c r="T133" i="16" s="1"/>
  <c r="R134" i="16"/>
  <c r="T134" i="16" s="1"/>
  <c r="R135" i="16"/>
  <c r="T135" i="16" s="1"/>
  <c r="R136" i="16"/>
  <c r="T136" i="16" s="1"/>
  <c r="R137" i="16"/>
  <c r="T137" i="16" s="1"/>
  <c r="R138" i="16"/>
  <c r="T138" i="16" s="1"/>
  <c r="R139" i="16"/>
  <c r="T139" i="16" s="1"/>
  <c r="R140" i="16"/>
  <c r="T140" i="16" s="1"/>
  <c r="R141" i="16"/>
  <c r="T141" i="16" s="1"/>
  <c r="R142" i="16"/>
  <c r="T142" i="16" s="1"/>
  <c r="R145" i="16"/>
  <c r="T145" i="16" s="1"/>
  <c r="R146" i="16"/>
  <c r="T146" i="16" s="1"/>
  <c r="R147" i="16"/>
  <c r="T147" i="16" s="1"/>
  <c r="R148" i="16"/>
  <c r="T148" i="16" s="1"/>
  <c r="R149" i="16"/>
  <c r="T149" i="16" s="1"/>
  <c r="R188" i="16"/>
  <c r="T188" i="16" s="1"/>
  <c r="R229" i="16"/>
  <c r="R38" i="16"/>
  <c r="T38" i="16" s="1"/>
  <c r="R37" i="16"/>
  <c r="T37" i="16" s="1"/>
  <c r="R36" i="16"/>
  <c r="T36" i="16" s="1"/>
  <c r="R35" i="16"/>
  <c r="T35" i="16" s="1"/>
  <c r="R34" i="16"/>
  <c r="T34" i="16" s="1"/>
  <c r="R33" i="16"/>
  <c r="T33" i="16" s="1"/>
  <c r="R32" i="16"/>
  <c r="T32" i="16" s="1"/>
  <c r="R31" i="16"/>
  <c r="T31" i="16" s="1"/>
  <c r="R29" i="16"/>
  <c r="T29" i="16" s="1"/>
  <c r="R26" i="16"/>
  <c r="T26" i="16" s="1"/>
  <c r="R25" i="16"/>
  <c r="T25" i="16" s="1"/>
  <c r="R24" i="16"/>
  <c r="T24" i="16" s="1"/>
  <c r="R23" i="16"/>
  <c r="T23" i="16" s="1"/>
  <c r="R22" i="16"/>
  <c r="T22" i="16" s="1"/>
  <c r="R21" i="16"/>
  <c r="T21" i="16" s="1"/>
  <c r="R20" i="16"/>
  <c r="T20" i="16" s="1"/>
  <c r="R19" i="16"/>
  <c r="T19" i="16" s="1"/>
  <c r="R18" i="16"/>
  <c r="T18" i="16" s="1"/>
  <c r="R17" i="16"/>
  <c r="T17" i="16" s="1"/>
  <c r="R12" i="16"/>
  <c r="T12" i="16" s="1"/>
  <c r="R11" i="16"/>
  <c r="T11" i="16" s="1"/>
  <c r="R10" i="16"/>
  <c r="T10" i="16" s="1"/>
  <c r="R9" i="16"/>
  <c r="T9" i="16" s="1"/>
  <c r="R8" i="16"/>
  <c r="T8" i="16" s="1"/>
  <c r="R7" i="16"/>
  <c r="T7" i="16" s="1"/>
  <c r="R6" i="16"/>
  <c r="T6" i="16" s="1"/>
  <c r="R5" i="16"/>
  <c r="T5" i="16" s="1"/>
  <c r="S235" i="16"/>
  <c r="U230" i="16"/>
  <c r="S230" i="16"/>
  <c r="Q230" i="16"/>
  <c r="P230" i="16"/>
  <c r="O230" i="16"/>
  <c r="N230" i="16"/>
  <c r="K230" i="16"/>
  <c r="H230" i="16"/>
  <c r="G230" i="16"/>
  <c r="R16" i="16"/>
  <c r="T16" i="16" s="1"/>
  <c r="R15" i="16"/>
  <c r="T15" i="16" s="1"/>
  <c r="R14" i="16"/>
  <c r="T14" i="16" s="1"/>
  <c r="R13" i="16"/>
  <c r="T13" i="16" s="1"/>
  <c r="T216" i="13"/>
  <c r="T217" i="13"/>
  <c r="T218" i="13"/>
  <c r="T219" i="13"/>
  <c r="T220" i="13"/>
  <c r="T221" i="13"/>
  <c r="T222" i="13"/>
  <c r="T223" i="13"/>
  <c r="T224" i="13"/>
  <c r="R113" i="13"/>
  <c r="T113" i="13" s="1"/>
  <c r="R114" i="13"/>
  <c r="T114" i="13" s="1"/>
  <c r="R115" i="13"/>
  <c r="T115" i="13" s="1"/>
  <c r="R264" i="17" l="1"/>
  <c r="T128" i="17"/>
  <c r="T264" i="17" s="1"/>
  <c r="S267" i="17" s="1"/>
  <c r="R230" i="16"/>
  <c r="T229" i="16"/>
  <c r="T230" i="16" s="1"/>
  <c r="S233" i="16" s="1"/>
  <c r="T212" i="13"/>
  <c r="T213" i="13"/>
  <c r="T214" i="13"/>
  <c r="R210" i="13" l="1"/>
  <c r="T210" i="13" s="1"/>
  <c r="R211" i="13"/>
  <c r="T211" i="13" s="1"/>
  <c r="R215" i="13"/>
  <c r="T215" i="13" s="1"/>
  <c r="R228" i="13"/>
  <c r="T228" i="13" s="1"/>
  <c r="R229" i="13"/>
  <c r="T229" i="13" s="1"/>
  <c r="R230" i="13"/>
  <c r="T230" i="13" s="1"/>
  <c r="R231" i="13"/>
  <c r="T231" i="13" s="1"/>
  <c r="R207" i="13" l="1"/>
  <c r="T207" i="13" s="1"/>
  <c r="R208" i="13"/>
  <c r="T208" i="13" s="1"/>
  <c r="R209" i="13"/>
  <c r="T209" i="13" s="1"/>
  <c r="R5" i="13" l="1"/>
  <c r="T5" i="13" s="1"/>
  <c r="R6" i="13"/>
  <c r="T6" i="13" s="1"/>
  <c r="R7" i="13"/>
  <c r="T7" i="13" s="1"/>
  <c r="R8" i="13"/>
  <c r="T8" i="13" s="1"/>
  <c r="R9" i="13"/>
  <c r="T9" i="13" s="1"/>
  <c r="R10" i="13"/>
  <c r="T10" i="13" s="1"/>
  <c r="R11" i="13"/>
  <c r="T11" i="13" s="1"/>
  <c r="R12" i="13"/>
  <c r="T12" i="13" s="1"/>
  <c r="R13" i="13"/>
  <c r="T13" i="13" s="1"/>
  <c r="R14" i="13"/>
  <c r="T14" i="13" s="1"/>
  <c r="R15" i="13"/>
  <c r="T15" i="13" s="1"/>
  <c r="R16" i="13"/>
  <c r="T16" i="13" s="1"/>
  <c r="R17" i="13"/>
  <c r="T17" i="13" s="1"/>
  <c r="R18" i="13"/>
  <c r="T18" i="13" s="1"/>
  <c r="R19" i="13"/>
  <c r="T19" i="13" s="1"/>
  <c r="R20" i="13"/>
  <c r="T20" i="13" s="1"/>
  <c r="R21" i="13"/>
  <c r="T21" i="13" s="1"/>
  <c r="R22" i="13"/>
  <c r="T22" i="13" s="1"/>
  <c r="R23" i="13"/>
  <c r="T23" i="13" s="1"/>
  <c r="R24" i="13"/>
  <c r="T24" i="13" s="1"/>
  <c r="R25" i="13"/>
  <c r="T25" i="13" s="1"/>
  <c r="R26" i="13"/>
  <c r="T26" i="13" s="1"/>
  <c r="R27" i="13"/>
  <c r="T27" i="13" s="1"/>
  <c r="R28" i="13"/>
  <c r="T28" i="13" s="1"/>
  <c r="R29" i="13"/>
  <c r="T29" i="13" s="1"/>
  <c r="R30" i="13"/>
  <c r="T30" i="13" s="1"/>
  <c r="R31" i="13"/>
  <c r="T31" i="13" s="1"/>
  <c r="R32" i="13"/>
  <c r="T32" i="13" s="1"/>
  <c r="R33" i="13"/>
  <c r="T33" i="13" s="1"/>
  <c r="R34" i="13"/>
  <c r="T34" i="13" s="1"/>
  <c r="R35" i="13"/>
  <c r="T35" i="13" s="1"/>
  <c r="R36" i="13"/>
  <c r="T36" i="13" s="1"/>
  <c r="R37" i="13"/>
  <c r="T37" i="13" s="1"/>
  <c r="R38" i="13"/>
  <c r="T38" i="13" s="1"/>
  <c r="R39" i="13"/>
  <c r="T39" i="13" s="1"/>
  <c r="R40" i="13"/>
  <c r="T40" i="13" s="1"/>
  <c r="R41" i="13"/>
  <c r="T41" i="13" s="1"/>
  <c r="R42" i="13"/>
  <c r="T42" i="13" s="1"/>
  <c r="R43" i="13"/>
  <c r="T43" i="13" s="1"/>
  <c r="R44" i="13"/>
  <c r="T44" i="13" s="1"/>
  <c r="R45" i="13"/>
  <c r="T45" i="13" s="1"/>
  <c r="R46" i="13"/>
  <c r="T46" i="13" s="1"/>
  <c r="R47" i="13"/>
  <c r="T47" i="13" s="1"/>
  <c r="R48" i="13"/>
  <c r="T48" i="13" s="1"/>
  <c r="R49" i="13"/>
  <c r="T49" i="13" s="1"/>
  <c r="R50" i="13"/>
  <c r="T50" i="13" s="1"/>
  <c r="R51" i="13"/>
  <c r="T51" i="13" s="1"/>
  <c r="R52" i="13"/>
  <c r="T52" i="13" s="1"/>
  <c r="R53" i="13"/>
  <c r="T53" i="13" s="1"/>
  <c r="R54" i="13"/>
  <c r="T54" i="13" s="1"/>
  <c r="R55" i="13"/>
  <c r="T55" i="13" s="1"/>
  <c r="R56" i="13"/>
  <c r="T56" i="13" s="1"/>
  <c r="R57" i="13"/>
  <c r="T57" i="13" s="1"/>
  <c r="R58" i="13"/>
  <c r="T58" i="13" s="1"/>
  <c r="R59" i="13"/>
  <c r="T59" i="13" s="1"/>
  <c r="R60" i="13"/>
  <c r="T60" i="13" s="1"/>
  <c r="R61" i="13"/>
  <c r="T61" i="13" s="1"/>
  <c r="R62" i="13"/>
  <c r="T62" i="13" s="1"/>
  <c r="R63" i="13"/>
  <c r="T63" i="13" s="1"/>
  <c r="R64" i="13"/>
  <c r="T64" i="13" s="1"/>
  <c r="R65" i="13"/>
  <c r="T65" i="13" s="1"/>
  <c r="R66" i="13"/>
  <c r="T66" i="13" s="1"/>
  <c r="R67" i="13"/>
  <c r="T67" i="13" s="1"/>
  <c r="R68" i="13"/>
  <c r="T68" i="13" s="1"/>
  <c r="R69" i="13"/>
  <c r="T69" i="13" s="1"/>
  <c r="R70" i="13"/>
  <c r="T70" i="13" s="1"/>
  <c r="R71" i="13"/>
  <c r="T71" i="13" s="1"/>
  <c r="R72" i="13"/>
  <c r="T72" i="13" s="1"/>
  <c r="R73" i="13"/>
  <c r="T73" i="13" s="1"/>
  <c r="R75" i="13"/>
  <c r="R76" i="13"/>
  <c r="R77" i="13"/>
  <c r="R78" i="13"/>
  <c r="R79" i="13"/>
  <c r="R80" i="13"/>
  <c r="T80" i="13" s="1"/>
  <c r="R81" i="13"/>
  <c r="T81" i="13" s="1"/>
  <c r="R82" i="13"/>
  <c r="T82" i="13" s="1"/>
  <c r="R83" i="13"/>
  <c r="T83" i="13" s="1"/>
  <c r="R84" i="13"/>
  <c r="T84" i="13" s="1"/>
  <c r="R85" i="13"/>
  <c r="T85" i="13" s="1"/>
  <c r="R86" i="13"/>
  <c r="T86" i="13" s="1"/>
  <c r="R87" i="13"/>
  <c r="T87" i="13" s="1"/>
  <c r="R88" i="13"/>
  <c r="T88" i="13" s="1"/>
  <c r="R89" i="13"/>
  <c r="T89" i="13" s="1"/>
  <c r="R90" i="13"/>
  <c r="T90" i="13" s="1"/>
  <c r="R91" i="13"/>
  <c r="T91" i="13" s="1"/>
  <c r="R92" i="13"/>
  <c r="T92" i="13" s="1"/>
  <c r="R93" i="13"/>
  <c r="T93" i="13" s="1"/>
  <c r="R94" i="13"/>
  <c r="T94" i="13" s="1"/>
  <c r="R95" i="13"/>
  <c r="T95" i="13" s="1"/>
  <c r="T96" i="13"/>
  <c r="R97" i="13"/>
  <c r="T97" i="13" s="1"/>
  <c r="R98" i="13"/>
  <c r="T98" i="13" s="1"/>
  <c r="R99" i="13"/>
  <c r="T99" i="13" s="1"/>
  <c r="R100" i="13"/>
  <c r="T100" i="13" s="1"/>
  <c r="R101" i="13"/>
  <c r="T101" i="13" s="1"/>
  <c r="R102" i="13"/>
  <c r="T102" i="13" s="1"/>
  <c r="R103" i="13"/>
  <c r="T103" i="13" s="1"/>
  <c r="R104" i="13"/>
  <c r="T104" i="13" s="1"/>
  <c r="R105" i="13"/>
  <c r="T105" i="13" s="1"/>
  <c r="R106" i="13"/>
  <c r="T106" i="13" s="1"/>
  <c r="R107" i="13"/>
  <c r="T107" i="13" s="1"/>
  <c r="R108" i="13"/>
  <c r="T108" i="13" s="1"/>
  <c r="R109" i="13"/>
  <c r="T109" i="13" s="1"/>
  <c r="R110" i="13"/>
  <c r="T110" i="13" s="1"/>
  <c r="R111" i="13"/>
  <c r="T111" i="13" s="1"/>
  <c r="R112" i="13"/>
  <c r="T112" i="13" s="1"/>
  <c r="R116" i="13"/>
  <c r="T116" i="13" s="1"/>
  <c r="R117" i="13"/>
  <c r="T117" i="13" s="1"/>
  <c r="R118" i="13"/>
  <c r="T118" i="13" s="1"/>
  <c r="R119" i="13"/>
  <c r="T119" i="13" s="1"/>
  <c r="R120" i="13"/>
  <c r="T120" i="13" s="1"/>
  <c r="R121" i="13"/>
  <c r="T121" i="13" s="1"/>
  <c r="R122" i="13"/>
  <c r="T122" i="13" s="1"/>
  <c r="R123" i="13"/>
  <c r="T123" i="13" s="1"/>
  <c r="R124" i="13"/>
  <c r="T124" i="13" s="1"/>
  <c r="R125" i="13"/>
  <c r="T125" i="13" s="1"/>
  <c r="R126" i="13"/>
  <c r="T126" i="13" s="1"/>
  <c r="R127" i="13"/>
  <c r="T127" i="13" s="1"/>
  <c r="R128" i="13"/>
  <c r="T128" i="13" s="1"/>
  <c r="R129" i="13"/>
  <c r="T129" i="13" s="1"/>
  <c r="R130" i="13"/>
  <c r="T130" i="13" s="1"/>
  <c r="R131" i="13"/>
  <c r="T131" i="13" s="1"/>
  <c r="R132" i="13"/>
  <c r="T132" i="13" s="1"/>
  <c r="R133" i="13"/>
  <c r="T133" i="13" s="1"/>
  <c r="R134" i="13"/>
  <c r="T134" i="13" s="1"/>
  <c r="R135" i="13"/>
  <c r="T135" i="13" s="1"/>
  <c r="R136" i="13"/>
  <c r="T136" i="13" s="1"/>
  <c r="R137" i="13"/>
  <c r="T137" i="13" s="1"/>
  <c r="R138" i="13"/>
  <c r="T138" i="13" s="1"/>
  <c r="R139" i="13"/>
  <c r="T139" i="13" s="1"/>
  <c r="R140" i="13"/>
  <c r="T140" i="13" s="1"/>
  <c r="R141" i="13"/>
  <c r="T141" i="13" s="1"/>
  <c r="R142" i="13"/>
  <c r="T142" i="13" s="1"/>
  <c r="R143" i="13"/>
  <c r="T143" i="13" s="1"/>
  <c r="R144" i="13"/>
  <c r="T144" i="13" s="1"/>
  <c r="R145" i="13"/>
  <c r="T145" i="13" s="1"/>
  <c r="R146" i="13"/>
  <c r="T146" i="13" s="1"/>
  <c r="R147" i="13"/>
  <c r="T147" i="13" s="1"/>
  <c r="R148" i="13"/>
  <c r="T148" i="13" s="1"/>
  <c r="R149" i="13"/>
  <c r="T149" i="13" s="1"/>
  <c r="R150" i="13"/>
  <c r="T150" i="13" s="1"/>
  <c r="R151" i="13"/>
  <c r="T151" i="13" s="1"/>
  <c r="R152" i="13"/>
  <c r="T152" i="13" s="1"/>
  <c r="R156" i="13"/>
  <c r="T156" i="13" s="1"/>
  <c r="R157" i="13"/>
  <c r="T157" i="13" s="1"/>
  <c r="R158" i="13"/>
  <c r="T158" i="13" s="1"/>
  <c r="R159" i="13"/>
  <c r="T159" i="13" s="1"/>
  <c r="R160" i="13"/>
  <c r="T160" i="13" s="1"/>
  <c r="R161" i="13"/>
  <c r="T161" i="13" s="1"/>
  <c r="R162" i="13"/>
  <c r="T162" i="13" s="1"/>
  <c r="R163" i="13"/>
  <c r="T163" i="13" s="1"/>
  <c r="R164" i="13"/>
  <c r="T164" i="13" s="1"/>
  <c r="R165" i="13"/>
  <c r="T165" i="13" s="1"/>
  <c r="R166" i="13"/>
  <c r="T166" i="13" s="1"/>
  <c r="R167" i="13"/>
  <c r="T167" i="13" s="1"/>
  <c r="R168" i="13"/>
  <c r="T168" i="13" s="1"/>
  <c r="R169" i="13"/>
  <c r="T169" i="13" s="1"/>
  <c r="R170" i="13"/>
  <c r="T170" i="13" s="1"/>
  <c r="R171" i="13"/>
  <c r="T171" i="13" s="1"/>
  <c r="R172" i="13"/>
  <c r="T172" i="13" s="1"/>
  <c r="R173" i="13"/>
  <c r="T173" i="13" s="1"/>
  <c r="R174" i="13"/>
  <c r="T174" i="13" s="1"/>
  <c r="R175" i="13"/>
  <c r="T175" i="13" s="1"/>
  <c r="R176" i="13"/>
  <c r="T176" i="13" s="1"/>
  <c r="R177" i="13"/>
  <c r="T177" i="13" s="1"/>
  <c r="R178" i="13"/>
  <c r="T178" i="13" s="1"/>
  <c r="R179" i="13"/>
  <c r="T179" i="13" s="1"/>
  <c r="R180" i="13"/>
  <c r="T180" i="13" s="1"/>
  <c r="R181" i="13"/>
  <c r="T181" i="13" s="1"/>
  <c r="R182" i="13"/>
  <c r="T182" i="13" s="1"/>
  <c r="R183" i="13"/>
  <c r="T183" i="13" s="1"/>
  <c r="R184" i="13"/>
  <c r="T184" i="13" s="1"/>
  <c r="R185" i="13"/>
  <c r="T185" i="13" s="1"/>
  <c r="R186" i="13"/>
  <c r="T186" i="13" s="1"/>
  <c r="R187" i="13"/>
  <c r="T187" i="13" s="1"/>
  <c r="R188" i="13"/>
  <c r="T188" i="13" s="1"/>
  <c r="R189" i="13"/>
  <c r="T189" i="13" s="1"/>
  <c r="R190" i="13"/>
  <c r="T190" i="13" s="1"/>
  <c r="R191" i="13"/>
  <c r="T191" i="13" s="1"/>
  <c r="R192" i="13"/>
  <c r="T192" i="13" s="1"/>
  <c r="R193" i="13"/>
  <c r="T193" i="13" s="1"/>
  <c r="R194" i="13"/>
  <c r="T194" i="13" s="1"/>
  <c r="R195" i="13"/>
  <c r="T195" i="13" s="1"/>
  <c r="R196" i="13"/>
  <c r="T196" i="13" s="1"/>
  <c r="R197" i="13"/>
  <c r="T197" i="13" s="1"/>
  <c r="R198" i="13"/>
  <c r="T198" i="13" s="1"/>
  <c r="R199" i="13"/>
  <c r="T199" i="13" s="1"/>
  <c r="R200" i="13"/>
  <c r="T200" i="13" s="1"/>
  <c r="R201" i="13"/>
  <c r="T201" i="13" s="1"/>
  <c r="R202" i="13"/>
  <c r="T202" i="13" s="1"/>
  <c r="R203" i="13"/>
  <c r="T203" i="13" s="1"/>
  <c r="R204" i="13"/>
  <c r="T204" i="13" s="1"/>
  <c r="R205" i="13"/>
  <c r="T205" i="13" s="1"/>
  <c r="R206" i="13"/>
  <c r="T206" i="13" s="1"/>
  <c r="AG50" i="15" l="1"/>
  <c r="R50" i="15"/>
  <c r="AI45" i="15"/>
  <c r="AG45" i="15"/>
  <c r="AE45" i="15"/>
  <c r="AD45" i="15"/>
  <c r="AC45" i="15"/>
  <c r="AB45" i="15"/>
  <c r="AA45" i="15"/>
  <c r="Z45" i="15"/>
  <c r="Y45" i="15"/>
  <c r="X45" i="15"/>
  <c r="W45" i="15"/>
  <c r="V45" i="15"/>
  <c r="U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AH39" i="15"/>
  <c r="Q39" i="15"/>
  <c r="S39" i="15" s="1"/>
  <c r="AF38" i="15"/>
  <c r="AH38" i="15" s="1"/>
  <c r="Q38" i="15"/>
  <c r="S38" i="15" s="1"/>
  <c r="AH35" i="15"/>
  <c r="S25" i="15"/>
  <c r="S21" i="15"/>
  <c r="AF17" i="15"/>
  <c r="AH17" i="15" s="1"/>
  <c r="Q17" i="15"/>
  <c r="S17" i="15" s="1"/>
  <c r="AF16" i="15"/>
  <c r="AH16" i="15" s="1"/>
  <c r="S16" i="15"/>
  <c r="Q16" i="15"/>
  <c r="AF15" i="15"/>
  <c r="AH15" i="15" s="1"/>
  <c r="Q15" i="15"/>
  <c r="S15" i="15" s="1"/>
  <c r="AF14" i="15"/>
  <c r="AH14" i="15" s="1"/>
  <c r="Q14" i="15"/>
  <c r="S14" i="15" s="1"/>
  <c r="AF13" i="15"/>
  <c r="AH13" i="15" s="1"/>
  <c r="Q13" i="15"/>
  <c r="S13" i="15" s="1"/>
  <c r="AF11" i="15"/>
  <c r="AH11" i="15" s="1"/>
  <c r="Q11" i="15"/>
  <c r="S11" i="15" s="1"/>
  <c r="AF10" i="15"/>
  <c r="AH10" i="15" s="1"/>
  <c r="Q10" i="15"/>
  <c r="S10" i="15" s="1"/>
  <c r="AF9" i="15"/>
  <c r="AH9" i="15" s="1"/>
  <c r="Q9" i="15"/>
  <c r="S9" i="15" s="1"/>
  <c r="AF8" i="15"/>
  <c r="AH8" i="15" s="1"/>
  <c r="Q8" i="15"/>
  <c r="I41" i="14"/>
  <c r="H41" i="14"/>
  <c r="G41" i="14"/>
  <c r="F41" i="14"/>
  <c r="E41" i="14"/>
  <c r="D41" i="14"/>
  <c r="L15" i="14"/>
  <c r="L11" i="14"/>
  <c r="L8" i="14"/>
  <c r="L41" i="14" s="1"/>
  <c r="Q45" i="15" l="1"/>
  <c r="AH45" i="15"/>
  <c r="AG48" i="15" s="1"/>
  <c r="AF45" i="15"/>
  <c r="S8" i="15"/>
  <c r="S45" i="15" s="1"/>
  <c r="S232" i="13"/>
  <c r="U232" i="13"/>
  <c r="S237" i="13"/>
  <c r="Q232" i="13"/>
  <c r="P232" i="13"/>
  <c r="O232" i="13"/>
  <c r="N232" i="13"/>
  <c r="K232" i="13"/>
  <c r="H232" i="13"/>
  <c r="G232" i="13"/>
  <c r="R45" i="15" l="1"/>
  <c r="R48" i="15"/>
  <c r="T232" i="13"/>
  <c r="R232" i="13"/>
  <c r="S235" i="13" l="1"/>
  <c r="H19" i="1" l="1"/>
  <c r="G19" i="1"/>
  <c r="F19" i="1"/>
  <c r="E19" i="1"/>
  <c r="E22" i="1" s="1"/>
  <c r="D19" i="1"/>
  <c r="C19" i="1" s="1"/>
  <c r="C18" i="1"/>
  <c r="C17" i="1"/>
  <c r="C16" i="1"/>
  <c r="C15" i="1"/>
  <c r="C14" i="1"/>
  <c r="C13" i="1"/>
  <c r="M38" i="8" l="1"/>
  <c r="G38" i="8"/>
  <c r="F38" i="8"/>
  <c r="E38" i="8"/>
  <c r="D38" i="8"/>
  <c r="BP205" i="11"/>
  <c r="BO205" i="11"/>
  <c r="BN205" i="11"/>
  <c r="BM205" i="11"/>
  <c r="BL205" i="11"/>
  <c r="BK205" i="11"/>
  <c r="BD205" i="11"/>
  <c r="BC205" i="11"/>
  <c r="BB205" i="11"/>
  <c r="BA205" i="11"/>
  <c r="AZ205" i="11"/>
  <c r="AY205" i="11"/>
  <c r="AR205" i="11"/>
  <c r="AQ205" i="11"/>
  <c r="AP205" i="11"/>
  <c r="AO205" i="11"/>
  <c r="AN205" i="11"/>
  <c r="AM205" i="11"/>
  <c r="AF205" i="11"/>
  <c r="AE205" i="11"/>
  <c r="AD205" i="11"/>
  <c r="AC205" i="11"/>
  <c r="AB205" i="11"/>
  <c r="AA205" i="11"/>
  <c r="T205" i="11"/>
  <c r="S205" i="11"/>
  <c r="R205" i="11"/>
  <c r="Q205" i="11"/>
  <c r="P205" i="11"/>
  <c r="O205" i="11"/>
  <c r="H205" i="11"/>
  <c r="G205" i="11"/>
  <c r="F205" i="11"/>
  <c r="E205" i="11"/>
  <c r="D205" i="11"/>
  <c r="C205" i="11"/>
  <c r="T76" i="10"/>
  <c r="T72" i="10"/>
  <c r="T68" i="10"/>
  <c r="T63" i="10"/>
  <c r="T59" i="10"/>
  <c r="T55" i="10"/>
  <c r="T51" i="10"/>
  <c r="T47" i="10"/>
  <c r="T43" i="10"/>
  <c r="T41" i="10"/>
  <c r="T39" i="10"/>
  <c r="T37" i="10"/>
  <c r="T35" i="10"/>
  <c r="T33" i="10"/>
  <c r="T29" i="10"/>
  <c r="T27" i="10"/>
  <c r="T25" i="10"/>
  <c r="T23" i="10"/>
  <c r="T21" i="10"/>
  <c r="T19" i="10"/>
  <c r="T17" i="10"/>
  <c r="T15" i="10"/>
  <c r="T11" i="10"/>
  <c r="T9" i="10"/>
  <c r="T7" i="10"/>
  <c r="T5" i="10"/>
  <c r="T3" i="10"/>
  <c r="M35" i="8"/>
  <c r="M41" i="8" s="1"/>
  <c r="L35" i="8"/>
  <c r="L38" i="8" s="1"/>
  <c r="K35" i="8"/>
  <c r="K38" i="8" s="1"/>
  <c r="J35" i="8"/>
  <c r="J41" i="8" s="1"/>
  <c r="I35" i="8"/>
  <c r="I38" i="8" s="1"/>
  <c r="H35" i="8"/>
  <c r="H38" i="8" s="1"/>
  <c r="G35" i="8"/>
  <c r="F35" i="8"/>
  <c r="E35" i="8"/>
  <c r="C35" i="8"/>
  <c r="C38" i="8" s="1"/>
  <c r="B35" i="8"/>
  <c r="B38" i="8" s="1"/>
  <c r="F74" i="6"/>
  <c r="F68" i="6"/>
  <c r="F76" i="6" s="1"/>
  <c r="E68" i="6"/>
  <c r="F73" i="6" s="1"/>
  <c r="G82" i="5"/>
  <c r="F88" i="5" s="1"/>
  <c r="F82" i="5"/>
  <c r="F90" i="5" s="1"/>
  <c r="E82" i="5"/>
  <c r="F89" i="5" s="1"/>
  <c r="G75" i="4"/>
  <c r="F75" i="4"/>
  <c r="E75" i="4"/>
  <c r="G74" i="3"/>
  <c r="F74" i="3"/>
  <c r="E74" i="3"/>
  <c r="G74" i="2"/>
  <c r="F74" i="2"/>
  <c r="E74" i="2"/>
  <c r="H41" i="8" l="1"/>
  <c r="I41" i="8"/>
  <c r="J38" i="8"/>
  <c r="K41" i="8"/>
  <c r="L41" i="8"/>
  <c r="N95" i="9"/>
  <c r="N35" i="8"/>
  <c r="N38" i="8" s="1"/>
  <c r="F75" i="6"/>
  <c r="F87" i="5"/>
  <c r="N41" i="8" l="1"/>
</calcChain>
</file>

<file path=xl/sharedStrings.xml><?xml version="1.0" encoding="utf-8"?>
<sst xmlns="http://schemas.openxmlformats.org/spreadsheetml/2006/main" count="2954" uniqueCount="1191">
  <si>
    <t>มกราคม</t>
  </si>
  <si>
    <t>กุมภาพันธ์</t>
  </si>
  <si>
    <t>มีนาคม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</si>
  <si>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</si>
  <si>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</si>
  <si>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</si>
  <si>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</si>
  <si>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</si>
  <si>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</si>
  <si>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 xml:space="preserve">Sale Blacklog </t>
  </si>
  <si>
    <t>Document Number</t>
  </si>
  <si>
    <t>Posting Date</t>
  </si>
  <si>
    <t>Customer/Vendor Code</t>
  </si>
  <si>
    <t>Customer/Vendor Name</t>
  </si>
  <si>
    <t>Document Total</t>
  </si>
  <si>
    <t>Success</t>
  </si>
  <si>
    <t>Cancel</t>
  </si>
  <si>
    <t>Project Name</t>
  </si>
  <si>
    <t>รวม</t>
  </si>
  <si>
    <t>จำนวน</t>
  </si>
  <si>
    <t>มูลค่า</t>
  </si>
  <si>
    <t>ใบเสนอราคาทั้งหมด</t>
  </si>
  <si>
    <t>ใบเสนอราคาที่ Cancel</t>
  </si>
  <si>
    <t>ใบเสนอราคา Pipeline</t>
  </si>
  <si>
    <t>ใบเสอนราคาที่เป็น PO</t>
  </si>
  <si>
    <t>ใบเสนอราคาที่เป็น Pipeline</t>
  </si>
  <si>
    <t>บาท</t>
  </si>
  <si>
    <t>วันที่</t>
  </si>
  <si>
    <t>เมษายน</t>
  </si>
  <si>
    <t>พฤษภาคม</t>
  </si>
  <si>
    <t>มิถุนายน</t>
  </si>
  <si>
    <t>-</t>
  </si>
  <si>
    <t>CN</t>
  </si>
  <si>
    <t>%เทียบเป้า</t>
  </si>
  <si>
    <t>เป้า/เดือน</t>
  </si>
  <si>
    <t>เป้า/ปี</t>
  </si>
  <si>
    <t>ห่างเป้า</t>
  </si>
  <si>
    <t>No.</t>
  </si>
  <si>
    <t>SI / End User</t>
  </si>
  <si>
    <t>Supoort</t>
  </si>
  <si>
    <t>Install</t>
  </si>
  <si>
    <t>Total price (Ex.VAT)</t>
  </si>
  <si>
    <t>Status</t>
  </si>
  <si>
    <t>Close Pj. Date</t>
  </si>
  <si>
    <t>Note.</t>
  </si>
  <si>
    <t>0052024-RIC0003</t>
  </si>
  <si>
    <t>Ricoh</t>
  </si>
  <si>
    <t>AI First</t>
  </si>
  <si>
    <t>0362024-RIC0003</t>
  </si>
  <si>
    <t>0462024-RIC0003</t>
  </si>
  <si>
    <t>0472024-RIC0003</t>
  </si>
  <si>
    <t>อื่นๆ</t>
  </si>
  <si>
    <t>0752024-RIC0003</t>
  </si>
  <si>
    <t>0872024-RIC0003</t>
  </si>
  <si>
    <t>Cyber Link</t>
  </si>
  <si>
    <t>1022024-RIC0003</t>
  </si>
  <si>
    <t>1052024-RIC0003</t>
  </si>
  <si>
    <t>LL0222024-EIB0001</t>
  </si>
  <si>
    <t>EIBIZ</t>
  </si>
  <si>
    <t>1162024-RIC0003</t>
  </si>
  <si>
    <t>2692024-RIC0003</t>
  </si>
  <si>
    <t>3502024-RIC0003</t>
  </si>
  <si>
    <t>Digital View</t>
  </si>
  <si>
    <t>3582024-RIC0003</t>
  </si>
  <si>
    <t>3672024-RIC0003</t>
  </si>
  <si>
    <t>None</t>
  </si>
  <si>
    <t>3742024-CUB0004</t>
  </si>
  <si>
    <t>Cube</t>
  </si>
  <si>
    <t>4012024-ITS0003</t>
  </si>
  <si>
    <t>IT Service Solution</t>
  </si>
  <si>
    <t>Stream IT</t>
  </si>
  <si>
    <t>LL1292024-MAR0006</t>
  </si>
  <si>
    <t>The Expert ICT</t>
  </si>
  <si>
    <t>4162024-RIC0003</t>
  </si>
  <si>
    <t>4712024-WIL0002</t>
  </si>
  <si>
    <t>4402024-RIC0003</t>
  </si>
  <si>
    <t>In The Cloud</t>
  </si>
  <si>
    <t>4622024-RIC0003</t>
  </si>
  <si>
    <t>LL1602024-HIT0001</t>
  </si>
  <si>
    <t>ฮิลเทค</t>
  </si>
  <si>
    <t>4852024-THE0006</t>
  </si>
  <si>
    <t>4892024-RIC0003</t>
  </si>
  <si>
    <t>5272024-RIC0003</t>
  </si>
  <si>
    <t>5502024-RIC0003</t>
  </si>
  <si>
    <t>5602024-GRE0009</t>
  </si>
  <si>
    <t>GTI</t>
  </si>
  <si>
    <t>Loxley Evolution</t>
  </si>
  <si>
    <t>0142025-RIC0003</t>
  </si>
  <si>
    <t>0272025-RIC0003</t>
  </si>
  <si>
    <t>0412025-RIC0003</t>
  </si>
  <si>
    <t>0482025-RIC0003</t>
  </si>
  <si>
    <t>0522025-LOX0003</t>
  </si>
  <si>
    <t>0542025-RIC0003</t>
  </si>
  <si>
    <t>0642025-THE0006</t>
  </si>
  <si>
    <t>0632025-LOX0003</t>
  </si>
  <si>
    <t>0752025-RIC0003</t>
  </si>
  <si>
    <t>0792025-RIC0003</t>
  </si>
  <si>
    <t>08522025-LOX0003</t>
  </si>
  <si>
    <t>08722025-TAM0002</t>
  </si>
  <si>
    <t>TRIUMPH</t>
  </si>
  <si>
    <t>1142025-RIC0003</t>
  </si>
  <si>
    <t>1202025-RIC0003</t>
  </si>
  <si>
    <t>1322025-RIC0003</t>
  </si>
  <si>
    <t>1342025-RIC0003</t>
  </si>
  <si>
    <t>1552025-CYB0008</t>
  </si>
  <si>
    <t>LL0562025-DEY0001</t>
  </si>
  <si>
    <t>Deye</t>
  </si>
  <si>
    <t>1652025-RIC0003</t>
  </si>
  <si>
    <t>LL0632025-DEF0001</t>
  </si>
  <si>
    <t>LL0642025-GUT0002</t>
  </si>
  <si>
    <t>GUTS</t>
  </si>
  <si>
    <t>LL0352025-TNT0001</t>
  </si>
  <si>
    <t>1872025-APS0006</t>
  </si>
  <si>
    <t>APSN</t>
  </si>
  <si>
    <t>1902025-RIC0003</t>
  </si>
  <si>
    <t>Basis School</t>
  </si>
  <si>
    <t xml:space="preserve"> SQP125040174</t>
  </si>
  <si>
    <t>SQP125020434</t>
  </si>
  <si>
    <t>SQP124050419</t>
  </si>
  <si>
    <t>Access_รร.ปาณยา</t>
  </si>
  <si>
    <t>SQP124040611
11LP240682</t>
  </si>
  <si>
    <t>Video Wall_Siam Smile</t>
  </si>
  <si>
    <t>SQP124010059
11LU236572</t>
  </si>
  <si>
    <t>SQP124030734
11LP240290</t>
  </si>
  <si>
    <t>SQP125030545</t>
  </si>
  <si>
    <t>Access ITOCHU_Phase2</t>
  </si>
  <si>
    <t>SQP124010286
13LP236746</t>
  </si>
  <si>
    <t>SQP124010285
03LB236780</t>
  </si>
  <si>
    <t>CCTV Thai Credit</t>
  </si>
  <si>
    <t>SQP124050261
03LPRO240962</t>
  </si>
  <si>
    <t>SQP124060747
03LPRO242173</t>
  </si>
  <si>
    <t>SQP124050260
13LP243115</t>
  </si>
  <si>
    <t>SQP124080897
03LPRO243719</t>
  </si>
  <si>
    <t>SQP124080048
03LPRO243893</t>
  </si>
  <si>
    <t>SQP124080049
13LP244784</t>
  </si>
  <si>
    <t>SQP124100503
03LPRO245127</t>
  </si>
  <si>
    <t>SQP124080411
03LPRO245129</t>
  </si>
  <si>
    <t>SQP124110215
03LPRO245671</t>
  </si>
  <si>
    <t>SQP124110511
03LPRO245986</t>
  </si>
  <si>
    <t>SQP124120324
03LPRO246705</t>
  </si>
  <si>
    <t>SQP125020512
03LPRO248340</t>
  </si>
  <si>
    <t>SQP125040313
03LPRO250537</t>
  </si>
  <si>
    <t>SQP125040421
03LPRO250549</t>
  </si>
  <si>
    <t>CCTV สุรากระทิงแดง กำแพงเพชร</t>
  </si>
  <si>
    <t>SQP125040453
03LPRO250716</t>
  </si>
  <si>
    <t>CCTV แสงโสม นครปฐม</t>
  </si>
  <si>
    <t>SQP124070521</t>
  </si>
  <si>
    <t>SQP124090020
11LB245125</t>
  </si>
  <si>
    <t>SQP125030782
03LPRO250440</t>
  </si>
  <si>
    <t>Sappe_Phase2</t>
  </si>
  <si>
    <t>SQP125020031
03LPRO247874</t>
  </si>
  <si>
    <t>SQP125020077
03LPRO247878</t>
  </si>
  <si>
    <t>SQP125020077
13LPRO247885</t>
  </si>
  <si>
    <t>ศูนย์สอบ มศว.</t>
  </si>
  <si>
    <t>SQP124010695
11LP237093</t>
  </si>
  <si>
    <t>SQP123120388
03LPRO236274</t>
  </si>
  <si>
    <t>Vespario เฟส2</t>
  </si>
  <si>
    <t>SQP124020696
11LU237529</t>
  </si>
  <si>
    <t>SQP124020696
03LU237528</t>
  </si>
  <si>
    <t>SQP124020697
11LP237607</t>
  </si>
  <si>
    <t>SQP123120612
11LP236324</t>
  </si>
  <si>
    <t>SQP124030592
11LP240232</t>
  </si>
  <si>
    <t>SQP124030593
03LU240299</t>
  </si>
  <si>
    <t>SQP124040016
03LU240299</t>
  </si>
  <si>
    <t>SQP124050809
11LP241901</t>
  </si>
  <si>
    <t>รร.อำนวยศิลป์</t>
  </si>
  <si>
    <t>Q123090873
11LU236139</t>
  </si>
  <si>
    <t>HCC - AIDA</t>
  </si>
  <si>
    <t>SQP124070578
03LB242819</t>
  </si>
  <si>
    <t>รร.นนทรีวิทยา</t>
  </si>
  <si>
    <t>SQP124070267</t>
  </si>
  <si>
    <t>SQP124080199</t>
  </si>
  <si>
    <t>SQP124110552
03LPRO246027</t>
  </si>
  <si>
    <t>SQP125020574</t>
  </si>
  <si>
    <t>CCTV+ Access โนโว</t>
  </si>
  <si>
    <t>SQP124100253
13LPRO245170</t>
  </si>
  <si>
    <t>CCTV เซาท์ เอ็นจิเนี่ย</t>
  </si>
  <si>
    <t>SQP124090688
03LPRO245331</t>
  </si>
  <si>
    <t xml:space="preserve">Internal showroom </t>
  </si>
  <si>
    <t>SQP125010460
242682</t>
  </si>
  <si>
    <t>SQP125010089
242683</t>
  </si>
  <si>
    <t>SQP124080264
241664</t>
  </si>
  <si>
    <t>SQP125010689
03LPRO247698</t>
  </si>
  <si>
    <t>Access เดอะ ทรัสต์ คอนโด</t>
  </si>
  <si>
    <t>SQP125040022</t>
  </si>
  <si>
    <t>CCTV บจก. แสงรุ่งกรุ๊ป</t>
  </si>
  <si>
    <t>SQP125030008</t>
  </si>
  <si>
    <t>ANPR-EGCO</t>
  </si>
  <si>
    <t>SQP125030245</t>
  </si>
  <si>
    <t xml:space="preserve">CCTV_DPX </t>
  </si>
  <si>
    <t>SQP125040206</t>
  </si>
  <si>
    <t>BCP บางจาก</t>
  </si>
  <si>
    <t>SQP124070282
PO2024070136</t>
  </si>
  <si>
    <t>SQP124070615
PO2024070213</t>
  </si>
  <si>
    <t>SQP124070848
PO2024070322</t>
  </si>
  <si>
    <t>SQP124080694
PO2024080258</t>
  </si>
  <si>
    <t>SQP124090102
PO2024090104</t>
  </si>
  <si>
    <t>SQP124090266
PO2024090105</t>
  </si>
  <si>
    <t>SQP124090436
PO2024090183</t>
  </si>
  <si>
    <t>SQP124090435
PO2024090182</t>
  </si>
  <si>
    <t>SQP124090689
PO2024090248</t>
  </si>
  <si>
    <t>SQP124100179
PO2024100052</t>
  </si>
  <si>
    <t>SQP124120235
PO2024120155</t>
  </si>
  <si>
    <t>SQP125010135
PO2025010027</t>
  </si>
  <si>
    <t>SQP125020343
PO2025020146</t>
  </si>
  <si>
    <t>SQP125020379
PO2025020147</t>
  </si>
  <si>
    <t>SQP125020187
PO2025020065</t>
  </si>
  <si>
    <t>SQP125030065
PO2025030039</t>
  </si>
  <si>
    <t>SQP125030066
PO2025030040</t>
  </si>
  <si>
    <t>SQP125060011
PO2025060011</t>
  </si>
  <si>
    <t>SQP125020164
PO.68/02/03</t>
  </si>
  <si>
    <t>Expert Eng</t>
  </si>
  <si>
    <t>SQP125030780
PO2503059</t>
  </si>
  <si>
    <t>SQP125030157
F4 164735</t>
  </si>
  <si>
    <t>Loxley</t>
  </si>
  <si>
    <t>SQP125030728</t>
  </si>
  <si>
    <t>CCTV ศูนย์เด็กเล็ก คลอง 6</t>
  </si>
  <si>
    <t>SQP124020588</t>
  </si>
  <si>
    <t>AI CCTV-SIIT</t>
  </si>
  <si>
    <t>SQP124090395</t>
  </si>
  <si>
    <t>CCTV รพ.กรุงเทพ ปากช่อง</t>
  </si>
  <si>
    <t>SQP124080271
WEC-2567-08-3137</t>
  </si>
  <si>
    <t>SQP124080271
WEC-2567-08-3138</t>
  </si>
  <si>
    <t>บริษัท</t>
  </si>
  <si>
    <t>การเข้าพบ</t>
  </si>
  <si>
    <t>ประเภทลูกค้า</t>
  </si>
  <si>
    <t>วัตถุประสงค์การเข้าพบ</t>
  </si>
  <si>
    <t>เลขที่โครงการ</t>
  </si>
  <si>
    <t>รายละเอียด</t>
  </si>
  <si>
    <t>ติดต่อ</t>
  </si>
  <si>
    <t>Onsite</t>
  </si>
  <si>
    <t>Online</t>
  </si>
  <si>
    <t>ComeIn</t>
  </si>
  <si>
    <t>เก่า</t>
  </si>
  <si>
    <t>ใหม่</t>
  </si>
  <si>
    <t>เก่าใหม่</t>
  </si>
  <si>
    <t>ชื่อ</t>
  </si>
  <si>
    <t>โทร.</t>
  </si>
  <si>
    <t>ติดตามงาน</t>
  </si>
  <si>
    <t>ประชุมเก็บ Requirement เพิ่มเติมเนื่องจากวันที่เข้าหน้างาน มีเหตุแผ่นดินไหว</t>
  </si>
  <si>
    <t>คุณเจษฎา</t>
  </si>
  <si>
    <t>061-421-6628</t>
  </si>
  <si>
    <t>วันแรงงาน</t>
  </si>
  <si>
    <t>ลาพักร้อน</t>
  </si>
  <si>
    <t>ประชุม</t>
  </si>
  <si>
    <t>รับ Requirement งานกล้อง นนทบุรี / งาน CCTV นนทบุรี</t>
  </si>
  <si>
    <t xml:space="preserve">คุณฉัตรชัย </t>
  </si>
  <si>
    <t>099-241-5259</t>
  </si>
  <si>
    <t>ส่งกล้อง 2 ตัว พร้อมรับ กล้องกลับมาเคลม และสรุปจำนวนกล้องในโครงการที่ยังค้าง Stock</t>
  </si>
  <si>
    <t xml:space="preserve"> คุณพลอยไพลิน </t>
  </si>
  <si>
    <t>080-459-2890</t>
  </si>
  <si>
    <t>ประชุมออนไลน์</t>
  </si>
  <si>
    <t xml:space="preserve">ประชุม Online พร้อม Support คุณนพคุณ ลูกค้าเปลี่ยน Requirement ต้องการเป็นระบบ On Cloud </t>
  </si>
  <si>
    <t xml:space="preserve">คุณกำพล </t>
  </si>
  <si>
    <t>097-080-2848</t>
  </si>
  <si>
    <t>ประชุมติดตามร่าง TOR+หลักสูตร</t>
  </si>
  <si>
    <t xml:space="preserve">คุณพลเดช </t>
  </si>
  <si>
    <t>081-935-9882</t>
  </si>
  <si>
    <t xml:space="preserve">เข้าดูหน้างาน (หน้างานเปลี่ยนแปลง) + ประชุม พร้อม Support นพคุณ </t>
  </si>
  <si>
    <t>คุณกิตติชัย</t>
  </si>
  <si>
    <t xml:space="preserve"> 089-969-0718</t>
  </si>
  <si>
    <t>ออฟฟิศ</t>
  </si>
  <si>
    <t>เก็บ Requirement พร้อมนำอุปกรณ์ให้ยืมเพื่อ POC/งาน Access วิทยาลัยเซนต์หลุยส์</t>
  </si>
  <si>
    <t xml:space="preserve">คุณชัยวิรัตน์ </t>
  </si>
  <si>
    <t>095-701-4804</t>
  </si>
  <si>
    <t>วันหยุด</t>
  </si>
  <si>
    <t xml:space="preserve">นำเสนอ รูปแบบ Software Time Attendant (on cloud) Support นพคุณ </t>
  </si>
  <si>
    <t xml:space="preserve">คุณลักษณียา </t>
  </si>
  <si>
    <t>089-969-2391</t>
  </si>
  <si>
    <t>POC</t>
  </si>
  <si>
    <t xml:space="preserve">เข้า POC งาน CCTV โดยนำ NVR เข้าทดสอบกับกล้องเดิม เนื่องจากทางหน้างานจะมีการเปลี่ยนใหม่และใช้ของเดิมด้วย </t>
  </si>
  <si>
    <t xml:space="preserve">คุณจักรกฤษ </t>
  </si>
  <si>
    <t>096-082-2981</t>
  </si>
  <si>
    <t>ประชุมสรุปรุ่นกล้อง กับทาง Pre-sale ริโก้/งาน TBL 3ภาค</t>
  </si>
  <si>
    <t xml:space="preserve">คุณกิตติชัย </t>
  </si>
  <si>
    <t>089-969-0718</t>
  </si>
  <si>
    <t xml:space="preserve">ลูกค้าข้ามาพบคุณสมชาย สวัสดีปีใหม่ พร้อมอัปเดตสินค้า คุยงานโครงการปี 2568 </t>
  </si>
  <si>
    <t>คุณนำพล</t>
  </si>
  <si>
    <t>093-324-1966</t>
  </si>
  <si>
    <t>ติดตามงาน และคุยปัญหาที่เกิดขึ้น เนื่องจากวางสเปคไว้ register Hik รายแรก แต่ทาง Hik Open project วางแผนสินค้า</t>
  </si>
  <si>
    <t xml:space="preserve">ประชุมสรุป Final โดยงานจะถูกแบ่งเป็น 2 ส่วน ร่วมกับ End User และ SI </t>
  </si>
  <si>
    <t>ประชุมงาน Event และเรื่องสภาเข้ามาเยี่ยม DGF วันที่ 11/6 ที่สำนักงานใหญ่</t>
  </si>
  <si>
    <t xml:space="preserve">คุณธีระพงษ์ </t>
  </si>
  <si>
    <t>089-969-1891</t>
  </si>
  <si>
    <t xml:space="preserve">ติดตามงาน และคืนบัตรที่นำมาทดสอบ </t>
  </si>
  <si>
    <t xml:space="preserve">คุณวัชร </t>
  </si>
  <si>
    <t>090-993-4304</t>
  </si>
  <si>
    <t>งาน Access คณะประมง ม.เกษตร /ประชุุมเรื่องปัญหาไม่มีสินค้า</t>
  </si>
  <si>
    <t>คุุณสรันธรณ์</t>
  </si>
  <si>
    <t>097-153-8874</t>
  </si>
  <si>
    <t xml:space="preserve">ติดตามงาน+PO และส่งอุปกรณ์ที่ SI ยืมมาวัดเพื่อทดสอบการประกอบตู้ </t>
  </si>
  <si>
    <t xml:space="preserve">คุณนิรุตติ์ </t>
  </si>
  <si>
    <t>084-048-7924</t>
  </si>
  <si>
    <t xml:space="preserve">คุยเรื่องรายละเอียดงาน และส่งของ DEMO/งาน CCTV_บริษัท ดรีมทอย จำกัด </t>
  </si>
  <si>
    <t xml:space="preserve">คุณเจษฎา </t>
  </si>
  <si>
    <t>งาน CCTV Office / เข้าสำรวจหน้างาน</t>
  </si>
  <si>
    <t>คุณประพันธ์</t>
  </si>
  <si>
    <t>086-369-3817</t>
  </si>
  <si>
    <t>งาน Access Control+Time Attendance บจก.คูห์เน่ พลัส นาเกิ้ล(ริโก้) / เข้าพรีเซ็น + POC</t>
  </si>
  <si>
    <t>คุณธนพล</t>
  </si>
  <si>
    <t>092-256-2382</t>
  </si>
  <si>
    <t xml:space="preserve">ติดตามงาน+นำกล้อง body camera ให้ทาง SI ยืมเพื่อถ่ายภาพสินค้า </t>
  </si>
  <si>
    <t xml:space="preserve">คุณสุรเชษฐ์ </t>
  </si>
  <si>
    <t>087-932-2997</t>
  </si>
  <si>
    <t xml:space="preserve">ประชุมเรื่องปัญหาที่เกิดขึ้นภายในกับริโก้ สรุปคือต้องมีการ POC decoder เพื่อทดสอบหากแก้ไขปัญหาได้ สามารถเสนอราคาเพิ่มได้ นัด POC วันที่ 10/3/2025 </t>
  </si>
  <si>
    <t xml:space="preserve">คุณรจนา </t>
  </si>
  <si>
    <t>063-039-5956</t>
  </si>
  <si>
    <t xml:space="preserve">เข้านำเสนอระบบ Access Control High Rise 30 ชั้น มีจำนวนยูนิตทั้งหมด 1,570 ยูนิต พร้อม Support นพคุณ </t>
  </si>
  <si>
    <t xml:space="preserve">ประชุมเพื่อเก็บ Requirement เพื่อเสนอ Solution พร้อม Support คุณวิรัตน์ </t>
  </si>
  <si>
    <t xml:space="preserve">คุณวัชระ </t>
  </si>
  <si>
    <t>งาน AI CCTV สิรินธร / เนื่องจากวางสเปคไว้นาน</t>
  </si>
  <si>
    <t xml:space="preserve">คุณจิตพงษ์ </t>
  </si>
  <si>
    <t>083-047-3477</t>
  </si>
  <si>
    <t>งาน RMT Procurement Policy's Explanation Event / ไบเทค</t>
  </si>
  <si>
    <t>Triumph Motorcycles</t>
  </si>
  <si>
    <t>ประชุุมเรื่องเทคนิค</t>
  </si>
  <si>
    <t>คุณชยานนท์</t>
  </si>
  <si>
    <t>092-270-0572</t>
  </si>
  <si>
    <t>SSA</t>
  </si>
  <si>
    <t xml:space="preserve">เข้าอัพเดตงานเนื่องจากขาดการติดต่อนาน </t>
  </si>
  <si>
    <t>คุณขนุน</t>
  </si>
  <si>
    <t>064-184-7328</t>
  </si>
  <si>
    <t>Ricoh (ระยอง)</t>
  </si>
  <si>
    <t xml:space="preserve">งาน CCTV บริษัท เอ็นเอส บลูสโคป (ประเทศไทย) </t>
  </si>
  <si>
    <t>คุุณอาภร</t>
  </si>
  <si>
    <t>088-088-3812</t>
  </si>
  <si>
    <t>Able Link</t>
  </si>
  <si>
    <t>เข้าร่วมงานสัมนา Able Link (Thailand) ที่อยุธยา พร้อม Saleบี และคุณนาง การตลาด</t>
  </si>
  <si>
    <t>งานชุดฝึก IOT วิทยาลัยเทคนิค /เข้าสรุป และเก็บแสตน DEMO คืน</t>
  </si>
  <si>
    <t>คุณพลเดช</t>
  </si>
  <si>
    <t xml:space="preserve"> 081-935-9882</t>
  </si>
  <si>
    <t>งานชุดฝึก_IOT สำหรับเทคนิค</t>
  </si>
  <si>
    <t>ติดตามงาน poc Access บริษัท skf สรุปรอ PO เหลือติดตามงาน Parking ที่นี่ต่อ</t>
  </si>
  <si>
    <t xml:space="preserve">คุณอาร์ต </t>
  </si>
  <si>
    <t>096-868-2347</t>
  </si>
  <si>
    <t>รร.นายเรืออากาศฯ</t>
  </si>
  <si>
    <t>ไปมอบของบริจาค</t>
  </si>
  <si>
    <t xml:space="preserve">คุยเรื่องปัญหางาน VMS ไทยทาเคนาคา เกี่ยวกับระบบผู้ติดต่อที่จะเข้ามาติดต่อที่อาคาร </t>
  </si>
  <si>
    <t>มวกเหล็ก สระบุรี</t>
  </si>
  <si>
    <t>คุณพลอยไพลิน</t>
  </si>
  <si>
    <t>080-4592890</t>
  </si>
  <si>
    <t>แนะนำ</t>
  </si>
  <si>
    <t>เข้าเสนอ PA ของ DSPPA พร้อม SI รอเสนอทางผู้ใหญ่อีกครั้ง (ตอนแรกเลขาปลัดฯนัดที่เทศบาลต.เทพารักษ์</t>
  </si>
  <si>
    <t>คุณนิรุตติ์</t>
  </si>
  <si>
    <t>งาน PA ท่าตูม /ประชุมชี้แจงเรื่องปัญหาสินค้าล่าช้า และนำข้อมูลการนำเข้า by air เพื่อปรึกษาหารือ</t>
  </si>
  <si>
    <t>งาน Access Control คณะประมง ม.เกษตร / เคลียร์ปัญหาสินค้า</t>
  </si>
  <si>
    <t>คุณสรันธรณ์</t>
  </si>
  <si>
    <t>ประชุมเปลี่ยนแปลง requirement เนื่องจากมีการเปลี่ยนจำนวน และสรุปอุปกรณ์ใหม/ งาน PA บางโปรง สมุทรปราการ</t>
  </si>
  <si>
    <t>งาน CCTV ติดตั้งกล้องวงจรปิด Deye Office-Deye inverter / สรุปจุดติดตั้งกล้อง</t>
  </si>
  <si>
    <t>คุุณประพันธ์</t>
  </si>
  <si>
    <t>งานปรับปรุงตึกแดง สลน./ มีการปรับเปลี่ยนสเปคกล้องเหลือ 4MP</t>
  </si>
  <si>
    <t>ประชุม และคุยเรื่องเทคนิคกับล็อกเลย์ คุณโจ้ Hikvision ช่วยพรีเซ็น</t>
  </si>
  <si>
    <t xml:space="preserve">คุณนำพล </t>
  </si>
  <si>
    <t xml:space="preserve">เข้า POC ทดสอบ Decoder ร่วมกับ Engineer ริโก้ </t>
  </si>
  <si>
    <t>รับ NVR คืนและ Update งานต่อเนื่อง/งาน BCP บางจาก</t>
  </si>
  <si>
    <t>Meeting &amp; Demo ระบบ Visitor Management ให้กับ THAITAKENAKA/ งาน VMS ไทยทาเคนาคา</t>
  </si>
  <si>
    <t>คุณกำพล</t>
  </si>
  <si>
    <t>ปิดงาน</t>
  </si>
  <si>
    <t>เทรนนิ่ง Engineering กับ Support คุณนพคุณ</t>
  </si>
  <si>
    <t xml:space="preserve"> คุณเจษฎา </t>
  </si>
  <si>
    <t>ประชุมอัพเดตอุปกรณ์ งานชุดฝึก IOT</t>
  </si>
  <si>
    <t xml:space="preserve">สำรวจหน้างานพร้อม Support คุณพงศกร </t>
  </si>
  <si>
    <t xml:space="preserve">08722025-TAM0002	</t>
  </si>
  <si>
    <t xml:space="preserve">เข้าวางบิลมัดจำ 30% และสำรวจหน้างานกับ Support คุณวิรัตน์ </t>
  </si>
  <si>
    <t xml:space="preserve">คุณสุรพงษ์ </t>
  </si>
  <si>
    <t>061-387-0633</t>
  </si>
  <si>
    <t>สถาบันเทคโนโลยีปกป้องประเทศ - ออกบูธ</t>
  </si>
  <si>
    <t xml:space="preserve">3742024-CUB0004        </t>
  </si>
  <si>
    <t xml:space="preserve">เข้าส่งกล้อง+SW เคลม และพา Support เข้าแก้ไขปัญหา NVR ที่ติดตั้งที่หัวหิน </t>
  </si>
  <si>
    <t xml:space="preserve">คุณพลอยไพลิน </t>
  </si>
  <si>
    <t>งาน Decoder ที่สำนักงานริโก้ อาคาร B1 , B2</t>
  </si>
  <si>
    <t>คุณนัท CSD</t>
  </si>
  <si>
    <t>095-392-3415</t>
  </si>
  <si>
    <t>เข้าการสอนการตั้งค่าและการใช้งานระบบ</t>
  </si>
  <si>
    <t>คุณวรุตม์</t>
  </si>
  <si>
    <t xml:space="preserve"> 089-969-2218</t>
  </si>
  <si>
    <t>ประชุมงาน Replace CCTV</t>
  </si>
  <si>
    <t>คุณกุ๊ก</t>
  </si>
  <si>
    <t>064-113-7221</t>
  </si>
  <si>
    <t>งานคลัง TBL/ติดตาม PO+วางแผน Spare</t>
  </si>
  <si>
    <t>งาน Machine vision_Thai Honda</t>
  </si>
  <si>
    <t>คุณลักษณียา</t>
  </si>
  <si>
    <t>งานหุ่นยนต์บริการ</t>
  </si>
  <si>
    <t>คุณธีระ</t>
  </si>
  <si>
    <t>098-256-5549</t>
  </si>
  <si>
    <t>ลาป่วย</t>
  </si>
  <si>
    <t>ออกบูธ ICDL เมืองทองธานี</t>
  </si>
  <si>
    <t xml:space="preserve">คุณภู </t>
  </si>
  <si>
    <t>061-459-8955</t>
  </si>
  <si>
    <t xml:space="preserve"> งาน Access Control สำหรับโครงการลูกค้า วิทยาลัยเซนต์หลุยส์ </t>
  </si>
  <si>
    <t>คุณชัยวิรัตน์</t>
  </si>
  <si>
    <t>092-224-3174</t>
  </si>
  <si>
    <t>ประชุมหารืองานงานชุดฝึก Smart IOT_วิทยาลัยเทคนิคและอาชีวะ</t>
  </si>
  <si>
    <t>ประชุมเรื่องการประสานงานกับวิทยาลัยต่างๆ/งานชุดฝึก IOT สำหรับเทคนิค</t>
  </si>
  <si>
    <t>ประชุมเรื่องปัญหาจอแสดงผลค้างบ่อย สรุปให้ทางพี่เนสช่วยประสานงานต่างประเทศให้ /งาน Internal Showroom</t>
  </si>
  <si>
    <t>นำเสนอหุ่นยนต์บริการ และให้ทีม 4G ไปเสนอ solution ติดรถโฟคลิฟต์ พร้อม Support คุณธานี และ ผจก.ตั้ม//คุณธีระ 098-256-5549 ตำแหน่ง Executive Vice President</t>
  </si>
  <si>
    <t xml:space="preserve">คุณธีระ </t>
  </si>
  <si>
    <t xml:space="preserve">098-256-5549 </t>
  </si>
  <si>
    <t xml:space="preserve">ติดตามงานและเสนองานเพิ่ม </t>
  </si>
  <si>
    <t>เข้าติดตามงาน และ update งานเนื่องจากมีการเปลี่ยนสาขาของ TBL และคุยเรื่องการนำเข้าสินค้า เฟส1/ งาน CCTV_TBL Logistics 3 region</t>
  </si>
  <si>
    <t>ติดตามงาน  / งาน CCTV Thai Beverage Logistic RDC_ขอนแก่น</t>
  </si>
  <si>
    <t xml:space="preserve">คุณณธภร </t>
  </si>
  <si>
    <t>096-969-2352</t>
  </si>
  <si>
    <t xml:space="preserve"> Pre-sale ติดตามงาน +ประสานงานน้องนาให้หา Support ตรวจ TOR /งาน CCTV _บมจ.การบินกรุงเทพ 3ท่า</t>
  </si>
  <si>
    <t>Will Engineer</t>
  </si>
  <si>
    <t xml:space="preserve">คุยงานปรับปรุง CCTV แผนกตรวจสุขภาพ รพ.พระราม9 </t>
  </si>
  <si>
    <t xml:space="preserve">คุณสนทยา </t>
  </si>
  <si>
    <t>081-428-2727</t>
  </si>
  <si>
    <t>ติดตามอัพเดต สาขาที่จะ order เพิ่มเพื่อสรุปกับทาง Pre-Sale</t>
  </si>
  <si>
    <t xml:space="preserve">คุณสิทธิโชค </t>
  </si>
  <si>
    <t>081-173-5527</t>
  </si>
  <si>
    <t xml:space="preserve">สถาบันเทคโนโลยีป้องกันประเทศ </t>
  </si>
  <si>
    <t>งาน AI Camera/Support คุณวิรัตน์ เข้าพรีเซ็น AI Camera</t>
  </si>
  <si>
    <t>ดร. มนตรี</t>
  </si>
  <si>
    <t>062-362-2919</t>
  </si>
  <si>
    <t>งาน PA ท่าตูม/ประชุมแผนงานเรื่องการ Set IP</t>
  </si>
  <si>
    <t>LL1012024-STM0003</t>
  </si>
  <si>
    <t xml:space="preserve">ประชุมสรุป TOR เตรียมขึ้นประกาศ พร้อม Sีupport คุณพงศกร </t>
  </si>
  <si>
    <t>เข้ารวมประชุมกับทาง SI เพื่อวางสเปคงาน PA ประมาณ 50 จุด/งาน PA บางโปรง สมุทรปราการ</t>
  </si>
  <si>
    <t>งานระบบตรวจวัดและควบคุมเครื่องสูบน้ำ ของ กทม./ประสานงานเรื่องสินค้า lot2 และประสานเรื่องอัพเฟิร์มแวร์</t>
  </si>
  <si>
    <t xml:space="preserve">คุณปิยะนุช </t>
  </si>
  <si>
    <t>089-669-6249</t>
  </si>
  <si>
    <t xml:space="preserve">เข้าสรุปการ POC กับทางริโก้ และเก็บ Decoder คืน </t>
  </si>
  <si>
    <t>ประชุมงาน CCTV ตึกแดง สลน. (ต่อรองราคา)</t>
  </si>
  <si>
    <t>เข้า update การแบ่งเฟสงาน และรับเช็คมัดจำ 30%</t>
  </si>
  <si>
    <t>งานกล้องตรวจจับอาวุธ / เข้า Present+POC</t>
  </si>
  <si>
    <t>คุณพิศิษฐ์</t>
  </si>
  <si>
    <t>091-715-9101</t>
  </si>
  <si>
    <t xml:space="preserve">คุณเกด </t>
  </si>
  <si>
    <t>063-891-5565</t>
  </si>
  <si>
    <t>งาน VMS รร.อำนวยศิลป์ / เข้าเช็คระบบเนื่องจากหน้างานใช้งานไม่ได้</t>
  </si>
  <si>
    <t>คุุณปรีชา</t>
  </si>
  <si>
    <t>090-903-8786</t>
  </si>
  <si>
    <t xml:space="preserve">SST </t>
  </si>
  <si>
    <t xml:space="preserve">เข้าติดต่ออัพเดตสินค้า เนื่องจาก SI เงียบหายไป </t>
  </si>
  <si>
    <t>คุณอภิรักษ์</t>
  </si>
  <si>
    <t>089-707-3209</t>
  </si>
  <si>
    <t>งาน Decoder ที่สำนักงานใหญ่ ริโก้ / POC</t>
  </si>
  <si>
    <t xml:space="preserve">งาน BCP บางจาก/นำ NVR ส่งคืน และรับกล้องกลับมาเคลม Update ปัญหาที่เกิดขึ้น / </t>
  </si>
  <si>
    <t>061-889-9797</t>
  </si>
  <si>
    <t xml:space="preserve">ประชุมเรื่องปัญหาที่เกิดขึ้นเรื่องอุปกรณ์ NVR ที่มีการเสียบ่อย </t>
  </si>
  <si>
    <t xml:space="preserve">คุณอิงค์ </t>
  </si>
  <si>
    <t>097-252-2380</t>
  </si>
  <si>
    <t>งาน PA ท่าตูม/ ลูกค้าเข้ามา Set IP ที่ DGF</t>
  </si>
  <si>
    <t>คุณเฟรม</t>
  </si>
  <si>
    <t>International Pioneers School</t>
  </si>
  <si>
    <t>งาน AI Canera/ ประชุมรับ Requirement</t>
  </si>
  <si>
    <t>คุุณโจ</t>
  </si>
  <si>
    <t>089-205-5927 </t>
  </si>
  <si>
    <t>ประชุมเรื่อง final TOR เนื่องจาก ลูกค้าต้องการให้เทียบกับสเปค ICT 2564</t>
  </si>
  <si>
    <t>คุณกุ๊กกิ๊ก</t>
  </si>
  <si>
    <t>งาน CCTV  Sankyu- Borwin / Ricoh ชลบุรี</t>
  </si>
  <si>
    <t>คุุณกิจจา</t>
  </si>
  <si>
    <t xml:space="preserve">092-225-9701 </t>
  </si>
  <si>
    <t>ประชุม พร้อมรับอุปกรณ์ที่ยืมคืน /งาน access unicharm</t>
  </si>
  <si>
    <t xml:space="preserve"> 095-701-4804</t>
  </si>
  <si>
    <t>รับ Requirement เสนอ BOQ/งาน Control Lift_หลังสวน</t>
  </si>
  <si>
    <t xml:space="preserve">คุณสัญญา </t>
  </si>
  <si>
    <t>063-887-8778</t>
  </si>
  <si>
    <t>ประชุม update งานและรับราคาจาก Hik (final)</t>
  </si>
  <si>
    <t>อัพเดตงาน เนื่องจากมีการเปลี่ยนแปลงรายการอุปกรณ์/งานสุราทิพย์ กำแพงเพชร</t>
  </si>
  <si>
    <t>089-9690718</t>
  </si>
  <si>
    <t>งาน CCTV บริษัทสยามคูโบต้า</t>
  </si>
  <si>
    <t>คุุณศิวกร</t>
  </si>
  <si>
    <t>065-946-8414</t>
  </si>
  <si>
    <t xml:space="preserve">IT Service Solution </t>
  </si>
  <si>
    <t>ติดตามงาน และอัพเดตสินค้า/งาน AI CCTV _ สิรินธร (รังสิต)</t>
  </si>
  <si>
    <t xml:space="preserve">ติดตามงาน และคุยงานสเปคโรงกลั่น + นำกล้องกลับมาเคลม </t>
  </si>
  <si>
    <t xml:space="preserve">คุณพลอย </t>
  </si>
  <si>
    <t>เข้ารับ Requirement และอัพเดตสินค้า/งาน AI Camera จับภาพคนทิ้งขยะ</t>
  </si>
  <si>
    <t xml:space="preserve">คุณยมนา </t>
  </si>
  <si>
    <t>092-597-5552</t>
  </si>
  <si>
    <t>Ricoh (โกดัง)</t>
  </si>
  <si>
    <t>งาน Access Control วิทยาลัยเซ็นหลุยส์/ ส่งสินค้าเนื่องจากลูกค้าต้องการด่วน</t>
  </si>
  <si>
    <t>095-7014804</t>
  </si>
  <si>
    <t xml:space="preserve">ติดตามงาน กำลังขึ้นประกาศ คุยแผนเตรียมสินค้า </t>
  </si>
  <si>
    <t xml:space="preserve">เข้ารับ Requirement และ Meeting online กับ Support ภาณุพันธ์ เพื่อหา Solution เพื่อนำเสนอ </t>
  </si>
  <si>
    <t xml:space="preserve">คุณธนพล </t>
  </si>
  <si>
    <t>งานกล้องซ่อน</t>
  </si>
  <si>
    <t>งาน RMT Event / นัด POC อีกครั้ง</t>
  </si>
  <si>
    <t>คุณจักรกฤษ</t>
  </si>
  <si>
    <t xml:space="preserve"> 096-082-2981</t>
  </si>
  <si>
    <t xml:space="preserve">งาน Access_คูห์เน่ พลัส นาเกิ้ล </t>
  </si>
  <si>
    <t xml:space="preserve">คุณธนพล (ต๊ะ) </t>
  </si>
  <si>
    <t xml:space="preserve">092-256-2382 </t>
  </si>
  <si>
    <t>งาน Access_Assumption Samutprakarn School</t>
  </si>
  <si>
    <t xml:space="preserve">ติดตามงาน แผนงานส่งสินค้า / ตามงาน Video wall </t>
  </si>
  <si>
    <t xml:space="preserve">พา Support เข้าสอนการใช้งาน พร้อมอุปกรณ์ Demo และประชุมเรื่องหลักสูตรในโครงการ / Support ธานี </t>
  </si>
  <si>
    <t>งาน PA ท่าตูม / ส่งสินค้า พร้อมประชุมแผนช่วย SI Config</t>
  </si>
  <si>
    <t>สรุปงาน พร้อม Final ฺBOQ</t>
  </si>
  <si>
    <t xml:space="preserve">สรุป Final งานต่างๆ ทั้ง CCTV และ งานไฟเบอร์ // ส่วนงานไม้กั้นรองบหน้า </t>
  </si>
  <si>
    <t>สำรวจหน้างาน</t>
  </si>
  <si>
    <t>เข้าสำรวจหน้างาน และรับ Requirement แต่เนื่องจากเหตุการณ์แผ่นดินไหว บริษัทลูกค้ามีการประกาศให้กลับบ้านจึงสำรวจหน้างานไม่ได้ 100% /งาน Parking_Voice TV</t>
  </si>
  <si>
    <t>งาน BCP บางจาก / Update งาน และส่ง HDD ในโครงการ</t>
  </si>
  <si>
    <t xml:space="preserve">โรงเรียนนานาชาติอินเตอร์เนชั่นแนล ไพโอเนียร์ส </t>
  </si>
  <si>
    <t xml:space="preserve">เข้าเก็บ Requirement ประชุม โดยระบบจะต้องนำ API มาเชื่อมต่อกับระบบ School base ของทางโรงเรียนด้วย และสำรวจหน้างานพร้อม Supportคุณวิรัตน์+ภาณุพันธ์ </t>
  </si>
  <si>
    <t xml:space="preserve">คุณโจ </t>
  </si>
  <si>
    <t xml:space="preserve">089-205-5927 </t>
  </si>
  <si>
    <t xml:space="preserve">0542025-RIC0003	</t>
  </si>
  <si>
    <t xml:space="preserve">สรุป Final ที่ต้องเสนอก่อน รอราคาติดตั้ง </t>
  </si>
  <si>
    <t xml:space="preserve">คุณอภิวัฒน์ </t>
  </si>
  <si>
    <t>งานระบบตรวจวัดและควบคุมเครื่องสูบน้ำ ของ กทม./ เข้าเก็บเช็คงานสินค้า lot 1 และ Update การส่ง license</t>
  </si>
  <si>
    <t xml:space="preserve">งาน CCTV ติดตั้งกล้องวงจรปิด บมจ.การบินกรุงเทพ (เชียงใหม่, ภูเก็ต, สมุย) / Pre-sale ให้เข้าประชุมเรื่องงบ และต่อราคา </t>
  </si>
  <si>
    <t>งาน CCTV_TBL Logistics 3 region (North, Northeastern, centerl)/ ประชุมเรื่องการส่งสินค้า</t>
  </si>
  <si>
    <t>งานเชื่อมระบบเสียงไร้สายกับ CCTV / งามวงศ์วาน</t>
  </si>
  <si>
    <t>Mark IT</t>
  </si>
  <si>
    <t>งาน CCTV ศูนย์เด็กเล็ก เทพารักษ์ / ประชุม</t>
  </si>
  <si>
    <t xml:space="preserve">คุณธนพนธ์ </t>
  </si>
  <si>
    <t xml:space="preserve">งาน CCTV เทศบาลบุรีรัมย์ </t>
  </si>
  <si>
    <t>คุุณจอย</t>
  </si>
  <si>
    <t>087-004-5549</t>
  </si>
  <si>
    <t>งาน CCTV สลน./ ประชุมเรื่องตรวจ TOR ระหว่างอยู่ในช่วงประชาวิจารณ์</t>
  </si>
  <si>
    <t>คุุณพลเดช</t>
  </si>
  <si>
    <t>งาน CCTV รร.เทศบาลเทพารักษ์1 / สำรวจหน้างาน</t>
  </si>
  <si>
    <t>วัน/เดือน/ปี</t>
  </si>
  <si>
    <t>เลขที่ PO</t>
  </si>
  <si>
    <t>PR</t>
  </si>
  <si>
    <t>Inv. Kridjirat F.</t>
  </si>
  <si>
    <t>PO : Kridjirat F.</t>
  </si>
  <si>
    <t>Q_LF_C00xx-25KF#THAI DC 1-RYG</t>
  </si>
  <si>
    <t>THAI DC 1-RYG</t>
  </si>
  <si>
    <t>Bidding M&amp;E  1.Mactrix 2.Tikicha 3.AKA</t>
  </si>
  <si>
    <t xml:space="preserve">Date Request </t>
  </si>
  <si>
    <t>Project</t>
  </si>
  <si>
    <t xml:space="preserve">Regis </t>
  </si>
  <si>
    <t xml:space="preserve">Date Regis </t>
  </si>
  <si>
    <t>Old</t>
  </si>
  <si>
    <t>New</t>
  </si>
  <si>
    <t>Old new PJ.</t>
  </si>
  <si>
    <t>Visit</t>
  </si>
  <si>
    <t xml:space="preserve">Type </t>
  </si>
  <si>
    <t>Purpose of Visit</t>
  </si>
  <si>
    <t>Detail</t>
  </si>
  <si>
    <t>Name</t>
  </si>
  <si>
    <t>Tel.</t>
  </si>
  <si>
    <t>Contact List</t>
  </si>
  <si>
    <t>JUL'25</t>
  </si>
  <si>
    <t>Call In</t>
  </si>
  <si>
    <t>Pre-Built</t>
  </si>
  <si>
    <t>Mega-J</t>
  </si>
  <si>
    <t>Stonehenge</t>
  </si>
  <si>
    <t>Ixora</t>
  </si>
  <si>
    <t>ASSET PROVE</t>
  </si>
  <si>
    <t>Nue Evo Patthanakran</t>
  </si>
  <si>
    <t>Spamec(MEP)</t>
  </si>
  <si>
    <t>Designer :I'II Design</t>
  </si>
  <si>
    <t>K.Wasan</t>
  </si>
  <si>
    <t>086-375-6545</t>
  </si>
  <si>
    <t>Date</t>
  </si>
  <si>
    <t xml:space="preserve">SYNTECH </t>
  </si>
  <si>
    <t>Dulwich College International School Bangkok</t>
  </si>
  <si>
    <t>Visiit with Ink</t>
  </si>
  <si>
    <t>Wat Sothonwararam Worawihan</t>
  </si>
  <si>
    <t>088-924-1993</t>
  </si>
  <si>
    <t>K.Arm</t>
  </si>
  <si>
    <t>Donmungpatthana</t>
  </si>
  <si>
    <t>K.Rapat</t>
  </si>
  <si>
    <t>061-162-6691</t>
  </si>
  <si>
    <t xml:space="preserve"> Infra</t>
  </si>
  <si>
    <t>K.Cheer</t>
  </si>
  <si>
    <t>085-922-7277</t>
  </si>
  <si>
    <t>Labcolabolation</t>
  </si>
  <si>
    <t>K.Nutchar</t>
  </si>
  <si>
    <t>081-409-0110</t>
  </si>
  <si>
    <t xml:space="preserve"> TEKA</t>
  </si>
  <si>
    <t>THANASIRI GROUP</t>
  </si>
  <si>
    <t>WE VILLA ESTATE</t>
  </si>
  <si>
    <t>Stoneheng</t>
  </si>
  <si>
    <t>K.Siwakron</t>
  </si>
  <si>
    <t>CHAN NAKORN ENGINEERING</t>
  </si>
  <si>
    <t>EN CON'S &amp; BUILT</t>
  </si>
  <si>
    <t>FIRST TECHNOLOGY</t>
  </si>
  <si>
    <t>RSU INTERNATIONAL HOSPITAL</t>
  </si>
  <si>
    <t>K.Phanadda</t>
  </si>
  <si>
    <t>PRE - BUILT</t>
  </si>
  <si>
    <t>เข้าติดตามแบบโคมเพื่อเสนอคราคาหน้าโครงการ</t>
  </si>
  <si>
    <t>K.Ton</t>
  </si>
  <si>
    <t xml:space="preserve">DYNAMIC </t>
  </si>
  <si>
    <t>MEA</t>
  </si>
  <si>
    <t>NEO 727</t>
  </si>
  <si>
    <t>พิพิธภัณฑ์การไฟฟ้าวัดเลียบ</t>
  </si>
  <si>
    <t>K.Badin</t>
  </si>
  <si>
    <t>K.Bow</t>
  </si>
  <si>
    <t>SMC</t>
  </si>
  <si>
    <t>No. QT</t>
  </si>
  <si>
    <t>Taget (Ex.VAT)</t>
  </si>
  <si>
    <t>Main con : Ritta Co.,Ltd</t>
  </si>
  <si>
    <t>Main con : Ritta</t>
  </si>
  <si>
    <t>Data center rayong</t>
  </si>
  <si>
    <t>เสนอราคา</t>
  </si>
  <si>
    <t>ไม่มี</t>
  </si>
  <si>
    <t>Forecast # Kridjirat  Fangpong</t>
  </si>
  <si>
    <t>as at :</t>
  </si>
  <si>
    <t>Customer</t>
  </si>
  <si>
    <t>2026 (Mbaht)</t>
  </si>
  <si>
    <t>Remark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</si>
  <si>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</si>
  <si>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</si>
  <si>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</si>
  <si>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</si>
  <si>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</si>
  <si>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</si>
  <si>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</si>
  <si>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</si>
  <si>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</si>
  <si>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</si>
  <si>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</si>
  <si>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</si>
  <si>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</si>
  <si>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% Win</t>
  </si>
  <si>
    <t>Net total</t>
  </si>
  <si>
    <t>Bidding</t>
  </si>
  <si>
    <t xml:space="preserve"> -CCTV</t>
  </si>
  <si>
    <t>โครงการ Nue Evo Pattanakarn Building A,B</t>
  </si>
  <si>
    <t>Owner: เวอร์ดิคอล พัฒนาการ แอลไลแอนซ์</t>
  </si>
  <si>
    <t xml:space="preserve"> -Lighting</t>
  </si>
  <si>
    <t>วิมุต พร็อพเพอร์ตี้ ทองหล่อ จำกัด (Owner)</t>
  </si>
  <si>
    <t>โครงการ โรงพยาบาลเฉพาะทาง Orthopedice  ทองหล่อ</t>
  </si>
  <si>
    <t xml:space="preserve"> -Lighting contror</t>
  </si>
  <si>
    <t>Design</t>
  </si>
  <si>
    <t>เฟิร์ส เทคโนโลยี่</t>
  </si>
  <si>
    <t>โครงการอาร์เอสยู อินเตอร์เนชั่นแนล ฮอสพิทอล</t>
  </si>
  <si>
    <t>กำหนดแล้วเสร็จ 2 พฤษภาคม 2570</t>
  </si>
  <si>
    <t>Owner: อารเอสยูอนิเตอร์เนชนัแนลฮอสพทิอล</t>
  </si>
  <si>
    <t>Main con : Pre-bulid</t>
  </si>
  <si>
    <t>การไฟฟ้านครหลวง</t>
  </si>
  <si>
    <t>Owner :การไฟฟ้านครหลวง</t>
  </si>
  <si>
    <t>ITS ME</t>
  </si>
  <si>
    <t>โครงการโรงละครเมืองโบราณ</t>
  </si>
  <si>
    <t>I'II Design</t>
  </si>
  <si>
    <t>โครงการไลฟ์ เจเจ อินเตอร์เชนจ์ จตุจักร</t>
  </si>
  <si>
    <t>Owner :AP ME 22</t>
  </si>
  <si>
    <t xml:space="preserve"> INSIGN OUT DESIGN</t>
  </si>
  <si>
    <t>โครงการพิพิธภัณฑ์การไฟฟ้าคลองเตย</t>
  </si>
  <si>
    <t>Main con : KANKANIT CONSTRUCTION</t>
  </si>
  <si>
    <t>N ASSET CO., LTD.</t>
  </si>
  <si>
    <t>โครงการสนามกีฬาศูนย์เยาวชนเมืองพัทยา</t>
  </si>
  <si>
    <t>Target</t>
  </si>
  <si>
    <t>Sales Forecast</t>
  </si>
  <si>
    <t>Actual Sales</t>
  </si>
  <si>
    <t>%</t>
  </si>
  <si>
    <t>Compare 1.Lamp &amp; Light  2. Ligman</t>
  </si>
  <si>
    <t>Q1</t>
  </si>
  <si>
    <t>Q2</t>
  </si>
  <si>
    <t>Q3</t>
  </si>
  <si>
    <t>Q4</t>
  </si>
  <si>
    <t xml:space="preserve">Sales project      : </t>
  </si>
  <si>
    <t>Kridjirat Fangpong</t>
  </si>
  <si>
    <t>Target Jan - Dec :</t>
  </si>
  <si>
    <t>Target Monthly :</t>
  </si>
  <si>
    <t>Month</t>
  </si>
  <si>
    <t>Target Comparison
(%)</t>
  </si>
  <si>
    <t>Monthly sales
(In.VAT)</t>
  </si>
  <si>
    <t xml:space="preserve"> PO .
(Ex.VAT)</t>
  </si>
  <si>
    <t>Sales visit
(onsite)</t>
  </si>
  <si>
    <t xml:space="preserve">Pipe line (Quotation) 
</t>
  </si>
  <si>
    <t>Jan</t>
  </si>
  <si>
    <t>Fab</t>
  </si>
  <si>
    <t>Jun</t>
  </si>
  <si>
    <t>Jul</t>
  </si>
  <si>
    <t>Year-to-Date</t>
  </si>
  <si>
    <t>Sales visit
(Call in)</t>
  </si>
  <si>
    <t>Bidding M&amp;E</t>
  </si>
  <si>
    <t>Award</t>
  </si>
  <si>
    <t xml:space="preserve">INDECCON </t>
  </si>
  <si>
    <t>Allianz AYUDHYA Pholyotin Place Plaza</t>
  </si>
  <si>
    <t xml:space="preserve">Owner :ALLIANZ AYUDHYA CAPITAL PUBLIC </t>
  </si>
  <si>
    <t>Main con : WESTCON</t>
  </si>
  <si>
    <t xml:space="preserve">PRE-BUILT </t>
  </si>
  <si>
    <t>โรงพยาบาลเวชธานี วัฒนะวิภา</t>
  </si>
  <si>
    <t>ล้อมรั้ว โครงการเสร็จส่งมอบ 2571</t>
  </si>
  <si>
    <t>Owner :เอชเคแอลโนเบิล(ไวร์เลส) จำกัด</t>
  </si>
  <si>
    <t>Architec :A49</t>
  </si>
  <si>
    <t>MEINHARDT</t>
  </si>
  <si>
    <t>EEC ENGINEERING</t>
  </si>
  <si>
    <t>Jan 25 to Aug 27</t>
  </si>
  <si>
    <t>The Embassy Wireless</t>
  </si>
  <si>
    <t>2027 (Mbaht)</t>
  </si>
  <si>
    <t>งบประมาปี 70</t>
  </si>
  <si>
    <t>THE PLATINUM SQUARE</t>
  </si>
  <si>
    <t xml:space="preserve">ทำคู่เทียบ 3 ราย เทียบและทำตาราง Compare ได้เลย </t>
  </si>
  <si>
    <t>ทำคู่เทียบ 3 ราย เทียบและทำตาราง Compare ได้เลย ลง Spec C-Light</t>
  </si>
  <si>
    <t>Owner : อบต.บ่อวิน</t>
  </si>
  <si>
    <t>โครงการสนามกีฬาและอาคารเอนกประสงค์บ้านเอื้ออาทร อ.บ่อวิน จ.ชลบุรี</t>
  </si>
  <si>
    <t>SANGFAH CONSTRUCTION</t>
  </si>
  <si>
    <t>Hyatt house asoke 23</t>
  </si>
  <si>
    <t>M&amp;E :M&amp;E Asia</t>
  </si>
  <si>
    <t xml:space="preserve"> -Façade</t>
  </si>
  <si>
    <t xml:space="preserve"> -Lighting control</t>
  </si>
  <si>
    <t>SYNTECH CONSTRUCTION</t>
  </si>
  <si>
    <t>Owner : PLATINUM</t>
  </si>
  <si>
    <t>G Type 1B-KA (42.0 m2) = 264 Unit
00 Lighting Fixture</t>
  </si>
  <si>
    <t>โรงพยาบาลกรุงเทพคริสเตียน</t>
  </si>
  <si>
    <t>จีระธนา</t>
  </si>
  <si>
    <t>D Condo donmueng</t>
  </si>
  <si>
    <t>RI NE Khonkaen</t>
  </si>
  <si>
    <t>BAANDAENG WITSAWAKAM (M&amp;E)</t>
  </si>
  <si>
    <t>Owner : CP Land</t>
  </si>
  <si>
    <t>เอสเซ็นท์ ภูเก็ต</t>
  </si>
  <si>
    <t>โรงแรมแอทมายด์ เซ็นทรัล พัทยา</t>
  </si>
  <si>
    <t xml:space="preserve"> Wall Graded</t>
  </si>
  <si>
    <t>แอทโมซ เดอ โซล ทิพวัล สเตชั่น</t>
  </si>
  <si>
    <t>เริ่มก่อสร้างภายในเดือน พฤศจิกายน 2567 - งานแล้วเสร็จไตรมาสที่ 3 ปี 2569</t>
  </si>
  <si>
    <t>M&amp;E : บิวเทค</t>
  </si>
  <si>
    <t>Wall Graded</t>
  </si>
  <si>
    <t>C.C.S. GROUP</t>
  </si>
  <si>
    <t xml:space="preserve">โรงพยาบาลจุฬารัตน์ 3 อินเตอร์ </t>
  </si>
  <si>
    <t>โรงพยาบาลจุฬารัตน์ 304 อินเตอร์  จ.ปราจีน</t>
  </si>
  <si>
    <t>เริ่มก่อสร้างภายในเดือน สิงหาคม 2568 - งานแล้วเสร็จภายในเดือน ธันวาคม 2569</t>
  </si>
  <si>
    <t xml:space="preserve"> 30 ชั้น 767 ยูนิต 1 อาคาร </t>
  </si>
  <si>
    <t>ขนาด 250 เตียง</t>
  </si>
  <si>
    <t>จำนวนยูนิตทั้งหมด ( สำหรับพักอาศัย )
513 ยูนิต</t>
  </si>
  <si>
    <t>30 ชั้น 390 keys</t>
  </si>
  <si>
    <t>คอนโดมิเนียมสูง 11 ชั้น จำนวน 1 อาคาร และอาคารสูง 8 ชั้น จำนวน 2 อาคาร จำนวนห้องพัก 690 ยูนิต และพื้นที่เชิงพาณิชย์ 4 ยูนิต</t>
  </si>
  <si>
    <t>อาคารโรงพยาบาล 6 ชั้น 3 อาคาร (อาคาร 5,อาคาร 6 ,อาคารจอดรถ)</t>
  </si>
  <si>
    <t>Piyavate Hospital Prannok ระยะสัญญาที่ 2 (งานระบบไฟฟ้าและสื่อสาร)</t>
  </si>
  <si>
    <t>มูลนิธิแห่งสภาคริสตจักรในประเทศไทย</t>
  </si>
  <si>
    <t>Hold</t>
  </si>
  <si>
    <t>Piyavate Hospital Rayong</t>
  </si>
  <si>
    <t>โครงการบ้านร่วมทางฝัน 6</t>
  </si>
  <si>
    <t>1 อาคาร 19 ชั้น 345 ยูนิต</t>
  </si>
  <si>
    <t>Owner : Sena Deverlopment</t>
  </si>
  <si>
    <t>Main con : SFC</t>
  </si>
  <si>
    <t>M&amp;E : MAGNUM SYSTEMS</t>
  </si>
  <si>
    <t>Design M&amp;E : Pass Engineering</t>
  </si>
  <si>
    <t xml:space="preserve">Main con : SFC /Consult:A BUILD </t>
  </si>
  <si>
    <t>Flexi Riverview-Charoennakorn</t>
  </si>
  <si>
    <t>Main con : Visavapat</t>
  </si>
  <si>
    <t>เริ่มก่อสร้างภายในเดือน กุมภาพันธ์ 2568 - งานแล้วเสร็จไตรมาสที่ 3 ปี 2570 /Owner ซื้อของเอง</t>
  </si>
  <si>
    <t>โรงแรม เดอะ พลาซ่า แอทธินี โนบุ โฮเทล แอนด์ สปา แบงคอก</t>
  </si>
  <si>
    <t>Owner :  AWC</t>
  </si>
  <si>
    <t>Design :A49</t>
  </si>
  <si>
    <t>เริ่มก่อสร้างภายในเดือน กรกฎาคม 2568 - งานแล้วเสร็จภายในเดือน ธันวาคม 2569  /Bidding M&amp;E</t>
  </si>
  <si>
    <t>เริ่มก่อสร้างภายในเดือน มกราคม 2567 - งานแล้วเสร็จไตรมาสที่ 4 ปี 2569</t>
  </si>
  <si>
    <t xml:space="preserve">The Iconic Hotel Phayathai </t>
  </si>
  <si>
    <t>Main con :Q PLUS Q</t>
  </si>
  <si>
    <t>สถานพยาบาล 6 ชั้น 1 อาคาร</t>
  </si>
  <si>
    <t>เริ่มก่อสร้างภายในเดือน ตุลาคม 2567 - งานแล้วเสร็จไตรมาสที่ 4 ปี 2569 /1 อาคาร 33 ชั้น 700 ยูนิต</t>
  </si>
  <si>
    <t>MIT Hospital</t>
  </si>
  <si>
    <t>Owner :  ASSAKAN</t>
  </si>
  <si>
    <t>เริ่มก่อสร้างภายในปี 2569 - งานแล้วเสร็จภายในปี 2570 /Bidding M&amp;E</t>
  </si>
  <si>
    <t>Asakan Elysium Phahol 59</t>
  </si>
  <si>
    <t>อยู่ระหว่างเสนอราคา รับแบบ 20/10/25/Bidding M&amp;E</t>
  </si>
  <si>
    <t>รับแบบ 24/11/68</t>
  </si>
  <si>
    <t>Maincon: Wall Graded</t>
  </si>
  <si>
    <t>M&amp;E : PUNTAPAT ENGINEERING</t>
  </si>
  <si>
    <t xml:space="preserve">เริ่มก่อสร้างภายในเดือน กรกฎาคม 2568 - งานแล้วเสร็จภายในเดือน มีนาคม 2570  </t>
  </si>
  <si>
    <t>Main con : SIPHYA</t>
  </si>
  <si>
    <t>WEC</t>
  </si>
  <si>
    <t>89 Park Avenue</t>
  </si>
  <si>
    <t>รับแบบ 21/11/68 (ข้อมูลไม่ครบ รอข้อมูลเพิ่ม)</t>
  </si>
  <si>
    <t>KEEN CONTRACTOR</t>
  </si>
  <si>
    <t>Cloud 11 (Studio 7,8 FL)</t>
  </si>
  <si>
    <t>Main con : Thai Obayashi</t>
  </si>
  <si>
    <t xml:space="preserve">รับแบบ 21/11/68 </t>
  </si>
  <si>
    <t xml:space="preserve"> Life Udomsuk</t>
  </si>
  <si>
    <t>Owner : AP ME 30</t>
  </si>
  <si>
    <t>Design :A49/APLD</t>
  </si>
  <si>
    <t>เสนอราคาต่อหน่วย</t>
  </si>
  <si>
    <t>พัฒนาจากอาคาร EAC (East Asiatic Company) อาคาร 3 ชั้น 3 อาคาร จำนวน 145 Key</t>
  </si>
  <si>
    <t>**Tender drawing**</t>
  </si>
  <si>
    <t xml:space="preserve"> -Lighting ห้องพัก/ID /ส่วงกลาง</t>
  </si>
  <si>
    <t xml:space="preserve"> -Landscape</t>
  </si>
  <si>
    <t>โรงแรมแอทมายด์  พัทยาใต้</t>
  </si>
  <si>
    <t>Main con : 7 มกรา</t>
  </si>
  <si>
    <t>Design M&amp;E: เดอะวิสดอม คอนซัลแตนส์</t>
  </si>
  <si>
    <t>เริ่มก่อสร้างภายในเดือน กุมภาพันธ์ 2568 - งานแล้วเสร็จไตรมาสที่ 1 ปี 2570 /Owner ซื้อของเอง</t>
  </si>
  <si>
    <t>The Rest Village 
Si Racha KM.93</t>
  </si>
  <si>
    <t>ร้านอาหาร คาเฟ่ แหล่งช้อปปิ้ง พื้นที่สีเขียวกว้างๆ และสิ่งอำนวยความสะดวกอื่นๆ</t>
  </si>
  <si>
    <t xml:space="preserve"> พีทีที สเตชั่น x เจริญโภคภัณฑ์วิศวกรรม</t>
  </si>
  <si>
    <t>Consult:Stonehenge inter</t>
  </si>
  <si>
    <t>VAY RAMA9</t>
  </si>
  <si>
    <t xml:space="preserve"> 8 ชั้น 171 ยูนิต</t>
  </si>
  <si>
    <t>Owner : Sansiri</t>
  </si>
  <si>
    <t>Design M&amp;E: Geo design</t>
  </si>
  <si>
    <t>Architec :MINERVA</t>
  </si>
  <si>
    <t xml:space="preserve">M&amp;E : S P O ENGINEERING </t>
  </si>
  <si>
    <t>เริ่มก่อสร้างภายในไตรมาส 3/ 2568 - งานแล้วเสร็จไตรมาสที่ 3 ปี 2569</t>
  </si>
  <si>
    <t>So Origin Pattaya</t>
  </si>
  <si>
    <t>Low Rise 8 ชั้น 3 อาคาร ห้องพักอาศัย 790 ยูนิต และร้านค้า 2 ยูนิต</t>
  </si>
  <si>
    <t>Architec : DB Studio/Infra</t>
  </si>
  <si>
    <t>Design Landscape: STUDIO JEDT</t>
  </si>
  <si>
    <t>เริ่มก่อสร้างภายในไตรมาส 2/ 2569 - งานแล้วเสร็จไตรมาสที่ 4 ปี 2570</t>
  </si>
  <si>
    <t xml:space="preserve">เริ่มก่อสร้างภายในปี 2569 - งานแล้วเสร็จภายในปี 2570 </t>
  </si>
  <si>
    <t>Consult : LPS PROJECT MANAGEMENT</t>
  </si>
  <si>
    <t>Bidding ผรม.ใหม่ เนื่องจากมีการชลองานก่อสร้าง</t>
  </si>
  <si>
    <t>รอติดตามข้อมูลเพื่อเติม</t>
  </si>
  <si>
    <t xml:space="preserve">Design : PODesign </t>
  </si>
  <si>
    <t>Dusit Suites J-Park Sriracha</t>
  </si>
  <si>
    <t>เริ่มก่อสร้างภายในไตรมาส 4/ 2568 - งานแล้วเสร็จไตรมาสที่ 4 ปี 2570</t>
  </si>
  <si>
    <t>อาคารสูง 12 ชั้น รวม 195 Unit</t>
  </si>
  <si>
    <t xml:space="preserve">Consult:Stonehenge inter </t>
  </si>
  <si>
    <t>Main con : CH. KARNCHANG-TOKYU</t>
  </si>
  <si>
    <t>M&amp;E : CH. KARNCHANG-TOKYU</t>
  </si>
  <si>
    <t>Dusit x SAHA TOKYU</t>
  </si>
  <si>
    <t xml:space="preserve"> -Access control</t>
  </si>
  <si>
    <t>Award M&amp;E :Secco (Ink)</t>
  </si>
  <si>
    <t>งบประมาณปี 70</t>
  </si>
  <si>
    <t>รอข้อมูลเสนอเพื่อเสนอราคา</t>
  </si>
  <si>
    <t>ส่งข้อมูลขอราคาแล้ว รอใบเสนอราคา</t>
  </si>
  <si>
    <t>Report M&amp;E Contractor List</t>
  </si>
  <si>
    <t>Sale : Kridjirat F.</t>
  </si>
  <si>
    <t xml:space="preserve">Date : </t>
  </si>
  <si>
    <t>Contractor</t>
  </si>
  <si>
    <t>Product (MB/Bath)</t>
  </si>
  <si>
    <t>Action Plan</t>
  </si>
  <si>
    <t>RCU</t>
  </si>
  <si>
    <t>SW/Plug</t>
  </si>
  <si>
    <t>C-Bus</t>
  </si>
  <si>
    <t>Lutron</t>
  </si>
  <si>
    <t>Lighting</t>
  </si>
  <si>
    <t>Façade</t>
  </si>
  <si>
    <t>CCTV</t>
  </si>
  <si>
    <t>Access</t>
  </si>
  <si>
    <t>Summary</t>
  </si>
  <si>
    <t>1</t>
  </si>
  <si>
    <t>FIRST TECHNOLOGY Co.,Ltd</t>
  </si>
  <si>
    <t>โคมไฟสรุปโดย Owner หมดแล้ว เหลือในส่วน Façade อยู่ระหว่างปรับรายละเอียด</t>
  </si>
  <si>
    <t>ให้เสนอราคาตาม Vendor list</t>
  </si>
  <si>
    <t>Main conKANKANIT CONSTRUCTION Co.,Ltd</t>
  </si>
  <si>
    <t xml:space="preserve">20/11/68 ติดตามสถานะโครงการ ยังไม่ Aword ผรม.M&amp;E Hold </t>
  </si>
  <si>
    <t>Main conSMC</t>
  </si>
  <si>
    <t>โคปปาน่า ระยอง</t>
  </si>
  <si>
    <t xml:space="preserve">Main conPRE-BUILT </t>
  </si>
  <si>
    <t>Main con SFC</t>
  </si>
  <si>
    <t>M&amp;E Asia</t>
  </si>
  <si>
    <t>Main con:Visavapat</t>
  </si>
  <si>
    <t>Life Udomsuk</t>
  </si>
  <si>
    <t>รับแบบ 20/10/68 อยู่ระหว่างเสนอราคา</t>
  </si>
  <si>
    <t>PUNTAPAT ENGINEERING</t>
  </si>
  <si>
    <t>20/10/2025 รอแบบเพื่อเสนอราคา</t>
  </si>
  <si>
    <t>Main con:SYNTECH CONSTRUCTION</t>
  </si>
  <si>
    <t xml:space="preserve">Piyavate Hospital Prannok </t>
  </si>
  <si>
    <t>Main con:C.C.S. GROUP</t>
  </si>
  <si>
    <t>Main con:Wall Graded</t>
  </si>
  <si>
    <t>Owner ซื้อของเอง</t>
  </si>
  <si>
    <t>Main con: 7 มกรา</t>
  </si>
  <si>
    <t>Main con:จีระธนา</t>
  </si>
  <si>
    <t>Main con:SIPHYA</t>
  </si>
  <si>
    <t>MAGNUM SYSTEMS</t>
  </si>
  <si>
    <t>2025 (Mbaht)</t>
  </si>
  <si>
    <t>THAITAKENAKA</t>
  </si>
  <si>
    <t>โครงการ EXPANSION 3 (NEO Fcatory)</t>
  </si>
  <si>
    <t>Owner : Neo factory</t>
  </si>
  <si>
    <t>Architec: Mectric</t>
  </si>
  <si>
    <t xml:space="preserve"> -Access</t>
  </si>
  <si>
    <t>Houser Architec</t>
  </si>
  <si>
    <t>โครงการ อาคารพักอาศัย 2 ชั้น จ.ระยอง (ระบบCCTVและไฟฉุกเฉินบ้านคุณทอย)</t>
  </si>
  <si>
    <t>คุณสมภพ คุณากร</t>
  </si>
  <si>
    <t>โครงการ บ้านคุณสมภพ คุณากร หมู่บ้านชวนชื่น</t>
  </si>
  <si>
    <t xml:space="preserve"> -Smart home</t>
  </si>
  <si>
    <t>ดอนเมิองพัฒนา</t>
  </si>
  <si>
    <t>โครงการตลาดสี่มุมเมือง CCTV รอบบริเวณ</t>
  </si>
  <si>
    <t>Owner : ดอนเมืองพัฒนา</t>
  </si>
  <si>
    <t>โครงการพิพิธภัณฑ์การไฟฟ้าวัดเลียบ</t>
  </si>
  <si>
    <t>Designer : แปลน โมทีฟ</t>
  </si>
  <si>
    <t>AKA</t>
  </si>
  <si>
    <t>DATA Center Rayong (RYG 2)</t>
  </si>
  <si>
    <t>Main con :Ritta Co.,Ltd</t>
  </si>
  <si>
    <t>ใช้ของปลายปี  ธ.ค. 68 ไม่เกิน 15 ม.ค.69</t>
  </si>
  <si>
    <t>TAIKISHA</t>
  </si>
  <si>
    <t>DATA Center Rayong (RYG 1)</t>
  </si>
  <si>
    <t>จบ L&amp;E ไปแล้ว 5.2 m.</t>
  </si>
  <si>
    <t>C A L 99 CONNECTION</t>
  </si>
  <si>
    <t>TDH Thonglor Dental Hospital (Ramintra)</t>
  </si>
  <si>
    <t>เสนอราคาไม่ทัน</t>
  </si>
  <si>
    <t>Owner :บจก.โรงพยาบาลฟันทองหล่อ</t>
  </si>
  <si>
    <t>Architec :บจก.แกรทติจูด ดีไซน์</t>
  </si>
  <si>
    <t>(Visit 29/08/68 รอแบบงานไฟเพื่อเสนอราคา)</t>
  </si>
  <si>
    <t xml:space="preserve">WEAPONS DECORATION </t>
  </si>
  <si>
    <t>โรงพยาบาลสัตว์อารักษ์ ประดิษฐ์มนูธรรม</t>
  </si>
  <si>
    <t>นำเข้าโตมเองจากจีน</t>
  </si>
  <si>
    <t>Owner : โรงพยาบาลสัตว์อารักษ์ ประดิษฐ์มนูธรรม</t>
  </si>
  <si>
    <t>(Visit 26/08/68 รอแบบงานไฟเพื่อเสนอราคา)</t>
  </si>
  <si>
    <t>Sport field (REIGNWOOD SPORT COMPLEX)</t>
  </si>
  <si>
    <t>Award กลอรี่ (Ink)</t>
  </si>
  <si>
    <t>Bidding Main con</t>
  </si>
  <si>
    <t>กลอรี่ /ฤทธา/PRE-BUILT</t>
  </si>
  <si>
    <t xml:space="preserve"> -Lighting control </t>
  </si>
  <si>
    <t xml:space="preserve"> -BAS</t>
  </si>
  <si>
    <t>เมกกะ-เจ</t>
  </si>
  <si>
    <t>โครงการวัดโสธรวรวิหาร</t>
  </si>
  <si>
    <t>สรุปเป็น L&amp;E หมดแล้ว</t>
  </si>
  <si>
    <t>Owner :วัดโสธรวรวิหาร</t>
  </si>
  <si>
    <t>DJC</t>
  </si>
  <si>
    <t>Lighting design :WITH LIGHT</t>
  </si>
  <si>
    <t>Landscape :1819</t>
  </si>
  <si>
    <t>ARCHITECT :TANDEM</t>
  </si>
  <si>
    <t xml:space="preserve">โคมไฟสเปค L&amp;E </t>
  </si>
  <si>
    <t>Load Center, Consumer Unit และ CB Box for RCU</t>
  </si>
  <si>
    <t>Design M&amp;E:Pass Engineering</t>
  </si>
  <si>
    <t>Consult :U Plus</t>
  </si>
  <si>
    <t>Owner :NED MANAGEMENT</t>
  </si>
  <si>
    <t>Design Architec : VESSU</t>
  </si>
  <si>
    <t>Landscape :LAMU STUDIO</t>
  </si>
  <si>
    <t>Interior : padee</t>
  </si>
  <si>
    <t>Design Architec :GEO Design</t>
  </si>
  <si>
    <t>เริ่มก่อสร้างภายในเดือน Q4 2568 - งานแล้วเสร็จไตรมาสที่ 4 ปี 2569</t>
  </si>
  <si>
    <t>SL</t>
  </si>
  <si>
    <t>Vako</t>
  </si>
  <si>
    <t>ตามโฟลค์  นีออนเฟล็ก 3D ที่ส่งให้ผู้ออกแบบ</t>
  </si>
  <si>
    <t>Main: แสงฟ้า</t>
  </si>
  <si>
    <t>Award 24/12/68</t>
  </si>
  <si>
    <r>
      <t>Design :PALMER/</t>
    </r>
    <r>
      <rPr>
        <b/>
        <sz val="14"/>
        <color rgb="FFFF0000"/>
        <rFont val="Cordia New"/>
        <family val="2"/>
      </rPr>
      <t>REDLAND</t>
    </r>
  </si>
  <si>
    <t xml:space="preserve"> -CCTV/Access control</t>
  </si>
  <si>
    <t xml:space="preserve"> -Gate barrier</t>
  </si>
  <si>
    <t>Canvas Cherng Talay</t>
  </si>
  <si>
    <t>Owner :THIRAKHUN (Sansiri)</t>
  </si>
  <si>
    <t>Architec : PEANG ISARA</t>
  </si>
  <si>
    <t>Design Landscape: Ixora</t>
  </si>
  <si>
    <t>รับแบบ 26/12/68</t>
  </si>
  <si>
    <t xml:space="preserve">5 ชั้น 4 อาคาร 175 Unit /Bidding M&amp;E </t>
  </si>
  <si>
    <t>QS:Stonehenge inter</t>
  </si>
  <si>
    <t>Main con :  Well Graded</t>
  </si>
  <si>
    <t>โรงพยาบาลจุฬารัตน์ ซีเอชจี จ.ระยอง</t>
  </si>
  <si>
    <t xml:space="preserve">12 ชั้น 1 อาคาร 175 Unit /Bidding M&amp;E </t>
  </si>
  <si>
    <t>เริ่มก่อสร้างภายในไตรมาส 4/ 2568 - งานแล้วเสร็จ ปี 2570</t>
  </si>
  <si>
    <t>โรงพยาบาลบำรุงราษฎร์ อินเตอร์เนชั่นแนล ภูเก็ต</t>
  </si>
  <si>
    <t>Main con : RATTA</t>
  </si>
  <si>
    <t>M&amp;E : FIRST TECHNOLOGY</t>
  </si>
  <si>
    <t xml:space="preserve">1.เฟิร์ส  2.แมคทริค </t>
  </si>
  <si>
    <t>CRS ,Philips</t>
  </si>
  <si>
    <t>P23 DECORATIVE</t>
  </si>
  <si>
    <t>Vorawat building</t>
  </si>
  <si>
    <t>BAAN RIM BEUNG CO., LTD.</t>
  </si>
  <si>
    <t xml:space="preserve"> -Fiber optic</t>
  </si>
  <si>
    <t>ไฟบันไดสระ วิลล่า จ.ภูเก็ต</t>
  </si>
  <si>
    <t xml:space="preserve"> -</t>
  </si>
  <si>
    <t>รอแบบเสนอราคา Update 16/01/26</t>
  </si>
  <si>
    <t>Twin house U23</t>
  </si>
  <si>
    <t>บริษัท วินน์ พร็อพเพอร์ตี้ จำกัด</t>
  </si>
  <si>
    <t>ตู้ LP</t>
  </si>
  <si>
    <t>สยามภูมิอินเตอร์คอนสตรัดชัน</t>
  </si>
  <si>
    <t>Design : Creative Crews</t>
  </si>
  <si>
    <t xml:space="preserve"> FBO House </t>
  </si>
  <si>
    <t xml:space="preserve">Water House </t>
  </si>
  <si>
    <t>Update 16/01/26</t>
  </si>
  <si>
    <t>1 อาคาร 38 ชั้น /Bidding M&amp;E</t>
  </si>
  <si>
    <t>Main : SFC</t>
  </si>
  <si>
    <t>EEC</t>
  </si>
  <si>
    <t>INSIGN OUT DESIGN</t>
  </si>
  <si>
    <t xml:space="preserve"> -Power</t>
  </si>
  <si>
    <t>Main :SFC</t>
  </si>
  <si>
    <t>EE:Boonnada</t>
  </si>
  <si>
    <t>Design:DIU</t>
  </si>
  <si>
    <t xml:space="preserve">Leasehold 56 ชั้น </t>
  </si>
  <si>
    <t>Finish</t>
  </si>
  <si>
    <t>The Embassy Wireless Condo</t>
  </si>
  <si>
    <t>สุนทรียา ราชดำริ คอนโด</t>
  </si>
  <si>
    <t>Q4/2027</t>
  </si>
  <si>
    <t>Q3/2026</t>
  </si>
  <si>
    <t>Q4/2026</t>
  </si>
  <si>
    <t>Design M&amp;E: :แอสเซมมิลด์</t>
  </si>
  <si>
    <t>Architec :แอสเซมมิลด์</t>
  </si>
  <si>
    <t>Owner: อารเอสยูอินเตอร์เนชั่นแนล ฮอสพิทอล</t>
  </si>
  <si>
    <t>PM: อาศรมศิลป์</t>
  </si>
  <si>
    <t>M&amp;E Design:มิตรเทคนิคัล</t>
  </si>
  <si>
    <t>Lightrio ,VAKO</t>
  </si>
  <si>
    <t>Sprakling,Illuspace</t>
  </si>
  <si>
    <t>PRE-BUILT (Award)</t>
  </si>
  <si>
    <t xml:space="preserve"> -RCU </t>
  </si>
  <si>
    <t>SECCO</t>
  </si>
  <si>
    <t xml:space="preserve"> 3 ตึก ประมาณ 200 กว่าห้อง</t>
  </si>
  <si>
    <t>Intercon Resident (Condo)</t>
  </si>
  <si>
    <t>Owner:KAMALA ASCEND</t>
  </si>
  <si>
    <t>Bidder : 1.Pre-Built 2.Sino-Thai</t>
  </si>
  <si>
    <t xml:space="preserve">3. Uwork 999 4.Well Graded </t>
  </si>
  <si>
    <t>Design M&amp;E :WEP Engineering Partners</t>
  </si>
  <si>
    <t>ARCHITECTS:Habita Architects</t>
  </si>
  <si>
    <t>STRUCTURAL ENGINEER:Stonehenge</t>
  </si>
  <si>
    <t>LANDSCAPE:Pla</t>
  </si>
  <si>
    <t>PM : LPS PROJECT MANAGEMENT</t>
  </si>
  <si>
    <t>Chatrium Villas Maikhao Beach, Phuket</t>
  </si>
  <si>
    <t xml:space="preserve"> -RCU</t>
  </si>
  <si>
    <t>Owner: CHATRIUMVILLA (MAI KHAO)</t>
  </si>
  <si>
    <t>Architecs:Palmer &amp; Turner</t>
  </si>
  <si>
    <t>Landscape:A PLUS L</t>
  </si>
  <si>
    <t>Associate Architect:P.U. Associates</t>
  </si>
  <si>
    <t>Main: SFC</t>
  </si>
  <si>
    <t xml:space="preserve">Interior Design :ฟายน์เดค </t>
  </si>
  <si>
    <t>กำหนดงาน 30 เดือน ยังไม่เข้า Onsite</t>
  </si>
  <si>
    <t xml:space="preserve">Main con :  Well Graded </t>
  </si>
  <si>
    <t>Main con&amp;M&amp;E : SFC</t>
  </si>
  <si>
    <t xml:space="preserve">12 ชั้น 1 อาคาร 175 Unit </t>
  </si>
  <si>
    <t>3PHORN (Award)</t>
  </si>
  <si>
    <t>3PHORN(Award)</t>
  </si>
  <si>
    <t>YALA RIVERSIDE HOTEL</t>
  </si>
  <si>
    <t xml:space="preserve"> -C-BUS</t>
  </si>
  <si>
    <t xml:space="preserve"> APAC Design Development</t>
  </si>
  <si>
    <t>Interior Design : V-house Studio</t>
  </si>
  <si>
    <t>*Smart solution **Owner ซื้อของเอง</t>
  </si>
  <si>
    <t>MOXY BANGKOK SILOM</t>
  </si>
  <si>
    <t>Q2/2028</t>
  </si>
  <si>
    <t xml:space="preserve"> -KNX</t>
  </si>
  <si>
    <t xml:space="preserve"> -SW/Plug</t>
  </si>
  <si>
    <t xml:space="preserve">Room 258 units </t>
  </si>
  <si>
    <t xml:space="preserve">Bidder : 1.Pre-Built 2.SFC </t>
  </si>
  <si>
    <t>3. Syntec 4.กรณิศ</t>
  </si>
  <si>
    <t>*ตามแบบเสนอราคา ** อยู่ระหว่างเตรียมข้อมูล Bidding main con /M&amp;E (Bid แยก)</t>
  </si>
  <si>
    <t>Owner : ตรี เอสเตท</t>
  </si>
  <si>
    <t>Lovo Hotel Suwnnabhumi</t>
  </si>
  <si>
    <t>LD : K.Pim+ (ex APLD)</t>
  </si>
  <si>
    <t>6 Type room เสนอราคาต่อหน่วย</t>
  </si>
  <si>
    <t>Cost Plan (QS)</t>
  </si>
  <si>
    <t>W&amp;A(QS)</t>
  </si>
  <si>
    <t>Owner: บริษัท อนันตนา จำกัด</t>
  </si>
  <si>
    <t>SFC</t>
  </si>
  <si>
    <t>Architec :PLAN ASSOCIATES</t>
  </si>
  <si>
    <t>Design M&amp;E: MIT</t>
  </si>
  <si>
    <t>Dhawa Old Town Bangkok (Grande  Ville Hotel)</t>
  </si>
  <si>
    <t xml:space="preserve"> Altus (QS)</t>
  </si>
  <si>
    <t>ดอนเมืองพัฒนา</t>
  </si>
  <si>
    <t>ตลาดสี่มุมเมือง (Smart maket)</t>
  </si>
  <si>
    <t>Q2/2026</t>
  </si>
  <si>
    <t xml:space="preserve"> -Traffic Management</t>
  </si>
  <si>
    <t xml:space="preserve"> -Flow Cashless Gate</t>
  </si>
  <si>
    <t>กฟผ.</t>
  </si>
  <si>
    <t>บ้านพักรับรองจำปา 2-7 เขื่อนบางลาง จังหวัดยะลา</t>
  </si>
  <si>
    <t>Design :PALMER/REDLAND</t>
  </si>
  <si>
    <t>THS Development</t>
  </si>
  <si>
    <t xml:space="preserve">Pan pacific </t>
  </si>
  <si>
    <t>Owner : สยามกลการ</t>
  </si>
  <si>
    <t>CM : AE Asia คุณเลิศศักดิ์ 081-5578215</t>
  </si>
  <si>
    <t>QS : Project Asia / คุณอ้อม 091-8820701</t>
  </si>
  <si>
    <t>ME Design : ว และสหาย</t>
  </si>
  <si>
    <t>Schneider</t>
  </si>
  <si>
    <t>Esteem 106</t>
  </si>
  <si>
    <t>Holiday Inn Express 200 ห้อง</t>
  </si>
  <si>
    <t>คุณโบนัส Estimate 094-5492876</t>
  </si>
  <si>
    <t xml:space="preserve">Es Teem 106 </t>
  </si>
  <si>
    <t xml:space="preserve">The Standard X (Boavistra) 300 Room </t>
  </si>
  <si>
    <t>Mobilize (ทำห้องตัวอย่าง)</t>
  </si>
  <si>
    <t>AUN Design</t>
  </si>
  <si>
    <t>รพ.ชลประทาน นนทบุรี</t>
  </si>
  <si>
    <t>คุณเอกสิทธิ์ 081-4224456</t>
  </si>
  <si>
    <t>บริษัท อวาตา อิเล็คทริค จำกัด</t>
  </si>
  <si>
    <t>ท่าเรือแหลมฉบัง</t>
  </si>
  <si>
    <t>ผรม TASA</t>
  </si>
  <si>
    <t>SM Hotel</t>
  </si>
  <si>
    <t>LOVO HOTEL</t>
  </si>
  <si>
    <t>design</t>
  </si>
  <si>
    <t>QS : W&amp;A</t>
  </si>
  <si>
    <t>รอปรับแบบ</t>
  </si>
  <si>
    <t>เจ้าของเดียวกับ Mövenpick s15</t>
  </si>
  <si>
    <t xml:space="preserve">MX 27 Hotel (171 units) Sukhumvit27 </t>
  </si>
  <si>
    <t>ยังไม่มีผู้ออกแบบ lighting</t>
  </si>
  <si>
    <t>CM49 : คุณณัฐชยา จำปาศรี</t>
  </si>
  <si>
    <t xml:space="preserve">AIRA  สีลม (303 rooms, 29Floors) Hilton </t>
  </si>
  <si>
    <t>CM49 : คุณณฐพร คอประเสริฐศักดิ์</t>
  </si>
  <si>
    <t xml:space="preserve">Palmer &amp; Turner  </t>
  </si>
  <si>
    <t>Sunbeam (Khun ช่างนุ้ย)099-8627318 Owner</t>
  </si>
  <si>
    <t>Renovation of Sunbeam Pattaya Spa&amp;wellness Hotel 270 ห้อง</t>
  </si>
  <si>
    <t>Status: revnovate ภายในห้องพักจำนวน 40 ห้องก่อน /ทยอย renovateทีละ 40 ห้อง</t>
  </si>
  <si>
    <t>revnovate ปีหน้า ช่วง Low Season</t>
  </si>
  <si>
    <t>Asset World</t>
  </si>
  <si>
    <t>The Okura Prestige Hotel and Spa S38, 236 units</t>
  </si>
  <si>
    <t>khun Ploy ปากซอยสุขุมวิท 38</t>
  </si>
  <si>
    <t>Id: Pia (ja)</t>
  </si>
  <si>
    <t>Siriratch Hospital</t>
  </si>
  <si>
    <t>Siriratch International Hospital บางโพ (สร้างใหม่)</t>
  </si>
  <si>
    <t xml:space="preserve">Siamese Asset </t>
  </si>
  <si>
    <t>โรงแรม 5 ดาวรัชดา (ข้างตึก Olympia)</t>
  </si>
  <si>
    <t>khun Nana/ia49คุณแป๋ม</t>
  </si>
  <si>
    <t>Siamese Asset/ Pia คุณอู๋ คุณนัตตี้</t>
  </si>
  <si>
    <t>Pullman Sukhumvit 16, 250 units (Mixed-use)</t>
  </si>
  <si>
    <t xml:space="preserve"> -RCU (Intronic)</t>
  </si>
  <si>
    <t xml:space="preserve"> -KNX Merten</t>
  </si>
  <si>
    <t xml:space="preserve"> -RCU (0.5M)</t>
  </si>
  <si>
    <t xml:space="preserve"> -HRC</t>
  </si>
  <si>
    <t xml:space="preserve"> -KNX </t>
  </si>
  <si>
    <t xml:space="preserve">Siamese Asset/ Creative Crews คุณมาย 092-2568831 คุณฝ้าย  </t>
  </si>
  <si>
    <t>Hilton Garden Inn รามอินทรา ใกล้ Fashion island, 250 units</t>
  </si>
  <si>
    <t>bidding main con</t>
  </si>
  <si>
    <t xml:space="preserve"> คุณสุทัชนนท์ 089-1261260 Siamese  Bid ผู้รับเหมา Q1 2026</t>
  </si>
  <si>
    <t>The Journey Hotel</t>
  </si>
  <si>
    <t>The Journey Hotel แบริ่ง 79 units</t>
  </si>
  <si>
    <t>Owner ออกแบบเอง khun Gunn</t>
  </si>
  <si>
    <t>เดอะ แพลทินั่ม กรุ๊ป</t>
  </si>
  <si>
    <t>The Platinum Square</t>
  </si>
  <si>
    <t>ผู้รับเหมางานระบบ SECCO</t>
  </si>
  <si>
    <t>รอใบอนุญาตก่อสร้างผ่าน</t>
  </si>
  <si>
    <t xml:space="preserve"> -Lighting Control</t>
  </si>
  <si>
    <t xml:space="preserve"> -SW</t>
  </si>
  <si>
    <t xml:space="preserve"> -Gen</t>
  </si>
  <si>
    <t xml:space="preserve"> -MDB</t>
  </si>
  <si>
    <t>พี่หุยเข้าไปนำเสนอเบื้องต้นแล้ว</t>
  </si>
  <si>
    <t>คุณสุทัชนนท์(Nine) 089-1261260 Siamese (Owner)</t>
  </si>
  <si>
    <t>Architec : inhouse</t>
  </si>
  <si>
    <t>รอนัดเข้านำเสนอ</t>
  </si>
  <si>
    <t>ให้คุยอีกที่ช่วงปลายปี 69</t>
  </si>
  <si>
    <t>089-813-8624 คุณสมวัลยา 089-445-4111 คุณพิชัย (TCM Consult)</t>
  </si>
  <si>
    <t>.0.16</t>
  </si>
  <si>
    <t xml:space="preserve"> -Lighting Control /APLD Lighting design</t>
  </si>
  <si>
    <t>คุณปุ้ม จัดซื้อ 063-320-27370</t>
  </si>
  <si>
    <t>ห้องตัวอย่าง 2 ห้อง / Bitichino + SCH(Smart)</t>
  </si>
  <si>
    <t xml:space="preserve">ตาม BOQ จากพี่ประวิทย์ Gen,MDB   </t>
  </si>
  <si>
    <t xml:space="preserve"> -Power Cable</t>
  </si>
  <si>
    <t xml:space="preserve">คุณปุ้ม จัดซื้อ 063-202-7370 </t>
  </si>
  <si>
    <t>Main con :CL</t>
  </si>
  <si>
    <t xml:space="preserve"> -HRC (Bitichino Mok up)</t>
  </si>
  <si>
    <t>พรสีวลี</t>
  </si>
  <si>
    <t>งานพระที่นั่งอนันตสมาคม</t>
  </si>
  <si>
    <t>คุณนุชประวีย์ 02-431-5038 ext. 2</t>
  </si>
  <si>
    <t>Fin Technic</t>
  </si>
  <si>
    <t>Neo 727 (K.ธนัญญา 088-447-6070)</t>
  </si>
  <si>
    <t>Owner : MTX Asset (เจ้าของเดียวกับ Mövenpick s15)</t>
  </si>
  <si>
    <t xml:space="preserve"> - HRC</t>
  </si>
  <si>
    <t xml:space="preserve"> - BMS (Schneider)</t>
  </si>
  <si>
    <t>โรงแรมขนาด 171 ห้อง 1 อาคาร สูง 8 ชั้น</t>
  </si>
  <si>
    <t>QS:WQS</t>
  </si>
  <si>
    <t>Owner: ANANTANA</t>
  </si>
  <si>
    <t>CONSTRUCTION LINES (Award)</t>
  </si>
  <si>
    <t xml:space="preserve"> คุณสุทัชนนท์ 089-126-1260 Siamese  Bid ผู้รับเหมา Q1 2026</t>
  </si>
  <si>
    <t>Owner ชลอโครงการถึงปลายปี 69</t>
  </si>
  <si>
    <t>ชลอโครงการไม่มีกำหนด</t>
  </si>
  <si>
    <t xml:space="preserve"> 3.Lotus  4.jec  5. Secco</t>
  </si>
  <si>
    <t>ว.และ สหาย</t>
  </si>
  <si>
    <t>SK27 Pure 2 hotel ประมาณ 60 ห้อง</t>
  </si>
  <si>
    <t>K หนุ่ม 083-9124979</t>
  </si>
  <si>
    <t>29 ชั้น 303 keys</t>
  </si>
  <si>
    <t xml:space="preserve"> -C-bus</t>
  </si>
  <si>
    <t xml:space="preserve"> -HRC (Schneider)</t>
  </si>
  <si>
    <t>Holiday Inn Express 200 ห้อง (Layan)</t>
  </si>
  <si>
    <t>Architect :Bigbag / Integrated Field</t>
  </si>
  <si>
    <t>Owner:
Central Huahin Beach Resort</t>
  </si>
  <si>
    <t>EVEREST CONSULTANCY</t>
  </si>
  <si>
    <t xml:space="preserve"> -SW &amp;Outlet</t>
  </si>
  <si>
    <t>Landscape:PlA</t>
  </si>
  <si>
    <t>MEP: WEP</t>
  </si>
  <si>
    <t>CENTARA VILLAS HUAHIN</t>
  </si>
  <si>
    <t>Architect:Onion</t>
  </si>
  <si>
    <t>Consultant:Meinhardt</t>
  </si>
  <si>
    <t>200 Keys</t>
  </si>
  <si>
    <t>72 Keys</t>
  </si>
  <si>
    <t>Lighting Design :APLD</t>
  </si>
  <si>
    <t>Lighting Design :with light</t>
  </si>
  <si>
    <t>COST PLAN</t>
  </si>
  <si>
    <t>Bangkok Proton Center</t>
  </si>
  <si>
    <t xml:space="preserve"> -RMU</t>
  </si>
  <si>
    <t>Owner : Bangkok Dusit Medical Services</t>
  </si>
  <si>
    <t>Consult:TEAC</t>
  </si>
  <si>
    <t>MEP Consult: EEC</t>
  </si>
  <si>
    <t>Pre-Built (Award Main con)</t>
  </si>
  <si>
    <t>โรงแรมปากช่อง (Angel Hotel)</t>
  </si>
  <si>
    <t>PO.สั่งห้องตัวอย่างก่อน 3 ห้อง</t>
  </si>
  <si>
    <t>Bidder :  1.Prince Power  Engineering (พี่รัง)</t>
  </si>
  <si>
    <t>CENTARA  HUA HIN BEACH RESORT(CENTARA LIFE)</t>
  </si>
  <si>
    <t xml:space="preserve">นัดเข้าชี้แจงแบบกับ Fin Technic วันที่ 26/03/26 </t>
  </si>
  <si>
    <t xml:space="preserve">Lighting design :Light box </t>
  </si>
  <si>
    <t xml:space="preserve"> -Lighting </t>
  </si>
  <si>
    <t>THE NINE VILLA PATTAYA (Owner)</t>
  </si>
  <si>
    <t>RENAISSANCE PATTAYA VILLAS</t>
  </si>
  <si>
    <t xml:space="preserve"> -Lighting (INTERIOR )</t>
  </si>
  <si>
    <t xml:space="preserve">16 Type </t>
  </si>
  <si>
    <t xml:space="preserve">Design All : WADFAN Studio </t>
  </si>
  <si>
    <t>Owner:Pastrue Thai</t>
  </si>
  <si>
    <t>อาคาร 4 ชั้น 1 หลัง</t>
  </si>
  <si>
    <t xml:space="preserve"> - Door Lock</t>
  </si>
  <si>
    <t>THE LAVISH FALCON SERVICE APARTMENT</t>
  </si>
  <si>
    <t>SCHNEIDER</t>
  </si>
  <si>
    <t>FL</t>
  </si>
  <si>
    <t xml:space="preserve"> -Power (MDB,Consumer Unit )</t>
  </si>
  <si>
    <t xml:space="preserve">43  Key </t>
  </si>
  <si>
    <t>Owner : Centara</t>
  </si>
  <si>
    <t>COST PLAN(QS)</t>
  </si>
  <si>
    <t>The Splash by Accor (Renovation) 613 units+ Villa 41 units</t>
  </si>
  <si>
    <t>Location : ดอนเมือง,นิคมโรจนะ,กาญจนบุรี,หาดจอมเทียน,สนามบินภูเก็ต,หาดใหญ่</t>
  </si>
  <si>
    <t>BUDGET HOTEL (ดอนเมือง)</t>
  </si>
  <si>
    <t>QS:Cosplan</t>
  </si>
  <si>
    <t>BUDGET HOTEL (กาญจนบุรี)</t>
  </si>
  <si>
    <t>BUDGET HOTEL (นิคมโรจนะ จ.อยุธยา)</t>
  </si>
  <si>
    <t>BUDGET HOTEL (หาดจอมเทียน พัทยา)</t>
  </si>
  <si>
    <t>BUDGET HOTEL (สนามบินภูเก็ต)</t>
  </si>
  <si>
    <t>BUDGET HOTEL (หาดใหญ่)</t>
  </si>
  <si>
    <t xml:space="preserve"> - RCU </t>
  </si>
  <si>
    <t xml:space="preserve"> -Switch &amp; Outlet</t>
  </si>
  <si>
    <t xml:space="preserve"> OWNER : CG Capital</t>
  </si>
  <si>
    <t>ARCHITECT  : A49</t>
  </si>
  <si>
    <t>Interior Design :Make a scene</t>
  </si>
  <si>
    <t>M&amp;E Design : ว และสหาย</t>
  </si>
  <si>
    <t xml:space="preserve"> - Lighting control</t>
  </si>
  <si>
    <t>Twenty Three Hotel</t>
  </si>
  <si>
    <t xml:space="preserve"> - RPC</t>
  </si>
  <si>
    <t>FLOYD</t>
  </si>
  <si>
    <t>QS: WALConsultant</t>
  </si>
  <si>
    <t>ระยะเวลาก่อสร้างประมาณ เดือน พฤษภาคม 2569 (6 เดือน)</t>
  </si>
  <si>
    <t>Domatic</t>
  </si>
  <si>
    <t>Owner:ไบเทค</t>
  </si>
  <si>
    <t>C.K. ENGINEERING (THAILAND)</t>
  </si>
  <si>
    <t>รับ PO. 24/03/26 รอมัดจำ สั่งผลิต 30 วัน</t>
  </si>
  <si>
    <t>Emergency Light  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</si>
</sst>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d/m/yy"/>
    <numFmt numFmtId="188" formatCode="[$-409]d\-mmm\-yyyy;@"/>
    <numFmt numFmtId="189" formatCode="_(* #,##0.00_);_(* \(#,##0.00\);_(* &quot;-&quot;??_);_(@_)"/>
  </numFmts>
  <fonts count="120">
    <font>
      <sz val="10"/>
      <color rgb="FF000000"/>
      <name val="Arial"/>
      <scheme val="minor"/>
    </font>
    <font>
      <sz val="11"/>
      <color theme="1"/>
      <name val="Arial"/>
      <family val="2"/>
      <charset val="222"/>
      <scheme val="minor"/>
    </font>
    <font>
      <sz val="12"/>
      <color rgb="FF000000"/>
      <name val="Calibri"/>
      <family val="2"/>
    </font>
    <font>
      <sz val="12"/>
      <color theme="1"/>
      <name val="Arial"/>
      <family val="2"/>
      <scheme val="minor"/>
    </font>
    <font>
      <b/>
      <u/>
      <sz val="12"/>
      <color rgb="FF0000FF"/>
      <name val="Calibri"/>
      <family val="2"/>
    </font>
    <font>
      <b/>
      <sz val="12"/>
      <color rgb="FF000000"/>
      <name val="Calibri"/>
      <family val="2"/>
    </font>
    <font>
      <b/>
      <u/>
      <sz val="12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0000FF"/>
      <name val="Calibri"/>
      <family val="2"/>
    </font>
    <font>
      <b/>
      <sz val="10"/>
      <color rgb="FF0000FF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000000"/>
      <name val="Arial"/>
      <family val="2"/>
      <scheme val="minor"/>
    </font>
    <font>
      <b/>
      <u/>
      <sz val="12"/>
      <color rgb="FF000000"/>
      <name val="Calibri"/>
      <family val="2"/>
    </font>
    <font>
      <b/>
      <u/>
      <sz val="12"/>
      <color rgb="FF0000FF"/>
      <name val="Calibri"/>
      <family val="2"/>
    </font>
    <font>
      <b/>
      <u/>
      <sz val="12"/>
      <color rgb="FFFF0000"/>
      <name val="Calibri"/>
      <family val="2"/>
    </font>
    <font>
      <sz val="11"/>
      <color rgb="FFFF0000"/>
      <name val="Arial"/>
      <family val="2"/>
      <scheme val="minor"/>
    </font>
    <font>
      <b/>
      <sz val="11"/>
      <color rgb="FF0000FF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b/>
      <u/>
      <sz val="11"/>
      <color rgb="FFFF0000"/>
      <name val="Calibri"/>
      <family val="2"/>
    </font>
    <font>
      <u/>
      <sz val="11"/>
      <color rgb="FFFF0000"/>
      <name val="Calibri"/>
      <family val="2"/>
    </font>
    <font>
      <sz val="10"/>
      <color theme="1"/>
      <name val="Calibri"/>
      <family val="2"/>
    </font>
    <font>
      <u/>
      <sz val="11"/>
      <color rgb="FFFF0000"/>
      <name val="Calibri"/>
      <family val="2"/>
    </font>
    <font>
      <sz val="11"/>
      <color rgb="FFFFFFFF"/>
      <name val="Calibri"/>
      <family val="2"/>
    </font>
    <font>
      <sz val="11"/>
      <color rgb="FF0000FF"/>
      <name val="Calibri"/>
      <family val="2"/>
    </font>
    <font>
      <sz val="10"/>
      <color rgb="FFFFFFFF"/>
      <name val="Calibri"/>
      <family val="2"/>
    </font>
    <font>
      <b/>
      <sz val="10"/>
      <color theme="1"/>
      <name val="Calibri"/>
      <family val="2"/>
    </font>
    <font>
      <b/>
      <sz val="10"/>
      <color rgb="FF0000FF"/>
      <name val="Calibri"/>
      <family val="2"/>
    </font>
    <font>
      <sz val="9"/>
      <color rgb="FFFFFFFF"/>
      <name val="Calibri"/>
      <family val="2"/>
    </font>
    <font>
      <sz val="9"/>
      <color theme="1"/>
      <name val="Calibri"/>
      <family val="2"/>
    </font>
    <font>
      <sz val="9"/>
      <color theme="7"/>
      <name val="Calibri"/>
      <family val="2"/>
    </font>
    <font>
      <sz val="9"/>
      <color rgb="FF34A853"/>
      <name val="Calibri"/>
      <family val="2"/>
    </font>
    <font>
      <b/>
      <sz val="9"/>
      <color rgb="FF0000FF"/>
      <name val="Calibri"/>
      <family val="2"/>
    </font>
    <font>
      <b/>
      <sz val="9"/>
      <color theme="1"/>
      <name val="Calibri"/>
      <family val="2"/>
    </font>
    <font>
      <sz val="10"/>
      <name val="Arial"/>
      <family val="2"/>
    </font>
    <font>
      <b/>
      <sz val="11"/>
      <color theme="0"/>
      <name val="Calibri"/>
      <family val="2"/>
    </font>
    <font>
      <b/>
      <u/>
      <sz val="11"/>
      <color rgb="FFFF0000"/>
      <name val="Calibri"/>
      <family val="2"/>
    </font>
    <font>
      <b/>
      <sz val="11"/>
      <color rgb="FFFFFFFF"/>
      <name val="Calibri"/>
      <family val="2"/>
    </font>
    <font>
      <u/>
      <sz val="11"/>
      <color rgb="FFFF0000"/>
      <name val="Calibri"/>
      <family val="2"/>
    </font>
    <font>
      <b/>
      <u/>
      <sz val="13"/>
      <color rgb="FF0000FF"/>
      <name val="Calibri"/>
      <family val="2"/>
    </font>
    <font>
      <u/>
      <sz val="11"/>
      <color rgb="FFFF0000"/>
      <name val="Calibri"/>
      <family val="2"/>
    </font>
    <font>
      <u/>
      <sz val="11"/>
      <color rgb="FFFF0000"/>
      <name val="Calibri"/>
      <family val="2"/>
    </font>
    <font>
      <b/>
      <u/>
      <sz val="11"/>
      <color rgb="FFFF0000"/>
      <name val="Calibri"/>
      <family val="2"/>
    </font>
    <font>
      <sz val="10"/>
      <color rgb="FF000000"/>
      <name val="Arial"/>
      <family val="2"/>
      <scheme val="minor"/>
    </font>
    <font>
      <sz val="11"/>
      <name val="Calibri"/>
      <family val="2"/>
    </font>
    <font>
      <sz val="12"/>
      <name val="Calibri"/>
      <family val="2"/>
    </font>
    <font>
      <b/>
      <sz val="11"/>
      <color rgb="FFFFFFFF"/>
      <name val="Calibri"/>
      <family val="2"/>
      <charset val="222"/>
    </font>
    <font>
      <b/>
      <sz val="10"/>
      <name val="Arial"/>
      <family val="2"/>
      <charset val="222"/>
    </font>
    <font>
      <b/>
      <sz val="11"/>
      <color rgb="FF000000"/>
      <name val="Calibri"/>
      <family val="2"/>
      <charset val="222"/>
    </font>
    <font>
      <b/>
      <sz val="11"/>
      <color rgb="FFFF0000"/>
      <name val="Calibri"/>
      <family val="2"/>
      <charset val="222"/>
    </font>
    <font>
      <b/>
      <sz val="11"/>
      <color theme="1"/>
      <name val="Calibri"/>
      <family val="2"/>
      <charset val="222"/>
    </font>
    <font>
      <b/>
      <sz val="10"/>
      <color rgb="FF000000"/>
      <name val="Arial"/>
      <family val="2"/>
      <scheme val="minor"/>
    </font>
    <font>
      <sz val="12"/>
      <color theme="1"/>
      <name val="Calibri"/>
      <family val="2"/>
    </font>
    <font>
      <sz val="10"/>
      <color rgb="FFED0000"/>
      <name val="Calibri"/>
      <family val="2"/>
    </font>
    <font>
      <b/>
      <sz val="18"/>
      <name val="Cordia New"/>
      <family val="2"/>
    </font>
    <font>
      <b/>
      <sz val="14"/>
      <color theme="4" tint="-0.499984740745262"/>
      <name val="Cordia New"/>
      <family val="2"/>
    </font>
    <font>
      <b/>
      <sz val="14"/>
      <name val="Cordia New"/>
      <family val="2"/>
    </font>
    <font>
      <b/>
      <u/>
      <sz val="14"/>
      <name val="Cordia New"/>
      <family val="2"/>
    </font>
    <font>
      <b/>
      <u val="singleAccounting"/>
      <sz val="14"/>
      <name val="Cordia New"/>
      <family val="2"/>
    </font>
    <font>
      <b/>
      <sz val="14"/>
      <color theme="1"/>
      <name val="Cordia New"/>
      <family val="2"/>
    </font>
    <font>
      <sz val="14"/>
      <name val="Cordia New"/>
      <family val="2"/>
    </font>
    <font>
      <sz val="14"/>
      <color theme="1"/>
      <name val="Cordia New"/>
      <family val="2"/>
    </font>
    <font>
      <b/>
      <sz val="14"/>
      <color rgb="FFFF0000"/>
      <name val="Cordia New"/>
      <family val="2"/>
    </font>
    <font>
      <b/>
      <sz val="14"/>
      <color rgb="FFED0000"/>
      <name val="Cordia New"/>
      <family val="2"/>
    </font>
    <font>
      <b/>
      <sz val="10"/>
      <color rgb="FFFF0000"/>
      <name val="Arial"/>
      <family val="2"/>
      <scheme val="minor"/>
    </font>
    <font>
      <b/>
      <sz val="12"/>
      <color rgb="FFFF0000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Arial"/>
      <family val="2"/>
      <scheme val="minor"/>
    </font>
    <font>
      <b/>
      <sz val="12"/>
      <color rgb="FFFFFFFF"/>
      <name val="Calibri"/>
      <family val="2"/>
    </font>
    <font>
      <sz val="12"/>
      <color indexed="8"/>
      <name val="Arial"/>
      <family val="2"/>
    </font>
    <font>
      <sz val="12"/>
      <name val="Arial"/>
      <family val="2"/>
      <scheme val="minor"/>
    </font>
    <font>
      <sz val="10"/>
      <name val="Arial"/>
      <family val="2"/>
      <scheme val="minor"/>
    </font>
    <font>
      <b/>
      <sz val="12"/>
      <color theme="7" tint="-0.249977111117893"/>
      <name val="Calibri"/>
      <family val="2"/>
    </font>
    <font>
      <b/>
      <sz val="12"/>
      <color theme="7" tint="-0.249977111117893"/>
      <name val="Arial"/>
      <family val="2"/>
      <scheme val="minor"/>
    </font>
    <font>
      <b/>
      <sz val="10"/>
      <color theme="7" tint="-0.249977111117893"/>
      <name val="Arial"/>
      <family val="2"/>
      <scheme val="minor"/>
    </font>
    <font>
      <b/>
      <sz val="12"/>
      <color theme="7"/>
      <name val="Calibri"/>
      <family val="2"/>
    </font>
    <font>
      <sz val="12"/>
      <color theme="7"/>
      <name val="Calibri"/>
      <family val="2"/>
    </font>
    <font>
      <sz val="12"/>
      <color theme="7"/>
      <name val="Arial"/>
      <family val="2"/>
      <scheme val="minor"/>
    </font>
    <font>
      <sz val="10"/>
      <color theme="7"/>
      <name val="Arial"/>
      <family val="2"/>
      <scheme val="minor"/>
    </font>
    <font>
      <b/>
      <sz val="12"/>
      <color rgb="FFFF0000"/>
      <name val="Arial"/>
      <family val="2"/>
      <scheme val="minor"/>
    </font>
    <font>
      <sz val="14"/>
      <color rgb="FFED0000"/>
      <name val="Cordia New"/>
      <family val="2"/>
    </font>
    <font>
      <sz val="14"/>
      <color rgb="FFFF0000"/>
      <name val="Cordia New"/>
      <family val="2"/>
    </font>
    <font>
      <u val="singleAccounting"/>
      <sz val="14"/>
      <name val="Cordia New"/>
      <family val="2"/>
    </font>
    <font>
      <b/>
      <sz val="16"/>
      <color theme="1"/>
      <name val="Century Gothic"/>
      <family val="2"/>
    </font>
    <font>
      <b/>
      <sz val="16"/>
      <color rgb="FFFF0000"/>
      <name val="Century Gothic"/>
      <family val="2"/>
    </font>
    <font>
      <b/>
      <sz val="12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rgb="FFFF0000"/>
      <name val="Century Gothic"/>
      <family val="2"/>
    </font>
    <font>
      <sz val="10"/>
      <color theme="1"/>
      <name val="Century Gothic"/>
      <family val="2"/>
    </font>
    <font>
      <sz val="10"/>
      <color rgb="FFFF0000"/>
      <name val="Century Gothic"/>
      <family val="2"/>
    </font>
    <font>
      <b/>
      <sz val="10"/>
      <color theme="1"/>
      <name val="Century Gothic"/>
      <family val="2"/>
    </font>
    <font>
      <sz val="14"/>
      <color theme="1"/>
      <name val="Century Gothic"/>
      <family val="2"/>
    </font>
    <font>
      <sz val="9"/>
      <color theme="1"/>
      <name val="Century Gothic"/>
      <family val="2"/>
    </font>
    <font>
      <sz val="12"/>
      <color theme="1"/>
      <name val="Century Gothic"/>
      <family val="2"/>
    </font>
    <font>
      <b/>
      <sz val="10"/>
      <color rgb="FFFF0000"/>
      <name val="Century Gothic"/>
      <family val="2"/>
    </font>
    <font>
      <b/>
      <u val="doubleAccounting"/>
      <sz val="14"/>
      <name val="Cordia New"/>
      <family val="2"/>
    </font>
    <font>
      <sz val="14"/>
      <color theme="5" tint="-0.249977111117893"/>
      <name val="Cordia New"/>
      <family val="2"/>
    </font>
    <font>
      <sz val="8"/>
      <name val="Arial"/>
      <family val="2"/>
      <scheme val="minor"/>
    </font>
    <font>
      <b/>
      <sz val="16"/>
      <color theme="1"/>
      <name val="AngsanaUPC"/>
      <family val="1"/>
    </font>
    <font>
      <sz val="16"/>
      <name val="AngsanaUPC"/>
      <family val="1"/>
    </font>
    <font>
      <sz val="16"/>
      <color theme="1"/>
      <name val="AngsanaUPC"/>
      <family val="1"/>
    </font>
    <font>
      <b/>
      <sz val="16"/>
      <name val="AngsanaUPC"/>
      <family val="1"/>
    </font>
    <font>
      <b/>
      <sz val="16"/>
      <name val="AngsanaUPC"/>
      <family val="1"/>
      <charset val="222"/>
    </font>
    <font>
      <b/>
      <sz val="16"/>
      <name val="AngsanaUPC"/>
      <family val="1"/>
      <charset val="1"/>
    </font>
    <font>
      <b/>
      <sz val="16"/>
      <color rgb="FF000000"/>
      <name val="AngsanaUPC"/>
      <family val="1"/>
      <charset val="1"/>
    </font>
    <font>
      <sz val="16"/>
      <name val="AngsanaUPC"/>
      <family val="1"/>
      <charset val="1"/>
    </font>
    <font>
      <sz val="16"/>
      <color rgb="FF000000"/>
      <name val="AngsanaUPC"/>
      <family val="1"/>
      <charset val="1"/>
    </font>
    <font>
      <b/>
      <sz val="16"/>
      <color theme="1"/>
      <name val="AngsanaUPC"/>
      <family val="1"/>
      <charset val="1"/>
    </font>
    <font>
      <sz val="14"/>
      <color theme="1"/>
      <name val="AngsanaUPC"/>
      <family val="1"/>
    </font>
    <font>
      <sz val="14"/>
      <color rgb="FFED0000"/>
      <name val="AngsanaUPC"/>
      <family val="1"/>
    </font>
    <font>
      <b/>
      <sz val="14"/>
      <color theme="4" tint="-0.499984740745262"/>
      <name val="Cordia New"/>
      <family val="2"/>
      <charset val="222"/>
    </font>
    <font>
      <b/>
      <sz val="14"/>
      <name val="Cordia New"/>
      <family val="2"/>
      <charset val="222"/>
    </font>
  </fonts>
  <fills count="4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70C0"/>
        <bgColor rgb="FF0070C0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3C78D8"/>
        <bgColor rgb="FF3C78D8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rgb="FF9FC5E8"/>
        <bgColor rgb="FF9FC5E8"/>
      </patternFill>
    </fill>
    <fill>
      <patternFill patternType="solid">
        <fgColor rgb="FFCC4125"/>
        <bgColor rgb="FFCC4125"/>
      </patternFill>
    </fill>
    <fill>
      <patternFill patternType="solid">
        <fgColor rgb="FF0000FF"/>
        <bgColor rgb="FF0000FF"/>
      </patternFill>
    </fill>
    <fill>
      <patternFill patternType="solid">
        <fgColor rgb="FFF1C232"/>
        <bgColor rgb="FFF1C232"/>
      </patternFill>
    </fill>
    <fill>
      <patternFill patternType="solid">
        <fgColor rgb="FF38761D"/>
        <bgColor rgb="FF38761D"/>
      </patternFill>
    </fill>
    <fill>
      <patternFill patternType="solid">
        <fgColor rgb="FFC27BA0"/>
        <bgColor rgb="FFC27BA0"/>
      </patternFill>
    </fill>
    <fill>
      <patternFill patternType="solid">
        <fgColor theme="7"/>
        <bgColor theme="7"/>
      </patternFill>
    </fill>
    <fill>
      <patternFill patternType="solid">
        <fgColor rgb="FF1155CC"/>
        <bgColor rgb="FF1155CC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F4CC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D9D9D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rgb="FF0070C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  <fill>
      <patternFill patternType="solid">
        <fgColor theme="4" tint="0.59999389629810485"/>
        <bgColor rgb="FFF8CBAD"/>
      </patternFill>
    </fill>
    <fill>
      <patternFill patternType="solid">
        <fgColor theme="4" tint="0.59999389629810485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</fills>
  <borders count="15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ck">
        <color rgb="FF0000FF"/>
      </bottom>
      <diagonal/>
    </border>
    <border>
      <left/>
      <right style="thin">
        <color rgb="FF000000"/>
      </right>
      <top/>
      <bottom style="thick">
        <color rgb="FF0000FF"/>
      </bottom>
      <diagonal/>
    </border>
    <border>
      <left/>
      <right/>
      <top/>
      <bottom style="thick">
        <color rgb="FF0000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FF"/>
      </bottom>
      <diagonal/>
    </border>
    <border>
      <left/>
      <right style="thin">
        <color rgb="FF000000"/>
      </right>
      <top/>
      <bottom style="medium">
        <color rgb="FF0000FF"/>
      </bottom>
      <diagonal/>
    </border>
    <border>
      <left/>
      <right/>
      <top/>
      <bottom style="medium">
        <color rgb="FF0000F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43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42" fillId="0" borderId="0"/>
    <xf numFmtId="43" fontId="4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9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2" fontId="2" fillId="0" borderId="2" xfId="0" applyNumberFormat="1" applyFont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0" borderId="5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5" fillId="0" borderId="0" xfId="0" applyFont="1" applyAlignment="1">
      <alignment horizontal="center"/>
    </xf>
    <xf numFmtId="4" fontId="6" fillId="0" borderId="0" xfId="0" applyNumberFormat="1" applyFont="1" applyAlignment="1">
      <alignment horizontal="right"/>
    </xf>
    <xf numFmtId="0" fontId="10" fillId="0" borderId="10" xfId="0" applyFont="1" applyBorder="1" applyAlignment="1">
      <alignment horizontal="center"/>
    </xf>
    <xf numFmtId="0" fontId="10" fillId="0" borderId="10" xfId="0" applyFont="1" applyBorder="1" applyAlignment="1">
      <alignment horizontal="left"/>
    </xf>
    <xf numFmtId="4" fontId="10" fillId="0" borderId="10" xfId="0" applyNumberFormat="1" applyFont="1" applyBorder="1" applyAlignment="1">
      <alignment horizontal="right"/>
    </xf>
    <xf numFmtId="0" fontId="11" fillId="0" borderId="10" xfId="0" applyFont="1" applyBorder="1" applyAlignment="1">
      <alignment horizontal="right"/>
    </xf>
    <xf numFmtId="4" fontId="11" fillId="0" borderId="10" xfId="0" applyNumberFormat="1" applyFont="1" applyBorder="1" applyAlignment="1">
      <alignment horizontal="right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4" fontId="12" fillId="0" borderId="10" xfId="0" applyNumberFormat="1" applyFont="1" applyBorder="1" applyAlignment="1">
      <alignment horizontal="right"/>
    </xf>
    <xf numFmtId="0" fontId="13" fillId="0" borderId="0" xfId="0" applyFont="1"/>
    <xf numFmtId="0" fontId="11" fillId="0" borderId="10" xfId="0" applyFont="1" applyBorder="1" applyAlignment="1">
      <alignment horizontal="center"/>
    </xf>
    <xf numFmtId="0" fontId="11" fillId="0" borderId="10" xfId="0" applyFont="1" applyBorder="1" applyAlignment="1">
      <alignment horizontal="left"/>
    </xf>
    <xf numFmtId="0" fontId="14" fillId="0" borderId="0" xfId="0" applyFont="1"/>
    <xf numFmtId="2" fontId="12" fillId="0" borderId="10" xfId="0" applyNumberFormat="1" applyFont="1" applyBorder="1" applyAlignment="1">
      <alignment horizontal="right"/>
    </xf>
    <xf numFmtId="0" fontId="10" fillId="0" borderId="10" xfId="0" applyFont="1" applyBorder="1" applyAlignment="1">
      <alignment horizontal="right"/>
    </xf>
    <xf numFmtId="0" fontId="15" fillId="0" borderId="0" xfId="0" applyFont="1"/>
    <xf numFmtId="0" fontId="2" fillId="0" borderId="0" xfId="0" applyFont="1" applyAlignment="1">
      <alignment horizontal="right"/>
    </xf>
    <xf numFmtId="4" fontId="16" fillId="0" borderId="10" xfId="0" applyNumberFormat="1" applyFont="1" applyBorder="1" applyAlignment="1">
      <alignment horizontal="right"/>
    </xf>
    <xf numFmtId="4" fontId="17" fillId="0" borderId="10" xfId="0" applyNumberFormat="1" applyFont="1" applyBorder="1" applyAlignment="1">
      <alignment horizontal="right"/>
    </xf>
    <xf numFmtId="4" fontId="18" fillId="0" borderId="10" xfId="0" applyNumberFormat="1" applyFont="1" applyBorder="1" applyAlignment="1">
      <alignment horizontal="right"/>
    </xf>
    <xf numFmtId="4" fontId="10" fillId="0" borderId="10" xfId="0" applyNumberFormat="1" applyFont="1" applyBorder="1" applyAlignment="1">
      <alignment horizontal="center"/>
    </xf>
    <xf numFmtId="3" fontId="10" fillId="0" borderId="10" xfId="0" applyNumberFormat="1" applyFont="1" applyBorder="1" applyAlignment="1">
      <alignment horizontal="center"/>
    </xf>
    <xf numFmtId="3" fontId="19" fillId="0" borderId="10" xfId="0" applyNumberFormat="1" applyFont="1" applyBorder="1" applyAlignment="1">
      <alignment horizontal="center"/>
    </xf>
    <xf numFmtId="0" fontId="12" fillId="2" borderId="10" xfId="0" applyFont="1" applyFill="1" applyBorder="1" applyAlignment="1">
      <alignment horizontal="left"/>
    </xf>
    <xf numFmtId="3" fontId="20" fillId="2" borderId="10" xfId="0" applyNumberFormat="1" applyFont="1" applyFill="1" applyBorder="1" applyAlignment="1">
      <alignment horizontal="center"/>
    </xf>
    <xf numFmtId="4" fontId="12" fillId="2" borderId="10" xfId="0" applyNumberFormat="1" applyFont="1" applyFill="1" applyBorder="1" applyAlignment="1">
      <alignment horizontal="right"/>
    </xf>
    <xf numFmtId="3" fontId="20" fillId="0" borderId="10" xfId="0" applyNumberFormat="1" applyFont="1" applyBorder="1" applyAlignment="1">
      <alignment horizontal="center"/>
    </xf>
    <xf numFmtId="2" fontId="9" fillId="0" borderId="0" xfId="0" applyNumberFormat="1" applyFont="1" applyAlignment="1">
      <alignment horizontal="right"/>
    </xf>
    <xf numFmtId="0" fontId="9" fillId="0" borderId="0" xfId="0" applyFont="1"/>
    <xf numFmtId="0" fontId="13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4" fontId="8" fillId="0" borderId="10" xfId="0" applyNumberFormat="1" applyFont="1" applyBorder="1" applyAlignment="1">
      <alignment horizontal="right"/>
    </xf>
    <xf numFmtId="0" fontId="14" fillId="0" borderId="10" xfId="0" applyFont="1" applyBorder="1" applyAlignment="1">
      <alignment horizontal="center"/>
    </xf>
    <xf numFmtId="0" fontId="21" fillId="0" borderId="10" xfId="0" applyFont="1" applyBorder="1"/>
    <xf numFmtId="2" fontId="13" fillId="0" borderId="10" xfId="0" applyNumberFormat="1" applyFont="1" applyBorder="1"/>
    <xf numFmtId="0" fontId="14" fillId="0" borderId="10" xfId="0" applyFont="1" applyBorder="1"/>
    <xf numFmtId="0" fontId="12" fillId="0" borderId="10" xfId="0" applyFont="1" applyBorder="1" applyAlignment="1">
      <alignment horizontal="right"/>
    </xf>
    <xf numFmtId="0" fontId="13" fillId="0" borderId="10" xfId="0" applyFont="1" applyBorder="1"/>
    <xf numFmtId="0" fontId="8" fillId="0" borderId="10" xfId="0" applyFont="1" applyBorder="1" applyAlignment="1">
      <alignment horizontal="right"/>
    </xf>
    <xf numFmtId="0" fontId="22" fillId="0" borderId="10" xfId="0" applyFont="1" applyBorder="1" applyAlignment="1">
      <alignment horizontal="center"/>
    </xf>
    <xf numFmtId="0" fontId="22" fillId="0" borderId="10" xfId="0" applyFont="1" applyBorder="1"/>
    <xf numFmtId="4" fontId="22" fillId="0" borderId="10" xfId="0" applyNumberFormat="1" applyFont="1" applyBorder="1" applyAlignment="1">
      <alignment horizontal="right"/>
    </xf>
    <xf numFmtId="0" fontId="23" fillId="0" borderId="10" xfId="0" applyFont="1" applyBorder="1"/>
    <xf numFmtId="0" fontId="2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4" fontId="10" fillId="0" borderId="0" xfId="0" applyNumberFormat="1" applyFont="1" applyAlignment="1">
      <alignment horizontal="right"/>
    </xf>
    <xf numFmtId="0" fontId="12" fillId="2" borderId="10" xfId="0" applyFont="1" applyFill="1" applyBorder="1" applyAlignment="1">
      <alignment horizontal="center"/>
    </xf>
    <xf numFmtId="0" fontId="22" fillId="0" borderId="0" xfId="0" applyFont="1"/>
    <xf numFmtId="0" fontId="10" fillId="0" borderId="10" xfId="0" applyFont="1" applyBorder="1"/>
    <xf numFmtId="2" fontId="10" fillId="0" borderId="10" xfId="0" applyNumberFormat="1" applyFont="1" applyBorder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right"/>
    </xf>
    <xf numFmtId="4" fontId="25" fillId="0" borderId="10" xfId="0" applyNumberFormat="1" applyFont="1" applyBorder="1" applyAlignment="1">
      <alignment horizontal="right"/>
    </xf>
    <xf numFmtId="4" fontId="26" fillId="0" borderId="10" xfId="0" applyNumberFormat="1" applyFont="1" applyBorder="1" applyAlignment="1">
      <alignment horizontal="right"/>
    </xf>
    <xf numFmtId="4" fontId="27" fillId="0" borderId="10" xfId="0" applyNumberFormat="1" applyFont="1" applyBorder="1" applyAlignment="1">
      <alignment horizontal="right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4" fontId="10" fillId="0" borderId="0" xfId="0" applyNumberFormat="1" applyFont="1" applyAlignment="1">
      <alignment horizontal="center"/>
    </xf>
    <xf numFmtId="2" fontId="24" fillId="0" borderId="0" xfId="0" applyNumberFormat="1" applyFont="1" applyAlignment="1">
      <alignment horizontal="right"/>
    </xf>
    <xf numFmtId="0" fontId="24" fillId="0" borderId="0" xfId="0" applyFont="1"/>
    <xf numFmtId="4" fontId="28" fillId="0" borderId="0" xfId="0" applyNumberFormat="1" applyFont="1" applyAlignment="1">
      <alignment horizontal="right"/>
    </xf>
    <xf numFmtId="0" fontId="29" fillId="0" borderId="0" xfId="0" applyFont="1"/>
    <xf numFmtId="0" fontId="30" fillId="0" borderId="0" xfId="0" applyFont="1" applyAlignment="1">
      <alignment horizontal="right"/>
    </xf>
    <xf numFmtId="0" fontId="31" fillId="3" borderId="10" xfId="0" applyFont="1" applyFill="1" applyBorder="1" applyAlignment="1">
      <alignment horizontal="center"/>
    </xf>
    <xf numFmtId="0" fontId="31" fillId="3" borderId="11" xfId="0" applyFont="1" applyFill="1" applyBorder="1" applyAlignment="1">
      <alignment horizontal="center"/>
    </xf>
    <xf numFmtId="0" fontId="29" fillId="0" borderId="0" xfId="0" applyFont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4" borderId="5" xfId="0" applyFont="1" applyFill="1" applyBorder="1"/>
    <xf numFmtId="0" fontId="10" fillId="4" borderId="5" xfId="0" applyFont="1" applyFill="1" applyBorder="1" applyAlignment="1">
      <alignment horizontal="right"/>
    </xf>
    <xf numFmtId="0" fontId="32" fillId="4" borderId="5" xfId="0" applyFont="1" applyFill="1" applyBorder="1" applyAlignment="1">
      <alignment horizontal="right"/>
    </xf>
    <xf numFmtId="4" fontId="32" fillId="0" borderId="5" xfId="0" applyNumberFormat="1" applyFont="1" applyBorder="1" applyAlignment="1">
      <alignment horizontal="right"/>
    </xf>
    <xf numFmtId="0" fontId="10" fillId="5" borderId="5" xfId="0" applyFont="1" applyFill="1" applyBorder="1"/>
    <xf numFmtId="0" fontId="32" fillId="0" borderId="5" xfId="0" applyFont="1" applyBorder="1"/>
    <xf numFmtId="0" fontId="10" fillId="0" borderId="5" xfId="0" applyFont="1" applyBorder="1"/>
    <xf numFmtId="0" fontId="32" fillId="4" borderId="5" xfId="0" applyFont="1" applyFill="1" applyBorder="1"/>
    <xf numFmtId="0" fontId="10" fillId="0" borderId="5" xfId="0" applyFont="1" applyBorder="1" applyAlignment="1">
      <alignment horizontal="right"/>
    </xf>
    <xf numFmtId="0" fontId="22" fillId="4" borderId="5" xfId="0" applyFont="1" applyFill="1" applyBorder="1" applyAlignment="1">
      <alignment horizontal="right"/>
    </xf>
    <xf numFmtId="0" fontId="22" fillId="4" borderId="5" xfId="0" applyFont="1" applyFill="1" applyBorder="1"/>
    <xf numFmtId="0" fontId="22" fillId="0" borderId="5" xfId="0" applyFont="1" applyBorder="1"/>
    <xf numFmtId="4" fontId="32" fillId="0" borderId="5" xfId="0" applyNumberFormat="1" applyFont="1" applyBorder="1"/>
    <xf numFmtId="0" fontId="11" fillId="0" borderId="0" xfId="0" applyFont="1" applyAlignment="1">
      <alignment horizontal="right"/>
    </xf>
    <xf numFmtId="0" fontId="29" fillId="0" borderId="0" xfId="0" applyFont="1" applyAlignment="1">
      <alignment horizontal="right"/>
    </xf>
    <xf numFmtId="4" fontId="32" fillId="0" borderId="0" xfId="0" applyNumberFormat="1" applyFont="1" applyAlignment="1">
      <alignment horizontal="right"/>
    </xf>
    <xf numFmtId="2" fontId="11" fillId="0" borderId="0" xfId="0" applyNumberFormat="1" applyFont="1" applyAlignment="1">
      <alignment horizontal="right"/>
    </xf>
    <xf numFmtId="4" fontId="11" fillId="0" borderId="0" xfId="0" applyNumberFormat="1" applyFont="1" applyAlignment="1">
      <alignment horizontal="right"/>
    </xf>
    <xf numFmtId="4" fontId="22" fillId="0" borderId="0" xfId="0" applyNumberFormat="1" applyFont="1" applyAlignment="1">
      <alignment horizontal="right"/>
    </xf>
    <xf numFmtId="0" fontId="33" fillId="6" borderId="0" xfId="0" applyFont="1" applyFill="1" applyAlignment="1">
      <alignment horizontal="center" vertical="center"/>
    </xf>
    <xf numFmtId="0" fontId="33" fillId="6" borderId="0" xfId="0" applyFont="1" applyFill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187" fontId="29" fillId="0" borderId="0" xfId="0" applyNumberFormat="1" applyFont="1" applyAlignment="1">
      <alignment horizontal="center"/>
    </xf>
    <xf numFmtId="4" fontId="29" fillId="0" borderId="0" xfId="0" applyNumberFormat="1" applyFont="1"/>
    <xf numFmtId="4" fontId="35" fillId="0" borderId="0" xfId="0" applyNumberFormat="1" applyFont="1"/>
    <xf numFmtId="0" fontId="29" fillId="0" borderId="13" xfId="0" applyFont="1" applyBorder="1" applyAlignment="1">
      <alignment horizontal="center"/>
    </xf>
    <xf numFmtId="0" fontId="29" fillId="0" borderId="13" xfId="0" applyFont="1" applyBorder="1"/>
    <xf numFmtId="4" fontId="35" fillId="0" borderId="13" xfId="0" applyNumberFormat="1" applyFont="1" applyBorder="1"/>
    <xf numFmtId="0" fontId="21" fillId="0" borderId="0" xfId="0" applyFont="1"/>
    <xf numFmtId="0" fontId="36" fillId="8" borderId="0" xfId="0" applyFont="1" applyFill="1" applyAlignment="1">
      <alignment horizontal="center"/>
    </xf>
    <xf numFmtId="0" fontId="37" fillId="8" borderId="0" xfId="0" applyFont="1" applyFill="1" applyAlignment="1">
      <alignment horizontal="center"/>
    </xf>
    <xf numFmtId="0" fontId="37" fillId="8" borderId="0" xfId="0" applyFont="1" applyFill="1"/>
    <xf numFmtId="0" fontId="37" fillId="0" borderId="0" xfId="0" applyFont="1"/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8" fillId="0" borderId="0" xfId="0" applyFont="1" applyAlignment="1">
      <alignment vertical="center"/>
    </xf>
    <xf numFmtId="4" fontId="37" fillId="0" borderId="10" xfId="0" applyNumberFormat="1" applyFont="1" applyBorder="1" applyAlignment="1">
      <alignment horizontal="right"/>
    </xf>
    <xf numFmtId="4" fontId="37" fillId="0" borderId="10" xfId="0" applyNumberFormat="1" applyFont="1" applyBorder="1"/>
    <xf numFmtId="0" fontId="37" fillId="0" borderId="10" xfId="0" applyFont="1" applyBorder="1"/>
    <xf numFmtId="4" fontId="40" fillId="0" borderId="10" xfId="0" applyNumberFormat="1" applyFont="1" applyBorder="1"/>
    <xf numFmtId="4" fontId="41" fillId="0" borderId="10" xfId="0" applyNumberFormat="1" applyFont="1" applyBorder="1" applyAlignment="1">
      <alignment horizontal="right"/>
    </xf>
    <xf numFmtId="3" fontId="37" fillId="0" borderId="10" xfId="0" applyNumberFormat="1" applyFont="1" applyBorder="1"/>
    <xf numFmtId="0" fontId="39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/>
    </xf>
    <xf numFmtId="4" fontId="37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0" fontId="36" fillId="9" borderId="0" xfId="0" applyFont="1" applyFill="1" applyAlignment="1">
      <alignment horizontal="center"/>
    </xf>
    <xf numFmtId="4" fontId="37" fillId="9" borderId="0" xfId="0" applyNumberFormat="1" applyFont="1" applyFill="1" applyAlignment="1">
      <alignment horizontal="center"/>
    </xf>
    <xf numFmtId="0" fontId="37" fillId="9" borderId="0" xfId="0" applyFont="1" applyFill="1" applyAlignment="1">
      <alignment horizontal="center"/>
    </xf>
    <xf numFmtId="0" fontId="39" fillId="0" borderId="0" xfId="0" applyFont="1" applyAlignment="1">
      <alignment horizontal="center"/>
    </xf>
    <xf numFmtId="0" fontId="36" fillId="9" borderId="10" xfId="0" applyFont="1" applyFill="1" applyBorder="1" applyAlignment="1">
      <alignment horizontal="center"/>
    </xf>
    <xf numFmtId="4" fontId="41" fillId="0" borderId="10" xfId="0" applyNumberFormat="1" applyFont="1" applyBorder="1"/>
    <xf numFmtId="0" fontId="36" fillId="10" borderId="0" xfId="0" applyFont="1" applyFill="1" applyAlignment="1">
      <alignment horizontal="center"/>
    </xf>
    <xf numFmtId="4" fontId="37" fillId="10" borderId="0" xfId="0" applyNumberFormat="1" applyFont="1" applyFill="1" applyAlignment="1">
      <alignment horizontal="center"/>
    </xf>
    <xf numFmtId="0" fontId="37" fillId="10" borderId="0" xfId="0" applyFont="1" applyFill="1" applyAlignment="1">
      <alignment horizontal="center"/>
    </xf>
    <xf numFmtId="0" fontId="36" fillId="11" borderId="0" xfId="0" applyFont="1" applyFill="1" applyAlignment="1">
      <alignment horizontal="center"/>
    </xf>
    <xf numFmtId="4" fontId="37" fillId="11" borderId="0" xfId="0" applyNumberFormat="1" applyFont="1" applyFill="1" applyAlignment="1">
      <alignment horizontal="center"/>
    </xf>
    <xf numFmtId="0" fontId="37" fillId="11" borderId="0" xfId="0" applyFont="1" applyFill="1" applyAlignment="1">
      <alignment horizontal="center"/>
    </xf>
    <xf numFmtId="0" fontId="36" fillId="12" borderId="0" xfId="0" applyFont="1" applyFill="1" applyAlignment="1">
      <alignment horizontal="center"/>
    </xf>
    <xf numFmtId="4" fontId="37" fillId="12" borderId="0" xfId="0" applyNumberFormat="1" applyFont="1" applyFill="1" applyAlignment="1">
      <alignment horizontal="center"/>
    </xf>
    <xf numFmtId="0" fontId="37" fillId="12" borderId="0" xfId="0" applyFont="1" applyFill="1" applyAlignment="1">
      <alignment horizontal="center"/>
    </xf>
    <xf numFmtId="0" fontId="36" fillId="13" borderId="0" xfId="0" applyFont="1" applyFill="1" applyAlignment="1">
      <alignment horizontal="center"/>
    </xf>
    <xf numFmtId="4" fontId="37" fillId="13" borderId="0" xfId="0" applyNumberFormat="1" applyFont="1" applyFill="1" applyAlignment="1">
      <alignment horizontal="center"/>
    </xf>
    <xf numFmtId="0" fontId="37" fillId="13" borderId="0" xfId="0" applyFont="1" applyFill="1" applyAlignment="1">
      <alignment horizontal="center"/>
    </xf>
    <xf numFmtId="0" fontId="36" fillId="14" borderId="0" xfId="0" applyFont="1" applyFill="1" applyAlignment="1">
      <alignment horizontal="center"/>
    </xf>
    <xf numFmtId="4" fontId="37" fillId="14" borderId="0" xfId="0" applyNumberFormat="1" applyFont="1" applyFill="1" applyAlignment="1">
      <alignment horizontal="center"/>
    </xf>
    <xf numFmtId="0" fontId="37" fillId="14" borderId="0" xfId="0" applyFont="1" applyFill="1" applyAlignment="1">
      <alignment horizontal="center"/>
    </xf>
    <xf numFmtId="0" fontId="36" fillId="15" borderId="0" xfId="0" applyFont="1" applyFill="1" applyAlignment="1">
      <alignment horizontal="center"/>
    </xf>
    <xf numFmtId="4" fontId="37" fillId="15" borderId="0" xfId="0" applyNumberFormat="1" applyFont="1" applyFill="1" applyAlignment="1">
      <alignment horizontal="center"/>
    </xf>
    <xf numFmtId="0" fontId="37" fillId="15" borderId="0" xfId="0" applyFont="1" applyFill="1" applyAlignment="1">
      <alignment horizontal="center"/>
    </xf>
    <xf numFmtId="0" fontId="36" fillId="16" borderId="0" xfId="0" applyFont="1" applyFill="1" applyAlignment="1">
      <alignment horizontal="center"/>
    </xf>
    <xf numFmtId="4" fontId="37" fillId="16" borderId="0" xfId="0" applyNumberFormat="1" applyFont="1" applyFill="1" applyAlignment="1">
      <alignment horizontal="center"/>
    </xf>
    <xf numFmtId="0" fontId="37" fillId="16" borderId="0" xfId="0" applyFont="1" applyFill="1" applyAlignment="1">
      <alignment horizontal="center"/>
    </xf>
    <xf numFmtId="0" fontId="31" fillId="18" borderId="22" xfId="0" applyFont="1" applyFill="1" applyBorder="1" applyAlignment="1">
      <alignment horizontal="center" vertical="center"/>
    </xf>
    <xf numFmtId="0" fontId="31" fillId="10" borderId="22" xfId="0" applyFont="1" applyFill="1" applyBorder="1" applyAlignment="1">
      <alignment horizontal="center" vertical="center"/>
    </xf>
    <xf numFmtId="0" fontId="31" fillId="18" borderId="25" xfId="0" applyFont="1" applyFill="1" applyBorder="1" applyAlignment="1">
      <alignment horizontal="center"/>
    </xf>
    <xf numFmtId="0" fontId="31" fillId="18" borderId="26" xfId="0" applyFont="1" applyFill="1" applyBorder="1" applyAlignment="1">
      <alignment horizontal="center" vertical="center"/>
    </xf>
    <xf numFmtId="0" fontId="31" fillId="18" borderId="25" xfId="0" applyFont="1" applyFill="1" applyBorder="1" applyAlignment="1">
      <alignment horizontal="center" vertical="center"/>
    </xf>
    <xf numFmtId="0" fontId="31" fillId="18" borderId="22" xfId="0" applyFont="1" applyFill="1" applyBorder="1" applyAlignment="1">
      <alignment horizontal="center"/>
    </xf>
    <xf numFmtId="0" fontId="31" fillId="18" borderId="26" xfId="0" applyFont="1" applyFill="1" applyBorder="1" applyAlignment="1">
      <alignment horizontal="center"/>
    </xf>
    <xf numFmtId="0" fontId="31" fillId="10" borderId="25" xfId="0" applyFont="1" applyFill="1" applyBorder="1" applyAlignment="1">
      <alignment horizontal="center"/>
    </xf>
    <xf numFmtId="0" fontId="31" fillId="10" borderId="26" xfId="0" applyFont="1" applyFill="1" applyBorder="1" applyAlignment="1">
      <alignment horizontal="center" vertical="center"/>
    </xf>
    <xf numFmtId="0" fontId="31" fillId="10" borderId="25" xfId="0" applyFont="1" applyFill="1" applyBorder="1" applyAlignment="1">
      <alignment horizontal="center" vertical="center"/>
    </xf>
    <xf numFmtId="0" fontId="31" fillId="10" borderId="22" xfId="0" applyFont="1" applyFill="1" applyBorder="1" applyAlignment="1">
      <alignment horizontal="center"/>
    </xf>
    <xf numFmtId="0" fontId="31" fillId="10" borderId="26" xfId="0" applyFont="1" applyFill="1" applyBorder="1" applyAlignment="1">
      <alignment horizontal="center"/>
    </xf>
    <xf numFmtId="0" fontId="10" fillId="4" borderId="28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left"/>
    </xf>
    <xf numFmtId="0" fontId="10" fillId="4" borderId="3" xfId="0" applyFont="1" applyFill="1" applyBorder="1" applyAlignment="1">
      <alignment horizontal="left"/>
    </xf>
    <xf numFmtId="0" fontId="10" fillId="4" borderId="1" xfId="0" applyFont="1" applyFill="1" applyBorder="1" applyAlignment="1">
      <alignment horizontal="left"/>
    </xf>
    <xf numFmtId="0" fontId="10" fillId="4" borderId="19" xfId="0" applyFont="1" applyFill="1" applyBorder="1" applyAlignment="1">
      <alignment horizontal="left"/>
    </xf>
    <xf numFmtId="0" fontId="10" fillId="4" borderId="28" xfId="0" applyFont="1" applyFill="1" applyBorder="1" applyAlignment="1">
      <alignment horizontal="left"/>
    </xf>
    <xf numFmtId="0" fontId="10" fillId="4" borderId="2" xfId="0" applyFont="1" applyFill="1" applyBorder="1" applyAlignment="1">
      <alignment horizontal="right"/>
    </xf>
    <xf numFmtId="0" fontId="10" fillId="4" borderId="3" xfId="0" applyFont="1" applyFill="1" applyBorder="1" applyAlignment="1">
      <alignment horizontal="right"/>
    </xf>
    <xf numFmtId="0" fontId="10" fillId="5" borderId="28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left"/>
    </xf>
    <xf numFmtId="0" fontId="10" fillId="5" borderId="3" xfId="0" applyFont="1" applyFill="1" applyBorder="1" applyAlignment="1">
      <alignment horizontal="left"/>
    </xf>
    <xf numFmtId="0" fontId="10" fillId="5" borderId="1" xfId="0" applyFont="1" applyFill="1" applyBorder="1" applyAlignment="1">
      <alignment horizontal="left"/>
    </xf>
    <xf numFmtId="0" fontId="10" fillId="5" borderId="19" xfId="0" applyFont="1" applyFill="1" applyBorder="1" applyAlignment="1">
      <alignment horizontal="left"/>
    </xf>
    <xf numFmtId="0" fontId="10" fillId="5" borderId="28" xfId="0" applyFont="1" applyFill="1" applyBorder="1" applyAlignment="1">
      <alignment horizontal="left"/>
    </xf>
    <xf numFmtId="0" fontId="10" fillId="5" borderId="2" xfId="0" applyFont="1" applyFill="1" applyBorder="1" applyAlignment="1">
      <alignment horizontal="right"/>
    </xf>
    <xf numFmtId="0" fontId="10" fillId="5" borderId="3" xfId="0" applyFont="1" applyFill="1" applyBorder="1" applyAlignment="1">
      <alignment horizontal="right"/>
    </xf>
    <xf numFmtId="0" fontId="32" fillId="0" borderId="18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32" fillId="0" borderId="2" xfId="0" applyFont="1" applyBorder="1" applyAlignment="1">
      <alignment horizontal="center"/>
    </xf>
    <xf numFmtId="0" fontId="32" fillId="0" borderId="3" xfId="0" applyFont="1" applyBorder="1" applyAlignment="1">
      <alignment horizontal="center"/>
    </xf>
    <xf numFmtId="0" fontId="32" fillId="0" borderId="28" xfId="0" applyFont="1" applyBorder="1" applyAlignment="1">
      <alignment horizontal="center"/>
    </xf>
    <xf numFmtId="0" fontId="32" fillId="0" borderId="2" xfId="0" applyFont="1" applyBorder="1" applyAlignment="1">
      <alignment horizontal="left"/>
    </xf>
    <xf numFmtId="0" fontId="11" fillId="4" borderId="24" xfId="0" applyFont="1" applyFill="1" applyBorder="1" applyAlignment="1">
      <alignment horizontal="center"/>
    </xf>
    <xf numFmtId="0" fontId="32" fillId="4" borderId="4" xfId="0" applyFont="1" applyFill="1" applyBorder="1" applyAlignment="1">
      <alignment horizontal="center"/>
    </xf>
    <xf numFmtId="0" fontId="32" fillId="4" borderId="5" xfId="0" applyFont="1" applyFill="1" applyBorder="1" applyAlignment="1">
      <alignment horizontal="left"/>
    </xf>
    <xf numFmtId="0" fontId="32" fillId="4" borderId="6" xfId="0" applyFont="1" applyFill="1" applyBorder="1" applyAlignment="1">
      <alignment horizontal="left"/>
    </xf>
    <xf numFmtId="0" fontId="32" fillId="4" borderId="4" xfId="0" applyFont="1" applyFill="1" applyBorder="1" applyAlignment="1">
      <alignment horizontal="left"/>
    </xf>
    <xf numFmtId="0" fontId="32" fillId="4" borderId="23" xfId="0" applyFont="1" applyFill="1" applyBorder="1" applyAlignment="1">
      <alignment horizontal="left"/>
    </xf>
    <xf numFmtId="0" fontId="32" fillId="4" borderId="24" xfId="0" applyFont="1" applyFill="1" applyBorder="1" applyAlignment="1">
      <alignment horizontal="left"/>
    </xf>
    <xf numFmtId="0" fontId="32" fillId="4" borderId="6" xfId="0" applyFont="1" applyFill="1" applyBorder="1" applyAlignment="1">
      <alignment horizontal="right"/>
    </xf>
    <xf numFmtId="0" fontId="11" fillId="5" borderId="24" xfId="0" applyFont="1" applyFill="1" applyBorder="1" applyAlignment="1">
      <alignment horizontal="center"/>
    </xf>
    <xf numFmtId="0" fontId="32" fillId="5" borderId="4" xfId="0" applyFont="1" applyFill="1" applyBorder="1" applyAlignment="1">
      <alignment horizontal="center"/>
    </xf>
    <xf numFmtId="0" fontId="32" fillId="5" borderId="5" xfId="0" applyFont="1" applyFill="1" applyBorder="1" applyAlignment="1">
      <alignment horizontal="left"/>
    </xf>
    <xf numFmtId="0" fontId="32" fillId="5" borderId="6" xfId="0" applyFont="1" applyFill="1" applyBorder="1" applyAlignment="1">
      <alignment horizontal="left"/>
    </xf>
    <xf numFmtId="0" fontId="32" fillId="5" borderId="4" xfId="0" applyFont="1" applyFill="1" applyBorder="1" applyAlignment="1">
      <alignment horizontal="left"/>
    </xf>
    <xf numFmtId="0" fontId="32" fillId="5" borderId="23" xfId="0" applyFont="1" applyFill="1" applyBorder="1" applyAlignment="1">
      <alignment horizontal="left"/>
    </xf>
    <xf numFmtId="0" fontId="32" fillId="5" borderId="24" xfId="0" applyFont="1" applyFill="1" applyBorder="1" applyAlignment="1">
      <alignment horizontal="left"/>
    </xf>
    <xf numFmtId="0" fontId="32" fillId="5" borderId="5" xfId="0" applyFont="1" applyFill="1" applyBorder="1" applyAlignment="1">
      <alignment horizontal="right"/>
    </xf>
    <xf numFmtId="0" fontId="32" fillId="5" borderId="6" xfId="0" applyFont="1" applyFill="1" applyBorder="1" applyAlignment="1">
      <alignment horizontal="right"/>
    </xf>
    <xf numFmtId="0" fontId="32" fillId="0" borderId="30" xfId="0" applyFont="1" applyBorder="1" applyAlignment="1">
      <alignment horizontal="center"/>
    </xf>
    <xf numFmtId="0" fontId="32" fillId="0" borderId="4" xfId="0" applyFont="1" applyBorder="1" applyAlignment="1">
      <alignment horizontal="center"/>
    </xf>
    <xf numFmtId="3" fontId="32" fillId="0" borderId="5" xfId="0" applyNumberFormat="1" applyFont="1" applyBorder="1" applyAlignment="1">
      <alignment horizontal="center"/>
    </xf>
    <xf numFmtId="3" fontId="32" fillId="0" borderId="6" xfId="0" applyNumberFormat="1" applyFont="1" applyBorder="1" applyAlignment="1">
      <alignment horizontal="center"/>
    </xf>
    <xf numFmtId="4" fontId="32" fillId="0" borderId="4" xfId="0" applyNumberFormat="1" applyFont="1" applyBorder="1" applyAlignment="1">
      <alignment horizontal="center"/>
    </xf>
    <xf numFmtId="4" fontId="32" fillId="0" borderId="6" xfId="0" applyNumberFormat="1" applyFont="1" applyBorder="1" applyAlignment="1">
      <alignment horizontal="center"/>
    </xf>
    <xf numFmtId="4" fontId="32" fillId="0" borderId="24" xfId="0" applyNumberFormat="1" applyFont="1" applyBorder="1" applyAlignment="1">
      <alignment horizontal="center"/>
    </xf>
    <xf numFmtId="4" fontId="32" fillId="0" borderId="5" xfId="0" applyNumberFormat="1" applyFont="1" applyBorder="1" applyAlignment="1">
      <alignment horizontal="left"/>
    </xf>
    <xf numFmtId="4" fontId="32" fillId="0" borderId="5" xfId="0" applyNumberFormat="1" applyFont="1" applyBorder="1" applyAlignment="1">
      <alignment horizontal="center"/>
    </xf>
    <xf numFmtId="0" fontId="32" fillId="0" borderId="31" xfId="0" applyFont="1" applyBorder="1" applyAlignment="1">
      <alignment horizontal="center"/>
    </xf>
    <xf numFmtId="3" fontId="32" fillId="0" borderId="4" xfId="0" applyNumberFormat="1" applyFont="1" applyBorder="1" applyAlignment="1">
      <alignment horizontal="center"/>
    </xf>
    <xf numFmtId="0" fontId="11" fillId="4" borderId="33" xfId="0" applyFont="1" applyFill="1" applyBorder="1" applyAlignment="1">
      <alignment horizontal="center"/>
    </xf>
    <xf numFmtId="0" fontId="32" fillId="4" borderId="7" xfId="0" applyFont="1" applyFill="1" applyBorder="1" applyAlignment="1">
      <alignment horizontal="center"/>
    </xf>
    <xf numFmtId="0" fontId="32" fillId="4" borderId="8" xfId="0" applyFont="1" applyFill="1" applyBorder="1" applyAlignment="1">
      <alignment horizontal="left"/>
    </xf>
    <xf numFmtId="0" fontId="32" fillId="4" borderId="9" xfId="0" applyFont="1" applyFill="1" applyBorder="1" applyAlignment="1">
      <alignment horizontal="left"/>
    </xf>
    <xf numFmtId="0" fontId="32" fillId="4" borderId="7" xfId="0" applyFont="1" applyFill="1" applyBorder="1" applyAlignment="1">
      <alignment horizontal="left"/>
    </xf>
    <xf numFmtId="0" fontId="32" fillId="4" borderId="13" xfId="0" applyFont="1" applyFill="1" applyBorder="1" applyAlignment="1">
      <alignment horizontal="left"/>
    </xf>
    <xf numFmtId="0" fontId="32" fillId="4" borderId="33" xfId="0" applyFont="1" applyFill="1" applyBorder="1" applyAlignment="1">
      <alignment horizontal="left"/>
    </xf>
    <xf numFmtId="0" fontId="32" fillId="4" borderId="8" xfId="0" applyFont="1" applyFill="1" applyBorder="1" applyAlignment="1">
      <alignment horizontal="right"/>
    </xf>
    <xf numFmtId="0" fontId="32" fillId="4" borderId="9" xfId="0" applyFont="1" applyFill="1" applyBorder="1" applyAlignment="1">
      <alignment horizontal="right"/>
    </xf>
    <xf numFmtId="0" fontId="11" fillId="5" borderId="33" xfId="0" applyFont="1" applyFill="1" applyBorder="1" applyAlignment="1">
      <alignment horizontal="center"/>
    </xf>
    <xf numFmtId="0" fontId="32" fillId="5" borderId="7" xfId="0" applyFont="1" applyFill="1" applyBorder="1" applyAlignment="1">
      <alignment horizontal="center"/>
    </xf>
    <xf numFmtId="0" fontId="32" fillId="5" borderId="8" xfId="0" applyFont="1" applyFill="1" applyBorder="1" applyAlignment="1">
      <alignment horizontal="left"/>
    </xf>
    <xf numFmtId="0" fontId="32" fillId="5" borderId="9" xfId="0" applyFont="1" applyFill="1" applyBorder="1" applyAlignment="1">
      <alignment horizontal="left"/>
    </xf>
    <xf numFmtId="0" fontId="32" fillId="5" borderId="7" xfId="0" applyFont="1" applyFill="1" applyBorder="1" applyAlignment="1">
      <alignment horizontal="left"/>
    </xf>
    <xf numFmtId="0" fontId="32" fillId="5" borderId="13" xfId="0" applyFont="1" applyFill="1" applyBorder="1" applyAlignment="1">
      <alignment horizontal="left"/>
    </xf>
    <xf numFmtId="0" fontId="32" fillId="5" borderId="33" xfId="0" applyFont="1" applyFill="1" applyBorder="1" applyAlignment="1">
      <alignment horizontal="left"/>
    </xf>
    <xf numFmtId="0" fontId="32" fillId="5" borderId="8" xfId="0" applyFont="1" applyFill="1" applyBorder="1" applyAlignment="1">
      <alignment horizontal="right"/>
    </xf>
    <xf numFmtId="0" fontId="32" fillId="5" borderId="9" xfId="0" applyFont="1" applyFill="1" applyBorder="1" applyAlignment="1">
      <alignment horizontal="right"/>
    </xf>
    <xf numFmtId="0" fontId="32" fillId="0" borderId="32" xfId="0" applyFont="1" applyBorder="1" applyAlignment="1">
      <alignment horizontal="center"/>
    </xf>
    <xf numFmtId="4" fontId="32" fillId="0" borderId="34" xfId="0" applyNumberFormat="1" applyFont="1" applyBorder="1" applyAlignment="1">
      <alignment horizontal="center"/>
    </xf>
    <xf numFmtId="4" fontId="32" fillId="0" borderId="8" xfId="0" applyNumberFormat="1" applyFont="1" applyBorder="1" applyAlignment="1">
      <alignment horizontal="center"/>
    </xf>
    <xf numFmtId="3" fontId="32" fillId="0" borderId="9" xfId="0" applyNumberFormat="1" applyFont="1" applyBorder="1" applyAlignment="1">
      <alignment horizontal="center"/>
    </xf>
    <xf numFmtId="3" fontId="32" fillId="0" borderId="7" xfId="0" applyNumberFormat="1" applyFont="1" applyBorder="1" applyAlignment="1">
      <alignment horizontal="center"/>
    </xf>
    <xf numFmtId="4" fontId="32" fillId="0" borderId="9" xfId="0" applyNumberFormat="1" applyFont="1" applyBorder="1" applyAlignment="1">
      <alignment horizontal="center"/>
    </xf>
    <xf numFmtId="4" fontId="32" fillId="0" borderId="33" xfId="0" applyNumberFormat="1" applyFont="1" applyBorder="1" applyAlignment="1">
      <alignment horizontal="center"/>
    </xf>
    <xf numFmtId="4" fontId="32" fillId="0" borderId="8" xfId="0" applyNumberFormat="1" applyFont="1" applyBorder="1" applyAlignment="1">
      <alignment horizontal="left"/>
    </xf>
    <xf numFmtId="0" fontId="10" fillId="0" borderId="2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19" xfId="0" applyFont="1" applyBorder="1" applyAlignment="1">
      <alignment horizontal="left"/>
    </xf>
    <xf numFmtId="0" fontId="10" fillId="0" borderId="28" xfId="0" applyFont="1" applyBorder="1" applyAlignment="1">
      <alignment horizontal="left"/>
    </xf>
    <xf numFmtId="0" fontId="10" fillId="0" borderId="2" xfId="0" applyFont="1" applyBorder="1" applyAlignment="1">
      <alignment horizontal="right"/>
    </xf>
    <xf numFmtId="0" fontId="10" fillId="0" borderId="3" xfId="0" applyFont="1" applyBorder="1" applyAlignment="1">
      <alignment horizontal="right"/>
    </xf>
    <xf numFmtId="0" fontId="32" fillId="0" borderId="2" xfId="0" applyFont="1" applyBorder="1" applyAlignment="1">
      <alignment horizontal="right"/>
    </xf>
    <xf numFmtId="0" fontId="11" fillId="0" borderId="24" xfId="0" applyFont="1" applyBorder="1" applyAlignment="1">
      <alignment horizontal="center"/>
    </xf>
    <xf numFmtId="0" fontId="32" fillId="0" borderId="5" xfId="0" applyFont="1" applyBorder="1" applyAlignment="1">
      <alignment horizontal="left"/>
    </xf>
    <xf numFmtId="0" fontId="32" fillId="0" borderId="6" xfId="0" applyFont="1" applyBorder="1" applyAlignment="1">
      <alignment horizontal="left"/>
    </xf>
    <xf numFmtId="0" fontId="32" fillId="0" borderId="4" xfId="0" applyFont="1" applyBorder="1" applyAlignment="1">
      <alignment horizontal="left"/>
    </xf>
    <xf numFmtId="0" fontId="32" fillId="0" borderId="23" xfId="0" applyFont="1" applyBorder="1" applyAlignment="1">
      <alignment horizontal="left"/>
    </xf>
    <xf numFmtId="0" fontId="32" fillId="0" borderId="24" xfId="0" applyFont="1" applyBorder="1" applyAlignment="1">
      <alignment horizontal="left"/>
    </xf>
    <xf numFmtId="0" fontId="32" fillId="0" borderId="5" xfId="0" applyFont="1" applyBorder="1" applyAlignment="1">
      <alignment horizontal="right"/>
    </xf>
    <xf numFmtId="0" fontId="32" fillId="0" borderId="6" xfId="0" applyFont="1" applyBorder="1" applyAlignment="1">
      <alignment horizontal="right"/>
    </xf>
    <xf numFmtId="0" fontId="11" fillId="0" borderId="33" xfId="0" applyFont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8" xfId="0" applyFont="1" applyBorder="1" applyAlignment="1">
      <alignment horizontal="left"/>
    </xf>
    <xf numFmtId="0" fontId="32" fillId="0" borderId="9" xfId="0" applyFont="1" applyBorder="1" applyAlignment="1">
      <alignment horizontal="left"/>
    </xf>
    <xf numFmtId="0" fontId="32" fillId="0" borderId="7" xfId="0" applyFont="1" applyBorder="1" applyAlignment="1">
      <alignment horizontal="left"/>
    </xf>
    <xf numFmtId="0" fontId="32" fillId="0" borderId="13" xfId="0" applyFont="1" applyBorder="1" applyAlignment="1">
      <alignment horizontal="left"/>
    </xf>
    <xf numFmtId="0" fontId="32" fillId="0" borderId="33" xfId="0" applyFont="1" applyBorder="1" applyAlignment="1">
      <alignment horizontal="left"/>
    </xf>
    <xf numFmtId="0" fontId="32" fillId="0" borderId="8" xfId="0" applyFont="1" applyBorder="1" applyAlignment="1">
      <alignment horizontal="right"/>
    </xf>
    <xf numFmtId="0" fontId="32" fillId="0" borderId="9" xfId="0" applyFont="1" applyBorder="1" applyAlignment="1">
      <alignment horizontal="right"/>
    </xf>
    <xf numFmtId="0" fontId="32" fillId="4" borderId="18" xfId="0" applyFont="1" applyFill="1" applyBorder="1" applyAlignment="1">
      <alignment horizontal="center"/>
    </xf>
    <xf numFmtId="0" fontId="32" fillId="4" borderId="1" xfId="0" applyFont="1" applyFill="1" applyBorder="1" applyAlignment="1">
      <alignment horizontal="center"/>
    </xf>
    <xf numFmtId="0" fontId="32" fillId="4" borderId="2" xfId="0" applyFont="1" applyFill="1" applyBorder="1" applyAlignment="1">
      <alignment horizontal="center"/>
    </xf>
    <xf numFmtId="0" fontId="32" fillId="4" borderId="3" xfId="0" applyFont="1" applyFill="1" applyBorder="1" applyAlignment="1">
      <alignment horizontal="center"/>
    </xf>
    <xf numFmtId="0" fontId="32" fillId="4" borderId="28" xfId="0" applyFont="1" applyFill="1" applyBorder="1" applyAlignment="1">
      <alignment horizontal="center"/>
    </xf>
    <xf numFmtId="0" fontId="32" fillId="4" borderId="2" xfId="0" applyFont="1" applyFill="1" applyBorder="1" applyAlignment="1">
      <alignment horizontal="left"/>
    </xf>
    <xf numFmtId="0" fontId="11" fillId="4" borderId="18" xfId="0" applyFont="1" applyFill="1" applyBorder="1" applyAlignment="1">
      <alignment horizontal="center"/>
    </xf>
    <xf numFmtId="0" fontId="32" fillId="4" borderId="30" xfId="0" applyFont="1" applyFill="1" applyBorder="1" applyAlignment="1">
      <alignment horizontal="center"/>
    </xf>
    <xf numFmtId="3" fontId="32" fillId="4" borderId="5" xfId="0" applyNumberFormat="1" applyFont="1" applyFill="1" applyBorder="1" applyAlignment="1">
      <alignment horizontal="center"/>
    </xf>
    <xf numFmtId="3" fontId="32" fillId="4" borderId="6" xfId="0" applyNumberFormat="1" applyFont="1" applyFill="1" applyBorder="1" applyAlignment="1">
      <alignment horizontal="center"/>
    </xf>
    <xf numFmtId="4" fontId="32" fillId="4" borderId="4" xfId="0" applyNumberFormat="1" applyFont="1" applyFill="1" applyBorder="1" applyAlignment="1">
      <alignment horizontal="center"/>
    </xf>
    <xf numFmtId="4" fontId="32" fillId="4" borderId="6" xfId="0" applyNumberFormat="1" applyFont="1" applyFill="1" applyBorder="1" applyAlignment="1">
      <alignment horizontal="center"/>
    </xf>
    <xf numFmtId="4" fontId="32" fillId="4" borderId="24" xfId="0" applyNumberFormat="1" applyFont="1" applyFill="1" applyBorder="1" applyAlignment="1">
      <alignment horizontal="center"/>
    </xf>
    <xf numFmtId="4" fontId="32" fillId="4" borderId="5" xfId="0" applyNumberFormat="1" applyFont="1" applyFill="1" applyBorder="1" applyAlignment="1">
      <alignment horizontal="left"/>
    </xf>
    <xf numFmtId="4" fontId="32" fillId="4" borderId="5" xfId="0" applyNumberFormat="1" applyFont="1" applyFill="1" applyBorder="1" applyAlignment="1">
      <alignment horizontal="center"/>
    </xf>
    <xf numFmtId="0" fontId="32" fillId="4" borderId="31" xfId="0" applyFont="1" applyFill="1" applyBorder="1" applyAlignment="1">
      <alignment horizontal="center"/>
    </xf>
    <xf numFmtId="3" fontId="32" fillId="4" borderId="4" xfId="0" applyNumberFormat="1" applyFont="1" applyFill="1" applyBorder="1" applyAlignment="1">
      <alignment horizontal="center"/>
    </xf>
    <xf numFmtId="0" fontId="32" fillId="4" borderId="32" xfId="0" applyFont="1" applyFill="1" applyBorder="1" applyAlignment="1">
      <alignment horizontal="center"/>
    </xf>
    <xf numFmtId="4" fontId="32" fillId="4" borderId="34" xfId="0" applyNumberFormat="1" applyFont="1" applyFill="1" applyBorder="1" applyAlignment="1">
      <alignment horizontal="center"/>
    </xf>
    <xf numFmtId="4" fontId="32" fillId="4" borderId="8" xfId="0" applyNumberFormat="1" applyFont="1" applyFill="1" applyBorder="1" applyAlignment="1">
      <alignment horizontal="center"/>
    </xf>
    <xf numFmtId="3" fontId="32" fillId="4" borderId="9" xfId="0" applyNumberFormat="1" applyFont="1" applyFill="1" applyBorder="1" applyAlignment="1">
      <alignment horizontal="center"/>
    </xf>
    <xf numFmtId="3" fontId="32" fillId="4" borderId="7" xfId="0" applyNumberFormat="1" applyFont="1" applyFill="1" applyBorder="1" applyAlignment="1">
      <alignment horizontal="center"/>
    </xf>
    <xf numFmtId="4" fontId="32" fillId="4" borderId="9" xfId="0" applyNumberFormat="1" applyFont="1" applyFill="1" applyBorder="1" applyAlignment="1">
      <alignment horizontal="center"/>
    </xf>
    <xf numFmtId="4" fontId="32" fillId="4" borderId="33" xfId="0" applyNumberFormat="1" applyFont="1" applyFill="1" applyBorder="1" applyAlignment="1">
      <alignment horizontal="center"/>
    </xf>
    <xf numFmtId="4" fontId="32" fillId="4" borderId="8" xfId="0" applyNumberFormat="1" applyFont="1" applyFill="1" applyBorder="1" applyAlignment="1">
      <alignment horizontal="left"/>
    </xf>
    <xf numFmtId="0" fontId="32" fillId="5" borderId="18" xfId="0" applyFont="1" applyFill="1" applyBorder="1" applyAlignment="1">
      <alignment horizontal="center"/>
    </xf>
    <xf numFmtId="0" fontId="32" fillId="5" borderId="1" xfId="0" applyFont="1" applyFill="1" applyBorder="1" applyAlignment="1">
      <alignment horizontal="center"/>
    </xf>
    <xf numFmtId="0" fontId="32" fillId="5" borderId="2" xfId="0" applyFont="1" applyFill="1" applyBorder="1" applyAlignment="1">
      <alignment horizontal="center"/>
    </xf>
    <xf numFmtId="0" fontId="32" fillId="5" borderId="3" xfId="0" applyFont="1" applyFill="1" applyBorder="1" applyAlignment="1">
      <alignment horizontal="center"/>
    </xf>
    <xf numFmtId="0" fontId="32" fillId="5" borderId="28" xfId="0" applyFont="1" applyFill="1" applyBorder="1" applyAlignment="1">
      <alignment horizontal="center"/>
    </xf>
    <xf numFmtId="0" fontId="32" fillId="5" borderId="2" xfId="0" applyFont="1" applyFill="1" applyBorder="1" applyAlignment="1">
      <alignment horizontal="left"/>
    </xf>
    <xf numFmtId="0" fontId="32" fillId="5" borderId="30" xfId="0" applyFont="1" applyFill="1" applyBorder="1" applyAlignment="1">
      <alignment horizontal="center"/>
    </xf>
    <xf numFmtId="3" fontId="32" fillId="5" borderId="5" xfId="0" applyNumberFormat="1" applyFont="1" applyFill="1" applyBorder="1" applyAlignment="1">
      <alignment horizontal="center"/>
    </xf>
    <xf numFmtId="3" fontId="32" fillId="5" borderId="6" xfId="0" applyNumberFormat="1" applyFont="1" applyFill="1" applyBorder="1" applyAlignment="1">
      <alignment horizontal="center"/>
    </xf>
    <xf numFmtId="3" fontId="32" fillId="5" borderId="4" xfId="0" applyNumberFormat="1" applyFont="1" applyFill="1" applyBorder="1" applyAlignment="1">
      <alignment horizontal="center"/>
    </xf>
    <xf numFmtId="4" fontId="32" fillId="5" borderId="6" xfId="0" applyNumberFormat="1" applyFont="1" applyFill="1" applyBorder="1" applyAlignment="1">
      <alignment horizontal="center"/>
    </xf>
    <xf numFmtId="4" fontId="32" fillId="5" borderId="24" xfId="0" applyNumberFormat="1" applyFont="1" applyFill="1" applyBorder="1" applyAlignment="1">
      <alignment horizontal="center"/>
    </xf>
    <xf numFmtId="4" fontId="32" fillId="5" borderId="5" xfId="0" applyNumberFormat="1" applyFont="1" applyFill="1" applyBorder="1" applyAlignment="1">
      <alignment horizontal="left"/>
    </xf>
    <xf numFmtId="4" fontId="32" fillId="5" borderId="5" xfId="0" applyNumberFormat="1" applyFont="1" applyFill="1" applyBorder="1" applyAlignment="1">
      <alignment horizontal="center"/>
    </xf>
    <xf numFmtId="0" fontId="32" fillId="5" borderId="31" xfId="0" applyFont="1" applyFill="1" applyBorder="1" applyAlignment="1">
      <alignment horizontal="center"/>
    </xf>
    <xf numFmtId="0" fontId="32" fillId="5" borderId="32" xfId="0" applyFont="1" applyFill="1" applyBorder="1" applyAlignment="1">
      <alignment horizontal="center"/>
    </xf>
    <xf numFmtId="4" fontId="32" fillId="5" borderId="34" xfId="0" applyNumberFormat="1" applyFont="1" applyFill="1" applyBorder="1" applyAlignment="1">
      <alignment horizontal="center"/>
    </xf>
    <xf numFmtId="4" fontId="32" fillId="5" borderId="8" xfId="0" applyNumberFormat="1" applyFont="1" applyFill="1" applyBorder="1" applyAlignment="1">
      <alignment horizontal="center"/>
    </xf>
    <xf numFmtId="3" fontId="32" fillId="5" borderId="9" xfId="0" applyNumberFormat="1" applyFont="1" applyFill="1" applyBorder="1" applyAlignment="1">
      <alignment horizontal="center"/>
    </xf>
    <xf numFmtId="3" fontId="32" fillId="5" borderId="7" xfId="0" applyNumberFormat="1" applyFont="1" applyFill="1" applyBorder="1" applyAlignment="1">
      <alignment horizontal="center"/>
    </xf>
    <xf numFmtId="4" fontId="32" fillId="5" borderId="9" xfId="0" applyNumberFormat="1" applyFont="1" applyFill="1" applyBorder="1" applyAlignment="1">
      <alignment horizontal="center"/>
    </xf>
    <xf numFmtId="4" fontId="32" fillId="5" borderId="33" xfId="0" applyNumberFormat="1" applyFont="1" applyFill="1" applyBorder="1" applyAlignment="1">
      <alignment horizontal="center"/>
    </xf>
    <xf numFmtId="4" fontId="32" fillId="5" borderId="8" xfId="0" applyNumberFormat="1" applyFont="1" applyFill="1" applyBorder="1" applyAlignment="1">
      <alignment horizontal="left"/>
    </xf>
    <xf numFmtId="0" fontId="10" fillId="0" borderId="24" xfId="0" applyFont="1" applyBorder="1" applyAlignment="1">
      <alignment horizontal="center"/>
    </xf>
    <xf numFmtId="4" fontId="32" fillId="0" borderId="7" xfId="0" applyNumberFormat="1" applyFont="1" applyBorder="1" applyAlignment="1">
      <alignment horizontal="center"/>
    </xf>
    <xf numFmtId="4" fontId="32" fillId="0" borderId="9" xfId="0" applyNumberFormat="1" applyFont="1" applyBorder="1" applyAlignment="1">
      <alignment horizontal="left"/>
    </xf>
    <xf numFmtId="0" fontId="10" fillId="0" borderId="32" xfId="0" applyFont="1" applyBorder="1" applyAlignment="1">
      <alignment horizontal="center"/>
    </xf>
    <xf numFmtId="0" fontId="10" fillId="4" borderId="32" xfId="0" applyFont="1" applyFill="1" applyBorder="1" applyAlignment="1">
      <alignment horizontal="center"/>
    </xf>
    <xf numFmtId="4" fontId="32" fillId="4" borderId="7" xfId="0" applyNumberFormat="1" applyFont="1" applyFill="1" applyBorder="1" applyAlignment="1">
      <alignment horizontal="center"/>
    </xf>
    <xf numFmtId="4" fontId="32" fillId="4" borderId="9" xfId="0" applyNumberFormat="1" applyFont="1" applyFill="1" applyBorder="1" applyAlignment="1">
      <alignment horizontal="left"/>
    </xf>
    <xf numFmtId="0" fontId="32" fillId="0" borderId="24" xfId="0" applyFont="1" applyBorder="1" applyAlignment="1">
      <alignment horizontal="center"/>
    </xf>
    <xf numFmtId="0" fontId="32" fillId="0" borderId="5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4" fontId="32" fillId="5" borderId="4" xfId="0" applyNumberFormat="1" applyFont="1" applyFill="1" applyBorder="1" applyAlignment="1">
      <alignment horizontal="center"/>
    </xf>
    <xf numFmtId="0" fontId="10" fillId="5" borderId="32" xfId="0" applyFont="1" applyFill="1" applyBorder="1" applyAlignment="1">
      <alignment horizontal="center"/>
    </xf>
    <xf numFmtId="4" fontId="32" fillId="5" borderId="7" xfId="0" applyNumberFormat="1" applyFont="1" applyFill="1" applyBorder="1" applyAlignment="1">
      <alignment horizontal="center"/>
    </xf>
    <xf numFmtId="4" fontId="32" fillId="5" borderId="9" xfId="0" applyNumberFormat="1" applyFont="1" applyFill="1" applyBorder="1" applyAlignment="1">
      <alignment horizontal="left"/>
    </xf>
    <xf numFmtId="4" fontId="32" fillId="4" borderId="1" xfId="0" applyNumberFormat="1" applyFont="1" applyFill="1" applyBorder="1" applyAlignment="1">
      <alignment horizontal="center"/>
    </xf>
    <xf numFmtId="4" fontId="32" fillId="4" borderId="2" xfId="0" applyNumberFormat="1" applyFont="1" applyFill="1" applyBorder="1" applyAlignment="1">
      <alignment horizontal="center"/>
    </xf>
    <xf numFmtId="4" fontId="32" fillId="4" borderId="3" xfId="0" applyNumberFormat="1" applyFont="1" applyFill="1" applyBorder="1" applyAlignment="1">
      <alignment horizontal="center"/>
    </xf>
    <xf numFmtId="4" fontId="32" fillId="4" borderId="3" xfId="0" applyNumberFormat="1" applyFont="1" applyFill="1" applyBorder="1" applyAlignment="1">
      <alignment horizontal="left"/>
    </xf>
    <xf numFmtId="4" fontId="32" fillId="4" borderId="28" xfId="0" applyNumberFormat="1" applyFont="1" applyFill="1" applyBorder="1" applyAlignment="1">
      <alignment horizontal="center"/>
    </xf>
    <xf numFmtId="4" fontId="32" fillId="4" borderId="2" xfId="0" applyNumberFormat="1" applyFont="1" applyFill="1" applyBorder="1" applyAlignment="1">
      <alignment horizontal="left"/>
    </xf>
    <xf numFmtId="0" fontId="10" fillId="4" borderId="24" xfId="0" applyFont="1" applyFill="1" applyBorder="1" applyAlignment="1">
      <alignment horizontal="center"/>
    </xf>
    <xf numFmtId="0" fontId="32" fillId="4" borderId="5" xfId="0" applyFont="1" applyFill="1" applyBorder="1" applyAlignment="1">
      <alignment horizontal="center"/>
    </xf>
    <xf numFmtId="0" fontId="32" fillId="4" borderId="6" xfId="0" applyFont="1" applyFill="1" applyBorder="1" applyAlignment="1">
      <alignment horizontal="center"/>
    </xf>
    <xf numFmtId="0" fontId="32" fillId="4" borderId="24" xfId="0" applyFont="1" applyFill="1" applyBorder="1" applyAlignment="1">
      <alignment horizontal="center"/>
    </xf>
    <xf numFmtId="0" fontId="10" fillId="4" borderId="33" xfId="0" applyFont="1" applyFill="1" applyBorder="1" applyAlignment="1">
      <alignment horizontal="center"/>
    </xf>
    <xf numFmtId="0" fontId="32" fillId="4" borderId="8" xfId="0" applyFont="1" applyFill="1" applyBorder="1" applyAlignment="1">
      <alignment horizontal="center"/>
    </xf>
    <xf numFmtId="0" fontId="32" fillId="4" borderId="9" xfId="0" applyFont="1" applyFill="1" applyBorder="1" applyAlignment="1">
      <alignment horizontal="center"/>
    </xf>
    <xf numFmtId="0" fontId="32" fillId="4" borderId="33" xfId="0" applyFont="1" applyFill="1" applyBorder="1" applyAlignment="1">
      <alignment horizontal="center"/>
    </xf>
    <xf numFmtId="0" fontId="32" fillId="0" borderId="28" xfId="0" applyFont="1" applyBorder="1" applyAlignment="1">
      <alignment horizontal="left"/>
    </xf>
    <xf numFmtId="0" fontId="32" fillId="0" borderId="32" xfId="0" applyFont="1" applyBorder="1" applyAlignment="1">
      <alignment horizontal="left"/>
    </xf>
    <xf numFmtId="0" fontId="32" fillId="4" borderId="32" xfId="0" applyFont="1" applyFill="1" applyBorder="1" applyAlignment="1">
      <alignment horizontal="left"/>
    </xf>
    <xf numFmtId="0" fontId="32" fillId="0" borderId="1" xfId="0" applyFont="1" applyBorder="1" applyAlignment="1">
      <alignment horizontal="left"/>
    </xf>
    <xf numFmtId="0" fontId="32" fillId="5" borderId="24" xfId="0" applyFont="1" applyFill="1" applyBorder="1" applyAlignment="1">
      <alignment horizontal="center"/>
    </xf>
    <xf numFmtId="4" fontId="32" fillId="0" borderId="4" xfId="0" applyNumberFormat="1" applyFont="1" applyBorder="1" applyAlignment="1">
      <alignment horizontal="left"/>
    </xf>
    <xf numFmtId="0" fontId="32" fillId="0" borderId="37" xfId="0" applyFont="1" applyBorder="1" applyAlignment="1">
      <alignment horizontal="center"/>
    </xf>
    <xf numFmtId="3" fontId="32" fillId="0" borderId="10" xfId="0" applyNumberFormat="1" applyFont="1" applyBorder="1" applyAlignment="1">
      <alignment horizontal="center"/>
    </xf>
    <xf numFmtId="3" fontId="32" fillId="0" borderId="36" xfId="0" applyNumberFormat="1" applyFont="1" applyBorder="1" applyAlignment="1">
      <alignment horizontal="center"/>
    </xf>
    <xf numFmtId="3" fontId="32" fillId="0" borderId="31" xfId="0" applyNumberFormat="1" applyFont="1" applyBorder="1" applyAlignment="1">
      <alignment horizontal="center"/>
    </xf>
    <xf numFmtId="4" fontId="32" fillId="0" borderId="37" xfId="0" applyNumberFormat="1" applyFont="1" applyBorder="1" applyAlignment="1">
      <alignment horizontal="center"/>
    </xf>
    <xf numFmtId="4" fontId="32" fillId="0" borderId="38" xfId="0" applyNumberFormat="1" applyFont="1" applyBorder="1" applyAlignment="1">
      <alignment horizontal="center"/>
    </xf>
    <xf numFmtId="4" fontId="32" fillId="0" borderId="11" xfId="0" applyNumberFormat="1" applyFont="1" applyBorder="1" applyAlignment="1">
      <alignment horizontal="left"/>
    </xf>
    <xf numFmtId="4" fontId="32" fillId="0" borderId="10" xfId="0" applyNumberFormat="1" applyFont="1" applyBorder="1" applyAlignment="1">
      <alignment horizontal="center"/>
    </xf>
    <xf numFmtId="4" fontId="32" fillId="0" borderId="35" xfId="0" applyNumberFormat="1" applyFont="1" applyBorder="1" applyAlignment="1">
      <alignment horizontal="center"/>
    </xf>
    <xf numFmtId="0" fontId="32" fillId="0" borderId="38" xfId="0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3" fontId="32" fillId="0" borderId="35" xfId="0" applyNumberFormat="1" applyFont="1" applyBorder="1" applyAlignment="1">
      <alignment horizontal="center"/>
    </xf>
    <xf numFmtId="0" fontId="32" fillId="5" borderId="38" xfId="0" applyFont="1" applyFill="1" applyBorder="1" applyAlignment="1">
      <alignment horizontal="center"/>
    </xf>
    <xf numFmtId="0" fontId="32" fillId="5" borderId="11" xfId="0" applyFont="1" applyFill="1" applyBorder="1" applyAlignment="1">
      <alignment horizontal="center"/>
    </xf>
    <xf numFmtId="3" fontId="32" fillId="5" borderId="10" xfId="0" applyNumberFormat="1" applyFont="1" applyFill="1" applyBorder="1" applyAlignment="1">
      <alignment horizontal="center"/>
    </xf>
    <xf numFmtId="3" fontId="32" fillId="5" borderId="35" xfId="0" applyNumberFormat="1" applyFont="1" applyFill="1" applyBorder="1" applyAlignment="1">
      <alignment horizontal="center"/>
    </xf>
    <xf numFmtId="3" fontId="32" fillId="5" borderId="31" xfId="0" applyNumberFormat="1" applyFont="1" applyFill="1" applyBorder="1" applyAlignment="1">
      <alignment horizontal="center"/>
    </xf>
    <xf numFmtId="3" fontId="32" fillId="5" borderId="36" xfId="0" applyNumberFormat="1" applyFont="1" applyFill="1" applyBorder="1" applyAlignment="1">
      <alignment horizontal="center"/>
    </xf>
    <xf numFmtId="4" fontId="32" fillId="5" borderId="11" xfId="0" applyNumberFormat="1" applyFont="1" applyFill="1" applyBorder="1" applyAlignment="1">
      <alignment horizontal="center"/>
    </xf>
    <xf numFmtId="4" fontId="32" fillId="5" borderId="10" xfId="0" applyNumberFormat="1" applyFont="1" applyFill="1" applyBorder="1" applyAlignment="1">
      <alignment horizontal="center"/>
    </xf>
    <xf numFmtId="4" fontId="32" fillId="5" borderId="10" xfId="0" applyNumberFormat="1" applyFont="1" applyFill="1" applyBorder="1" applyAlignment="1">
      <alignment horizontal="left"/>
    </xf>
    <xf numFmtId="4" fontId="32" fillId="5" borderId="35" xfId="0" applyNumberFormat="1" applyFont="1" applyFill="1" applyBorder="1" applyAlignment="1">
      <alignment horizontal="center"/>
    </xf>
    <xf numFmtId="4" fontId="32" fillId="0" borderId="31" xfId="0" applyNumberFormat="1" applyFont="1" applyBorder="1" applyAlignment="1">
      <alignment horizontal="left"/>
    </xf>
    <xf numFmtId="4" fontId="32" fillId="0" borderId="36" xfId="0" applyNumberFormat="1" applyFont="1" applyBorder="1" applyAlignment="1">
      <alignment horizontal="center"/>
    </xf>
    <xf numFmtId="4" fontId="32" fillId="0" borderId="31" xfId="0" applyNumberFormat="1" applyFont="1" applyBorder="1" applyAlignment="1">
      <alignment horizontal="center"/>
    </xf>
    <xf numFmtId="4" fontId="32" fillId="0" borderId="11" xfId="0" applyNumberFormat="1" applyFont="1" applyBorder="1" applyAlignment="1">
      <alignment horizontal="center"/>
    </xf>
    <xf numFmtId="4" fontId="32" fillId="5" borderId="36" xfId="0" applyNumberFormat="1" applyFont="1" applyFill="1" applyBorder="1" applyAlignment="1">
      <alignment horizontal="center"/>
    </xf>
    <xf numFmtId="0" fontId="32" fillId="0" borderId="33" xfId="0" applyFont="1" applyBorder="1" applyAlignment="1">
      <alignment horizontal="center"/>
    </xf>
    <xf numFmtId="0" fontId="32" fillId="5" borderId="33" xfId="0" applyFont="1" applyFill="1" applyBorder="1" applyAlignment="1">
      <alignment horizontal="center"/>
    </xf>
    <xf numFmtId="4" fontId="32" fillId="0" borderId="7" xfId="0" applyNumberFormat="1" applyFont="1" applyBorder="1" applyAlignment="1">
      <alignment horizontal="left"/>
    </xf>
    <xf numFmtId="0" fontId="32" fillId="4" borderId="28" xfId="0" applyFont="1" applyFill="1" applyBorder="1" applyAlignment="1">
      <alignment horizontal="left"/>
    </xf>
    <xf numFmtId="0" fontId="11" fillId="0" borderId="28" xfId="0" applyFont="1" applyBorder="1" applyAlignment="1">
      <alignment horizontal="center"/>
    </xf>
    <xf numFmtId="0" fontId="11" fillId="4" borderId="28" xfId="0" applyFont="1" applyFill="1" applyBorder="1" applyAlignment="1">
      <alignment horizontal="center"/>
    </xf>
    <xf numFmtId="0" fontId="21" fillId="0" borderId="39" xfId="0" applyFont="1" applyBorder="1" applyAlignment="1">
      <alignment horizontal="center"/>
    </xf>
    <xf numFmtId="0" fontId="21" fillId="0" borderId="15" xfId="0" applyFont="1" applyBorder="1" applyAlignment="1">
      <alignment horizontal="center"/>
    </xf>
    <xf numFmtId="0" fontId="21" fillId="0" borderId="40" xfId="0" applyFont="1" applyBorder="1" applyAlignment="1">
      <alignment horizontal="center"/>
    </xf>
    <xf numFmtId="0" fontId="21" fillId="0" borderId="41" xfId="0" applyFont="1" applyBorder="1" applyAlignment="1">
      <alignment horizontal="center"/>
    </xf>
    <xf numFmtId="0" fontId="21" fillId="0" borderId="0" xfId="0" applyFont="1" applyAlignment="1">
      <alignment horizontal="left"/>
    </xf>
    <xf numFmtId="0" fontId="31" fillId="3" borderId="32" xfId="0" applyFont="1" applyFill="1" applyBorder="1" applyAlignment="1">
      <alignment horizontal="center"/>
    </xf>
    <xf numFmtId="0" fontId="31" fillId="3" borderId="13" xfId="0" applyFont="1" applyFill="1" applyBorder="1" applyAlignment="1">
      <alignment horizontal="center"/>
    </xf>
    <xf numFmtId="0" fontId="31" fillId="3" borderId="9" xfId="0" applyFont="1" applyFill="1" applyBorder="1" applyAlignment="1">
      <alignment horizontal="center"/>
    </xf>
    <xf numFmtId="0" fontId="31" fillId="3" borderId="32" xfId="0" applyFont="1" applyFill="1" applyBorder="1" applyAlignment="1">
      <alignment horizontal="center" vertical="center"/>
    </xf>
    <xf numFmtId="0" fontId="31" fillId="3" borderId="13" xfId="0" applyFont="1" applyFill="1" applyBorder="1" applyAlignment="1">
      <alignment horizontal="center" vertical="center"/>
    </xf>
    <xf numFmtId="0" fontId="31" fillId="3" borderId="9" xfId="0" applyFont="1" applyFill="1" applyBorder="1" applyAlignment="1">
      <alignment horizontal="center" vertical="center"/>
    </xf>
    <xf numFmtId="0" fontId="31" fillId="15" borderId="32" xfId="0" applyFont="1" applyFill="1" applyBorder="1" applyAlignment="1">
      <alignment horizontal="center"/>
    </xf>
    <xf numFmtId="0" fontId="31" fillId="15" borderId="13" xfId="0" applyFont="1" applyFill="1" applyBorder="1" applyAlignment="1">
      <alignment horizontal="center"/>
    </xf>
    <xf numFmtId="0" fontId="31" fillId="15" borderId="9" xfId="0" applyFont="1" applyFill="1" applyBorder="1" applyAlignment="1">
      <alignment horizontal="center"/>
    </xf>
    <xf numFmtId="0" fontId="31" fillId="15" borderId="32" xfId="0" applyFont="1" applyFill="1" applyBorder="1" applyAlignment="1">
      <alignment horizontal="center" vertical="center"/>
    </xf>
    <xf numFmtId="0" fontId="31" fillId="15" borderId="13" xfId="0" applyFont="1" applyFill="1" applyBorder="1" applyAlignment="1">
      <alignment horizontal="center" vertical="center"/>
    </xf>
    <xf numFmtId="0" fontId="31" fillId="15" borderId="9" xfId="0" applyFont="1" applyFill="1" applyBorder="1" applyAlignment="1">
      <alignment horizontal="center" vertical="center"/>
    </xf>
    <xf numFmtId="4" fontId="44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14" fontId="10" fillId="0" borderId="4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2" fillId="0" borderId="8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14" fontId="10" fillId="0" borderId="12" xfId="0" applyNumberFormat="1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5" xfId="0" applyFont="1" applyBorder="1" applyAlignment="1">
      <alignment horizontal="left"/>
    </xf>
    <xf numFmtId="0" fontId="11" fillId="0" borderId="5" xfId="0" applyFont="1" applyBorder="1" applyAlignment="1">
      <alignment horizontal="center"/>
    </xf>
    <xf numFmtId="0" fontId="11" fillId="0" borderId="5" xfId="0" applyFont="1" applyBorder="1" applyAlignment="1">
      <alignment horizontal="left"/>
    </xf>
    <xf numFmtId="0" fontId="22" fillId="0" borderId="5" xfId="0" applyFont="1" applyBorder="1" applyAlignment="1">
      <alignment horizontal="left"/>
    </xf>
    <xf numFmtId="0" fontId="10" fillId="0" borderId="44" xfId="0" applyFont="1" applyBorder="1" applyAlignment="1">
      <alignment horizontal="center"/>
    </xf>
    <xf numFmtId="0" fontId="10" fillId="0" borderId="45" xfId="0" applyFont="1" applyBorder="1" applyAlignment="1">
      <alignment horizontal="center"/>
    </xf>
    <xf numFmtId="0" fontId="22" fillId="0" borderId="45" xfId="0" applyFont="1" applyBorder="1" applyAlignment="1">
      <alignment horizontal="left"/>
    </xf>
    <xf numFmtId="0" fontId="10" fillId="0" borderId="45" xfId="0" applyFont="1" applyBorder="1" applyAlignment="1">
      <alignment horizontal="left"/>
    </xf>
    <xf numFmtId="4" fontId="46" fillId="0" borderId="46" xfId="0" applyNumberFormat="1" applyFont="1" applyBorder="1" applyAlignment="1">
      <alignment horizontal="right"/>
    </xf>
    <xf numFmtId="0" fontId="10" fillId="0" borderId="46" xfId="0" applyFont="1" applyBorder="1" applyAlignment="1">
      <alignment horizontal="left"/>
    </xf>
    <xf numFmtId="4" fontId="47" fillId="0" borderId="0" xfId="0" applyNumberFormat="1" applyFont="1" applyAlignment="1">
      <alignment horizontal="right"/>
    </xf>
    <xf numFmtId="0" fontId="10" fillId="0" borderId="42" xfId="0" applyFont="1" applyBorder="1" applyAlignment="1">
      <alignment horizontal="center"/>
    </xf>
    <xf numFmtId="0" fontId="32" fillId="0" borderId="8" xfId="0" applyFont="1" applyBorder="1" applyAlignment="1">
      <alignment horizontal="center"/>
    </xf>
    <xf numFmtId="0" fontId="32" fillId="0" borderId="45" xfId="0" applyFont="1" applyBorder="1" applyAlignment="1">
      <alignment horizontal="center"/>
    </xf>
    <xf numFmtId="0" fontId="32" fillId="0" borderId="45" xfId="0" applyFont="1" applyBorder="1" applyAlignment="1">
      <alignment horizontal="left"/>
    </xf>
    <xf numFmtId="0" fontId="10" fillId="0" borderId="45" xfId="0" applyFont="1" applyBorder="1"/>
    <xf numFmtId="14" fontId="10" fillId="0" borderId="12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  <xf numFmtId="0" fontId="32" fillId="0" borderId="5" xfId="0" applyFont="1" applyBorder="1" applyAlignment="1">
      <alignment horizontal="center" vertical="top"/>
    </xf>
    <xf numFmtId="0" fontId="32" fillId="0" borderId="5" xfId="0" applyFont="1" applyBorder="1" applyAlignment="1">
      <alignment horizontal="left" vertical="top"/>
    </xf>
    <xf numFmtId="0" fontId="10" fillId="0" borderId="5" xfId="0" applyFont="1" applyBorder="1" applyAlignment="1">
      <alignment horizontal="center" vertical="top" wrapText="1"/>
    </xf>
    <xf numFmtId="0" fontId="10" fillId="0" borderId="5" xfId="0" applyFont="1" applyBorder="1" applyAlignment="1">
      <alignment vertical="top" wrapText="1"/>
    </xf>
    <xf numFmtId="0" fontId="11" fillId="0" borderId="0" xfId="0" applyFont="1" applyAlignment="1">
      <alignment horizontal="right" vertical="top"/>
    </xf>
    <xf numFmtId="0" fontId="10" fillId="0" borderId="0" xfId="0" applyFont="1" applyAlignment="1">
      <alignment horizontal="left" vertical="top"/>
    </xf>
    <xf numFmtId="0" fontId="21" fillId="0" borderId="0" xfId="0" applyFont="1" applyAlignment="1">
      <alignment vertical="top"/>
    </xf>
    <xf numFmtId="0" fontId="11" fillId="0" borderId="5" xfId="0" applyFont="1" applyBorder="1"/>
    <xf numFmtId="0" fontId="10" fillId="0" borderId="8" xfId="0" applyFont="1" applyBorder="1"/>
    <xf numFmtId="14" fontId="10" fillId="0" borderId="10" xfId="0" applyNumberFormat="1" applyFont="1" applyBorder="1" applyAlignment="1">
      <alignment horizontal="center"/>
    </xf>
    <xf numFmtId="0" fontId="11" fillId="0" borderId="46" xfId="0" applyFont="1" applyBorder="1" applyAlignment="1">
      <alignment horizontal="right"/>
    </xf>
    <xf numFmtId="0" fontId="10" fillId="0" borderId="12" xfId="0" applyFont="1" applyBorder="1"/>
    <xf numFmtId="14" fontId="10" fillId="0" borderId="47" xfId="0" applyNumberFormat="1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32" fillId="0" borderId="47" xfId="0" applyFont="1" applyBorder="1" applyAlignment="1">
      <alignment horizontal="center"/>
    </xf>
    <xf numFmtId="0" fontId="32" fillId="0" borderId="47" xfId="0" applyFont="1" applyBorder="1"/>
    <xf numFmtId="0" fontId="10" fillId="0" borderId="47" xfId="0" applyFont="1" applyBorder="1"/>
    <xf numFmtId="14" fontId="10" fillId="0" borderId="42" xfId="0" applyNumberFormat="1" applyFont="1" applyBorder="1" applyAlignment="1">
      <alignment horizontal="center" vertical="top"/>
    </xf>
    <xf numFmtId="0" fontId="11" fillId="0" borderId="8" xfId="0" applyFont="1" applyBorder="1" applyAlignment="1">
      <alignment horizontal="center" vertical="top"/>
    </xf>
    <xf numFmtId="0" fontId="11" fillId="0" borderId="8" xfId="0" applyFont="1" applyBorder="1" applyAlignment="1">
      <alignment vertical="top"/>
    </xf>
    <xf numFmtId="0" fontId="11" fillId="0" borderId="8" xfId="0" applyFont="1" applyBorder="1" applyAlignment="1">
      <alignment horizontal="center" vertical="top" wrapText="1"/>
    </xf>
    <xf numFmtId="4" fontId="48" fillId="0" borderId="0" xfId="0" applyNumberFormat="1" applyFont="1" applyAlignment="1">
      <alignment horizontal="right" vertical="top"/>
    </xf>
    <xf numFmtId="0" fontId="21" fillId="0" borderId="42" xfId="0" applyFont="1" applyBorder="1"/>
    <xf numFmtId="0" fontId="10" fillId="0" borderId="5" xfId="0" applyFont="1" applyBorder="1" applyAlignment="1">
      <alignment horizontal="center" wrapText="1"/>
    </xf>
    <xf numFmtId="0" fontId="10" fillId="0" borderId="49" xfId="0" applyFont="1" applyBorder="1" applyAlignment="1">
      <alignment horizontal="center"/>
    </xf>
    <xf numFmtId="0" fontId="10" fillId="0" borderId="49" xfId="0" applyFont="1" applyBorder="1"/>
    <xf numFmtId="4" fontId="49" fillId="0" borderId="50" xfId="0" applyNumberFormat="1" applyFont="1" applyBorder="1" applyAlignment="1">
      <alignment horizontal="right"/>
    </xf>
    <xf numFmtId="0" fontId="10" fillId="0" borderId="50" xfId="0" applyFont="1" applyBorder="1" applyAlignment="1">
      <alignment horizontal="left"/>
    </xf>
    <xf numFmtId="0" fontId="8" fillId="0" borderId="23" xfId="0" applyFont="1" applyBorder="1" applyAlignment="1">
      <alignment horizontal="right"/>
    </xf>
    <xf numFmtId="0" fontId="50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22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10" xfId="0" applyFont="1" applyBorder="1" applyAlignment="1">
      <alignment vertical="center" wrapText="1"/>
    </xf>
    <xf numFmtId="14" fontId="11" fillId="0" borderId="10" xfId="0" applyNumberFormat="1" applyFont="1" applyBorder="1" applyAlignment="1">
      <alignment horizontal="center" vertical="center"/>
    </xf>
    <xf numFmtId="0" fontId="34" fillId="7" borderId="53" xfId="0" applyFont="1" applyFill="1" applyBorder="1" applyAlignment="1">
      <alignment horizontal="center"/>
    </xf>
    <xf numFmtId="0" fontId="29" fillId="7" borderId="54" xfId="0" applyFont="1" applyFill="1" applyBorder="1" applyAlignment="1">
      <alignment horizontal="center"/>
    </xf>
    <xf numFmtId="0" fontId="34" fillId="7" borderId="54" xfId="0" applyFont="1" applyFill="1" applyBorder="1" applyAlignment="1">
      <alignment horizontal="center"/>
    </xf>
    <xf numFmtId="0" fontId="29" fillId="7" borderId="54" xfId="0" applyFont="1" applyFill="1" applyBorder="1"/>
    <xf numFmtId="4" fontId="29" fillId="7" borderId="54" xfId="0" applyNumberFormat="1" applyFont="1" applyFill="1" applyBorder="1"/>
    <xf numFmtId="0" fontId="29" fillId="7" borderId="55" xfId="0" applyFont="1" applyFill="1" applyBorder="1"/>
    <xf numFmtId="0" fontId="2" fillId="0" borderId="56" xfId="0" applyFont="1" applyBorder="1" applyAlignment="1">
      <alignment horizontal="left"/>
    </xf>
    <xf numFmtId="0" fontId="2" fillId="0" borderId="57" xfId="0" applyFont="1" applyBorder="1" applyAlignment="1">
      <alignment horizontal="left"/>
    </xf>
    <xf numFmtId="0" fontId="2" fillId="0" borderId="59" xfId="0" applyFont="1" applyBorder="1" applyAlignment="1">
      <alignment horizontal="left"/>
    </xf>
    <xf numFmtId="0" fontId="2" fillId="0" borderId="60" xfId="0" applyFont="1" applyBorder="1" applyAlignment="1">
      <alignment horizontal="left"/>
    </xf>
    <xf numFmtId="2" fontId="2" fillId="0" borderId="61" xfId="0" applyNumberFormat="1" applyFont="1" applyBorder="1" applyAlignment="1">
      <alignment horizontal="center"/>
    </xf>
    <xf numFmtId="0" fontId="2" fillId="0" borderId="61" xfId="0" applyFont="1" applyBorder="1" applyAlignment="1">
      <alignment horizontal="right"/>
    </xf>
    <xf numFmtId="0" fontId="2" fillId="0" borderId="61" xfId="0" applyFont="1" applyBorder="1" applyAlignment="1">
      <alignment horizontal="center"/>
    </xf>
    <xf numFmtId="0" fontId="10" fillId="19" borderId="28" xfId="0" applyFont="1" applyFill="1" applyBorder="1" applyAlignment="1">
      <alignment horizontal="center"/>
    </xf>
    <xf numFmtId="0" fontId="10" fillId="19" borderId="1" xfId="0" applyFont="1" applyFill="1" applyBorder="1" applyAlignment="1">
      <alignment horizontal="center"/>
    </xf>
    <xf numFmtId="0" fontId="10" fillId="19" borderId="2" xfId="0" applyFont="1" applyFill="1" applyBorder="1" applyAlignment="1">
      <alignment horizontal="left"/>
    </xf>
    <xf numFmtId="0" fontId="10" fillId="19" borderId="3" xfId="0" applyFont="1" applyFill="1" applyBorder="1" applyAlignment="1">
      <alignment horizontal="left"/>
    </xf>
    <xf numFmtId="0" fontId="10" fillId="19" borderId="1" xfId="0" applyFont="1" applyFill="1" applyBorder="1" applyAlignment="1">
      <alignment horizontal="left"/>
    </xf>
    <xf numFmtId="0" fontId="10" fillId="19" borderId="28" xfId="0" applyFont="1" applyFill="1" applyBorder="1" applyAlignment="1">
      <alignment horizontal="left"/>
    </xf>
    <xf numFmtId="0" fontId="10" fillId="19" borderId="2" xfId="0" applyFont="1" applyFill="1" applyBorder="1" applyAlignment="1">
      <alignment horizontal="right"/>
    </xf>
    <xf numFmtId="0" fontId="10" fillId="19" borderId="3" xfId="0" applyFont="1" applyFill="1" applyBorder="1" applyAlignment="1">
      <alignment horizontal="right"/>
    </xf>
    <xf numFmtId="0" fontId="11" fillId="19" borderId="24" xfId="0" applyFont="1" applyFill="1" applyBorder="1" applyAlignment="1">
      <alignment horizontal="center"/>
    </xf>
    <xf numFmtId="0" fontId="32" fillId="19" borderId="4" xfId="0" applyFont="1" applyFill="1" applyBorder="1" applyAlignment="1">
      <alignment horizontal="center"/>
    </xf>
    <xf numFmtId="0" fontId="32" fillId="19" borderId="5" xfId="0" applyFont="1" applyFill="1" applyBorder="1" applyAlignment="1">
      <alignment horizontal="left"/>
    </xf>
    <xf numFmtId="0" fontId="32" fillId="19" borderId="6" xfId="0" applyFont="1" applyFill="1" applyBorder="1" applyAlignment="1">
      <alignment horizontal="left"/>
    </xf>
    <xf numFmtId="0" fontId="32" fillId="19" borderId="4" xfId="0" applyFont="1" applyFill="1" applyBorder="1" applyAlignment="1">
      <alignment horizontal="left"/>
    </xf>
    <xf numFmtId="0" fontId="32" fillId="19" borderId="23" xfId="0" applyFont="1" applyFill="1" applyBorder="1" applyAlignment="1">
      <alignment horizontal="left"/>
    </xf>
    <xf numFmtId="0" fontId="32" fillId="19" borderId="24" xfId="0" applyFont="1" applyFill="1" applyBorder="1" applyAlignment="1">
      <alignment horizontal="left"/>
    </xf>
    <xf numFmtId="0" fontId="32" fillId="19" borderId="5" xfId="0" applyFont="1" applyFill="1" applyBorder="1" applyAlignment="1">
      <alignment horizontal="right"/>
    </xf>
    <xf numFmtId="0" fontId="32" fillId="19" borderId="6" xfId="0" applyFont="1" applyFill="1" applyBorder="1" applyAlignment="1">
      <alignment horizontal="right"/>
    </xf>
    <xf numFmtId="0" fontId="11" fillId="19" borderId="33" xfId="0" applyFont="1" applyFill="1" applyBorder="1" applyAlignment="1">
      <alignment horizontal="center"/>
    </xf>
    <xf numFmtId="0" fontId="32" fillId="19" borderId="7" xfId="0" applyFont="1" applyFill="1" applyBorder="1" applyAlignment="1">
      <alignment horizontal="center"/>
    </xf>
    <xf numFmtId="0" fontId="32" fillId="19" borderId="8" xfId="0" applyFont="1" applyFill="1" applyBorder="1" applyAlignment="1">
      <alignment horizontal="left"/>
    </xf>
    <xf numFmtId="0" fontId="32" fillId="19" borderId="9" xfId="0" applyFont="1" applyFill="1" applyBorder="1" applyAlignment="1">
      <alignment horizontal="left"/>
    </xf>
    <xf numFmtId="0" fontId="32" fillId="19" borderId="7" xfId="0" applyFont="1" applyFill="1" applyBorder="1" applyAlignment="1">
      <alignment horizontal="left"/>
    </xf>
    <xf numFmtId="0" fontId="32" fillId="19" borderId="13" xfId="0" applyFont="1" applyFill="1" applyBorder="1" applyAlignment="1">
      <alignment horizontal="left"/>
    </xf>
    <xf numFmtId="0" fontId="32" fillId="19" borderId="33" xfId="0" applyFont="1" applyFill="1" applyBorder="1" applyAlignment="1">
      <alignment horizontal="left"/>
    </xf>
    <xf numFmtId="0" fontId="32" fillId="19" borderId="8" xfId="0" applyFont="1" applyFill="1" applyBorder="1" applyAlignment="1">
      <alignment horizontal="right"/>
    </xf>
    <xf numFmtId="0" fontId="32" fillId="19" borderId="9" xfId="0" applyFont="1" applyFill="1" applyBorder="1" applyAlignment="1">
      <alignment horizontal="right"/>
    </xf>
    <xf numFmtId="0" fontId="11" fillId="20" borderId="28" xfId="0" applyFont="1" applyFill="1" applyBorder="1" applyAlignment="1">
      <alignment horizontal="center"/>
    </xf>
    <xf numFmtId="0" fontId="32" fillId="20" borderId="1" xfId="0" applyFont="1" applyFill="1" applyBorder="1" applyAlignment="1">
      <alignment horizontal="center"/>
    </xf>
    <xf numFmtId="0" fontId="32" fillId="20" borderId="2" xfId="0" applyFont="1" applyFill="1" applyBorder="1" applyAlignment="1">
      <alignment horizontal="left"/>
    </xf>
    <xf numFmtId="0" fontId="32" fillId="20" borderId="3" xfId="0" applyFont="1" applyFill="1" applyBorder="1" applyAlignment="1">
      <alignment horizontal="left"/>
    </xf>
    <xf numFmtId="0" fontId="32" fillId="20" borderId="1" xfId="0" applyFont="1" applyFill="1" applyBorder="1" applyAlignment="1">
      <alignment horizontal="left"/>
    </xf>
    <xf numFmtId="0" fontId="32" fillId="20" borderId="6" xfId="0" applyFont="1" applyFill="1" applyBorder="1" applyAlignment="1">
      <alignment horizontal="left"/>
    </xf>
    <xf numFmtId="0" fontId="32" fillId="20" borderId="28" xfId="0" applyFont="1" applyFill="1" applyBorder="1" applyAlignment="1">
      <alignment horizontal="left"/>
    </xf>
    <xf numFmtId="0" fontId="32" fillId="20" borderId="2" xfId="0" applyFont="1" applyFill="1" applyBorder="1" applyAlignment="1">
      <alignment horizontal="right"/>
    </xf>
    <xf numFmtId="0" fontId="32" fillId="20" borderId="3" xfId="0" applyFont="1" applyFill="1" applyBorder="1" applyAlignment="1">
      <alignment horizontal="right"/>
    </xf>
    <xf numFmtId="0" fontId="11" fillId="20" borderId="24" xfId="0" applyFont="1" applyFill="1" applyBorder="1" applyAlignment="1">
      <alignment horizontal="center"/>
    </xf>
    <xf numFmtId="4" fontId="32" fillId="20" borderId="4" xfId="0" applyNumberFormat="1" applyFont="1" applyFill="1" applyBorder="1" applyAlignment="1">
      <alignment horizontal="center"/>
    </xf>
    <xf numFmtId="4" fontId="32" fillId="20" borderId="5" xfId="0" applyNumberFormat="1" applyFont="1" applyFill="1" applyBorder="1" applyAlignment="1">
      <alignment horizontal="left"/>
    </xf>
    <xf numFmtId="4" fontId="32" fillId="20" borderId="6" xfId="0" applyNumberFormat="1" applyFont="1" applyFill="1" applyBorder="1" applyAlignment="1">
      <alignment horizontal="left"/>
    </xf>
    <xf numFmtId="4" fontId="32" fillId="20" borderId="4" xfId="0" applyNumberFormat="1" applyFont="1" applyFill="1" applyBorder="1" applyAlignment="1">
      <alignment horizontal="left"/>
    </xf>
    <xf numFmtId="4" fontId="32" fillId="20" borderId="24" xfId="0" applyNumberFormat="1" applyFont="1" applyFill="1" applyBorder="1" applyAlignment="1">
      <alignment horizontal="left"/>
    </xf>
    <xf numFmtId="4" fontId="32" fillId="20" borderId="5" xfId="0" applyNumberFormat="1" applyFont="1" applyFill="1" applyBorder="1" applyAlignment="1">
      <alignment horizontal="right"/>
    </xf>
    <xf numFmtId="4" fontId="32" fillId="20" borderId="6" xfId="0" applyNumberFormat="1" applyFont="1" applyFill="1" applyBorder="1" applyAlignment="1">
      <alignment horizontal="right"/>
    </xf>
    <xf numFmtId="0" fontId="11" fillId="20" borderId="33" xfId="0" applyFont="1" applyFill="1" applyBorder="1" applyAlignment="1">
      <alignment horizontal="center"/>
    </xf>
    <xf numFmtId="4" fontId="32" fillId="20" borderId="7" xfId="0" applyNumberFormat="1" applyFont="1" applyFill="1" applyBorder="1" applyAlignment="1">
      <alignment horizontal="center"/>
    </xf>
    <xf numFmtId="4" fontId="32" fillId="20" borderId="8" xfId="0" applyNumberFormat="1" applyFont="1" applyFill="1" applyBorder="1" applyAlignment="1">
      <alignment horizontal="left"/>
    </xf>
    <xf numFmtId="4" fontId="32" fillId="20" borderId="9" xfId="0" applyNumberFormat="1" applyFont="1" applyFill="1" applyBorder="1" applyAlignment="1">
      <alignment horizontal="left"/>
    </xf>
    <xf numFmtId="4" fontId="32" fillId="20" borderId="7" xfId="0" applyNumberFormat="1" applyFont="1" applyFill="1" applyBorder="1" applyAlignment="1">
      <alignment horizontal="left"/>
    </xf>
    <xf numFmtId="4" fontId="32" fillId="20" borderId="33" xfId="0" applyNumberFormat="1" applyFont="1" applyFill="1" applyBorder="1" applyAlignment="1">
      <alignment horizontal="left"/>
    </xf>
    <xf numFmtId="4" fontId="32" fillId="20" borderId="8" xfId="0" applyNumberFormat="1" applyFont="1" applyFill="1" applyBorder="1" applyAlignment="1">
      <alignment horizontal="right"/>
    </xf>
    <xf numFmtId="4" fontId="32" fillId="20" borderId="9" xfId="0" applyNumberFormat="1" applyFont="1" applyFill="1" applyBorder="1" applyAlignment="1">
      <alignment horizontal="right"/>
    </xf>
    <xf numFmtId="0" fontId="32" fillId="21" borderId="28" xfId="0" applyFont="1" applyFill="1" applyBorder="1" applyAlignment="1">
      <alignment horizontal="center"/>
    </xf>
    <xf numFmtId="4" fontId="32" fillId="21" borderId="4" xfId="0" applyNumberFormat="1" applyFont="1" applyFill="1" applyBorder="1" applyAlignment="1">
      <alignment horizontal="center"/>
    </xf>
    <xf numFmtId="4" fontId="32" fillId="21" borderId="5" xfId="0" applyNumberFormat="1" applyFont="1" applyFill="1" applyBorder="1" applyAlignment="1">
      <alignment horizontal="center"/>
    </xf>
    <xf numFmtId="4" fontId="32" fillId="21" borderId="6" xfId="0" applyNumberFormat="1" applyFont="1" applyFill="1" applyBorder="1" applyAlignment="1">
      <alignment horizontal="center"/>
    </xf>
    <xf numFmtId="4" fontId="32" fillId="21" borderId="24" xfId="0" applyNumberFormat="1" applyFont="1" applyFill="1" applyBorder="1" applyAlignment="1">
      <alignment horizontal="center"/>
    </xf>
    <xf numFmtId="4" fontId="32" fillId="21" borderId="5" xfId="0" applyNumberFormat="1" applyFont="1" applyFill="1" applyBorder="1" applyAlignment="1">
      <alignment horizontal="left"/>
    </xf>
    <xf numFmtId="4" fontId="32" fillId="21" borderId="8" xfId="0" applyNumberFormat="1" applyFont="1" applyFill="1" applyBorder="1" applyAlignment="1">
      <alignment horizontal="center"/>
    </xf>
    <xf numFmtId="4" fontId="32" fillId="21" borderId="9" xfId="0" applyNumberFormat="1" applyFont="1" applyFill="1" applyBorder="1" applyAlignment="1">
      <alignment horizontal="center"/>
    </xf>
    <xf numFmtId="4" fontId="32" fillId="21" borderId="7" xfId="0" applyNumberFormat="1" applyFont="1" applyFill="1" applyBorder="1" applyAlignment="1">
      <alignment horizontal="center"/>
    </xf>
    <xf numFmtId="4" fontId="32" fillId="21" borderId="33" xfId="0" applyNumberFormat="1" applyFont="1" applyFill="1" applyBorder="1" applyAlignment="1">
      <alignment horizontal="center"/>
    </xf>
    <xf numFmtId="4" fontId="32" fillId="21" borderId="8" xfId="0" applyNumberFormat="1" applyFont="1" applyFill="1" applyBorder="1" applyAlignment="1">
      <alignment horizontal="left"/>
    </xf>
    <xf numFmtId="0" fontId="32" fillId="21" borderId="18" xfId="0" applyFont="1" applyFill="1" applyBorder="1" applyAlignment="1">
      <alignment horizontal="center"/>
    </xf>
    <xf numFmtId="0" fontId="32" fillId="21" borderId="1" xfId="0" applyFont="1" applyFill="1" applyBorder="1" applyAlignment="1">
      <alignment horizontal="center"/>
    </xf>
    <xf numFmtId="0" fontId="32" fillId="21" borderId="2" xfId="0" applyFont="1" applyFill="1" applyBorder="1" applyAlignment="1">
      <alignment horizontal="center"/>
    </xf>
    <xf numFmtId="0" fontId="32" fillId="21" borderId="3" xfId="0" applyFont="1" applyFill="1" applyBorder="1" applyAlignment="1">
      <alignment horizontal="center"/>
    </xf>
    <xf numFmtId="0" fontId="32" fillId="21" borderId="2" xfId="0" applyFont="1" applyFill="1" applyBorder="1" applyAlignment="1">
      <alignment horizontal="left"/>
    </xf>
    <xf numFmtId="0" fontId="32" fillId="21" borderId="30" xfId="0" applyFont="1" applyFill="1" applyBorder="1" applyAlignment="1">
      <alignment horizontal="center"/>
    </xf>
    <xf numFmtId="0" fontId="32" fillId="21" borderId="31" xfId="0" applyFont="1" applyFill="1" applyBorder="1" applyAlignment="1">
      <alignment horizontal="center"/>
    </xf>
    <xf numFmtId="3" fontId="32" fillId="21" borderId="5" xfId="0" applyNumberFormat="1" applyFont="1" applyFill="1" applyBorder="1" applyAlignment="1">
      <alignment horizontal="center"/>
    </xf>
    <xf numFmtId="0" fontId="10" fillId="21" borderId="32" xfId="0" applyFont="1" applyFill="1" applyBorder="1" applyAlignment="1">
      <alignment horizontal="center"/>
    </xf>
    <xf numFmtId="4" fontId="32" fillId="21" borderId="34" xfId="0" applyNumberFormat="1" applyFont="1" applyFill="1" applyBorder="1" applyAlignment="1">
      <alignment horizontal="center"/>
    </xf>
    <xf numFmtId="0" fontId="32" fillId="21" borderId="4" xfId="0" applyFont="1" applyFill="1" applyBorder="1" applyAlignment="1">
      <alignment horizontal="center"/>
    </xf>
    <xf numFmtId="3" fontId="32" fillId="21" borderId="6" xfId="0" applyNumberFormat="1" applyFont="1" applyFill="1" applyBorder="1" applyAlignment="1">
      <alignment horizontal="center"/>
    </xf>
    <xf numFmtId="3" fontId="32" fillId="21" borderId="4" xfId="0" applyNumberFormat="1" applyFont="1" applyFill="1" applyBorder="1" applyAlignment="1">
      <alignment horizontal="center"/>
    </xf>
    <xf numFmtId="0" fontId="32" fillId="21" borderId="32" xfId="0" applyFont="1" applyFill="1" applyBorder="1" applyAlignment="1">
      <alignment horizontal="center"/>
    </xf>
    <xf numFmtId="3" fontId="32" fillId="21" borderId="9" xfId="0" applyNumberFormat="1" applyFont="1" applyFill="1" applyBorder="1" applyAlignment="1">
      <alignment horizontal="center"/>
    </xf>
    <xf numFmtId="3" fontId="32" fillId="21" borderId="7" xfId="0" applyNumberFormat="1" applyFont="1" applyFill="1" applyBorder="1" applyAlignment="1">
      <alignment horizontal="center"/>
    </xf>
    <xf numFmtId="4" fontId="32" fillId="19" borderId="1" xfId="0" applyNumberFormat="1" applyFont="1" applyFill="1" applyBorder="1" applyAlignment="1">
      <alignment horizontal="center"/>
    </xf>
    <xf numFmtId="4" fontId="32" fillId="19" borderId="2" xfId="0" applyNumberFormat="1" applyFont="1" applyFill="1" applyBorder="1" applyAlignment="1">
      <alignment horizontal="center"/>
    </xf>
    <xf numFmtId="4" fontId="32" fillId="19" borderId="3" xfId="0" applyNumberFormat="1" applyFont="1" applyFill="1" applyBorder="1" applyAlignment="1">
      <alignment horizontal="center"/>
    </xf>
    <xf numFmtId="4" fontId="32" fillId="19" borderId="28" xfId="0" applyNumberFormat="1" applyFont="1" applyFill="1" applyBorder="1" applyAlignment="1">
      <alignment horizontal="center"/>
    </xf>
    <xf numFmtId="4" fontId="32" fillId="19" borderId="2" xfId="0" applyNumberFormat="1" applyFont="1" applyFill="1" applyBorder="1" applyAlignment="1">
      <alignment horizontal="left"/>
    </xf>
    <xf numFmtId="0" fontId="10" fillId="19" borderId="24" xfId="0" applyFont="1" applyFill="1" applyBorder="1" applyAlignment="1">
      <alignment horizontal="center"/>
    </xf>
    <xf numFmtId="0" fontId="32" fillId="19" borderId="5" xfId="0" applyFont="1" applyFill="1" applyBorder="1" applyAlignment="1">
      <alignment horizontal="center"/>
    </xf>
    <xf numFmtId="0" fontId="32" fillId="19" borderId="6" xfId="0" applyFont="1" applyFill="1" applyBorder="1" applyAlignment="1">
      <alignment horizontal="center"/>
    </xf>
    <xf numFmtId="0" fontId="32" fillId="19" borderId="24" xfId="0" applyFont="1" applyFill="1" applyBorder="1" applyAlignment="1">
      <alignment horizontal="center"/>
    </xf>
    <xf numFmtId="0" fontId="10" fillId="19" borderId="33" xfId="0" applyFont="1" applyFill="1" applyBorder="1" applyAlignment="1">
      <alignment horizontal="center"/>
    </xf>
    <xf numFmtId="0" fontId="32" fillId="19" borderId="8" xfId="0" applyFont="1" applyFill="1" applyBorder="1" applyAlignment="1">
      <alignment horizontal="center"/>
    </xf>
    <xf numFmtId="0" fontId="32" fillId="19" borderId="9" xfId="0" applyFont="1" applyFill="1" applyBorder="1" applyAlignment="1">
      <alignment horizontal="center"/>
    </xf>
    <xf numFmtId="0" fontId="32" fillId="19" borderId="33" xfId="0" applyFont="1" applyFill="1" applyBorder="1" applyAlignment="1">
      <alignment horizontal="center"/>
    </xf>
    <xf numFmtId="0" fontId="10" fillId="22" borderId="28" xfId="0" applyFont="1" applyFill="1" applyBorder="1" applyAlignment="1">
      <alignment horizontal="center"/>
    </xf>
    <xf numFmtId="0" fontId="10" fillId="22" borderId="1" xfId="0" applyFont="1" applyFill="1" applyBorder="1" applyAlignment="1">
      <alignment horizontal="center"/>
    </xf>
    <xf numFmtId="0" fontId="10" fillId="22" borderId="2" xfId="0" applyFont="1" applyFill="1" applyBorder="1" applyAlignment="1">
      <alignment horizontal="left"/>
    </xf>
    <xf numFmtId="0" fontId="10" fillId="22" borderId="3" xfId="0" applyFont="1" applyFill="1" applyBorder="1" applyAlignment="1">
      <alignment horizontal="left"/>
    </xf>
    <xf numFmtId="0" fontId="10" fillId="22" borderId="1" xfId="0" applyFont="1" applyFill="1" applyBorder="1" applyAlignment="1">
      <alignment horizontal="left"/>
    </xf>
    <xf numFmtId="0" fontId="10" fillId="22" borderId="28" xfId="0" applyFont="1" applyFill="1" applyBorder="1" applyAlignment="1">
      <alignment horizontal="left"/>
    </xf>
    <xf numFmtId="0" fontId="10" fillId="22" borderId="2" xfId="0" applyFont="1" applyFill="1" applyBorder="1" applyAlignment="1">
      <alignment horizontal="right"/>
    </xf>
    <xf numFmtId="0" fontId="10" fillId="22" borderId="3" xfId="0" applyFont="1" applyFill="1" applyBorder="1" applyAlignment="1">
      <alignment horizontal="right"/>
    </xf>
    <xf numFmtId="0" fontId="11" fillId="22" borderId="24" xfId="0" applyFont="1" applyFill="1" applyBorder="1" applyAlignment="1">
      <alignment horizontal="center"/>
    </xf>
    <xf numFmtId="0" fontId="32" fillId="22" borderId="4" xfId="0" applyFont="1" applyFill="1" applyBorder="1" applyAlignment="1">
      <alignment horizontal="center"/>
    </xf>
    <xf numFmtId="0" fontId="32" fillId="22" borderId="5" xfId="0" applyFont="1" applyFill="1" applyBorder="1" applyAlignment="1">
      <alignment horizontal="left"/>
    </xf>
    <xf numFmtId="0" fontId="32" fillId="22" borderId="6" xfId="0" applyFont="1" applyFill="1" applyBorder="1" applyAlignment="1">
      <alignment horizontal="left"/>
    </xf>
    <xf numFmtId="0" fontId="32" fillId="22" borderId="4" xfId="0" applyFont="1" applyFill="1" applyBorder="1" applyAlignment="1">
      <alignment horizontal="left"/>
    </xf>
    <xf numFmtId="0" fontId="32" fillId="22" borderId="24" xfId="0" applyFont="1" applyFill="1" applyBorder="1" applyAlignment="1">
      <alignment horizontal="left"/>
    </xf>
    <xf numFmtId="0" fontId="32" fillId="22" borderId="5" xfId="0" applyFont="1" applyFill="1" applyBorder="1" applyAlignment="1">
      <alignment horizontal="right"/>
    </xf>
    <xf numFmtId="0" fontId="32" fillId="22" borderId="6" xfId="0" applyFont="1" applyFill="1" applyBorder="1" applyAlignment="1">
      <alignment horizontal="right"/>
    </xf>
    <xf numFmtId="0" fontId="11" fillId="22" borderId="33" xfId="0" applyFont="1" applyFill="1" applyBorder="1" applyAlignment="1">
      <alignment horizontal="center"/>
    </xf>
    <xf numFmtId="0" fontId="32" fillId="22" borderId="7" xfId="0" applyFont="1" applyFill="1" applyBorder="1" applyAlignment="1">
      <alignment horizontal="center"/>
    </xf>
    <xf numFmtId="0" fontId="32" fillId="22" borderId="8" xfId="0" applyFont="1" applyFill="1" applyBorder="1" applyAlignment="1">
      <alignment horizontal="left"/>
    </xf>
    <xf numFmtId="0" fontId="32" fillId="22" borderId="9" xfId="0" applyFont="1" applyFill="1" applyBorder="1" applyAlignment="1">
      <alignment horizontal="left"/>
    </xf>
    <xf numFmtId="0" fontId="32" fillId="22" borderId="7" xfId="0" applyFont="1" applyFill="1" applyBorder="1" applyAlignment="1">
      <alignment horizontal="left"/>
    </xf>
    <xf numFmtId="0" fontId="32" fillId="22" borderId="33" xfId="0" applyFont="1" applyFill="1" applyBorder="1" applyAlignment="1">
      <alignment horizontal="left"/>
    </xf>
    <xf numFmtId="0" fontId="32" fillId="22" borderId="8" xfId="0" applyFont="1" applyFill="1" applyBorder="1" applyAlignment="1">
      <alignment horizontal="right"/>
    </xf>
    <xf numFmtId="0" fontId="32" fillId="22" borderId="9" xfId="0" applyFont="1" applyFill="1" applyBorder="1" applyAlignment="1">
      <alignment horizontal="right"/>
    </xf>
    <xf numFmtId="0" fontId="32" fillId="23" borderId="28" xfId="0" applyFont="1" applyFill="1" applyBorder="1" applyAlignment="1">
      <alignment horizontal="center"/>
    </xf>
    <xf numFmtId="0" fontId="10" fillId="23" borderId="1" xfId="0" applyFont="1" applyFill="1" applyBorder="1" applyAlignment="1">
      <alignment horizontal="center"/>
    </xf>
    <xf numFmtId="0" fontId="10" fillId="23" borderId="2" xfId="0" applyFont="1" applyFill="1" applyBorder="1" applyAlignment="1">
      <alignment horizontal="center"/>
    </xf>
    <xf numFmtId="0" fontId="10" fillId="23" borderId="3" xfId="0" applyFont="1" applyFill="1" applyBorder="1" applyAlignment="1">
      <alignment horizontal="center"/>
    </xf>
    <xf numFmtId="0" fontId="10" fillId="23" borderId="28" xfId="0" applyFont="1" applyFill="1" applyBorder="1" applyAlignment="1">
      <alignment horizontal="center"/>
    </xf>
    <xf numFmtId="0" fontId="10" fillId="23" borderId="2" xfId="0" applyFont="1" applyFill="1" applyBorder="1" applyAlignment="1">
      <alignment horizontal="left"/>
    </xf>
    <xf numFmtId="0" fontId="10" fillId="23" borderId="24" xfId="0" applyFont="1" applyFill="1" applyBorder="1" applyAlignment="1">
      <alignment horizontal="center"/>
    </xf>
    <xf numFmtId="4" fontId="32" fillId="23" borderId="4" xfId="0" applyNumberFormat="1" applyFont="1" applyFill="1" applyBorder="1" applyAlignment="1">
      <alignment horizontal="center"/>
    </xf>
    <xf numFmtId="4" fontId="32" fillId="23" borderId="5" xfId="0" applyNumberFormat="1" applyFont="1" applyFill="1" applyBorder="1" applyAlignment="1">
      <alignment horizontal="center"/>
    </xf>
    <xf numFmtId="4" fontId="32" fillId="23" borderId="6" xfId="0" applyNumberFormat="1" applyFont="1" applyFill="1" applyBorder="1" applyAlignment="1">
      <alignment horizontal="center"/>
    </xf>
    <xf numFmtId="4" fontId="32" fillId="23" borderId="24" xfId="0" applyNumberFormat="1" applyFont="1" applyFill="1" applyBorder="1" applyAlignment="1">
      <alignment horizontal="center"/>
    </xf>
    <xf numFmtId="4" fontId="32" fillId="23" borderId="5" xfId="0" applyNumberFormat="1" applyFont="1" applyFill="1" applyBorder="1" applyAlignment="1">
      <alignment horizontal="left"/>
    </xf>
    <xf numFmtId="0" fontId="10" fillId="23" borderId="33" xfId="0" applyFont="1" applyFill="1" applyBorder="1" applyAlignment="1">
      <alignment horizontal="center"/>
    </xf>
    <xf numFmtId="4" fontId="32" fillId="23" borderId="25" xfId="0" applyNumberFormat="1" applyFont="1" applyFill="1" applyBorder="1" applyAlignment="1">
      <alignment horizontal="center"/>
    </xf>
    <xf numFmtId="4" fontId="32" fillId="23" borderId="8" xfId="0" applyNumberFormat="1" applyFont="1" applyFill="1" applyBorder="1" applyAlignment="1">
      <alignment horizontal="center"/>
    </xf>
    <xf numFmtId="4" fontId="32" fillId="23" borderId="9" xfId="0" applyNumberFormat="1" applyFont="1" applyFill="1" applyBorder="1" applyAlignment="1">
      <alignment horizontal="center"/>
    </xf>
    <xf numFmtId="4" fontId="32" fillId="23" borderId="7" xfId="0" applyNumberFormat="1" applyFont="1" applyFill="1" applyBorder="1" applyAlignment="1">
      <alignment horizontal="center"/>
    </xf>
    <xf numFmtId="4" fontId="32" fillId="23" borderId="33" xfId="0" applyNumberFormat="1" applyFont="1" applyFill="1" applyBorder="1" applyAlignment="1">
      <alignment horizontal="center"/>
    </xf>
    <xf numFmtId="4" fontId="32" fillId="23" borderId="8" xfId="0" applyNumberFormat="1" applyFont="1" applyFill="1" applyBorder="1" applyAlignment="1">
      <alignment horizontal="left"/>
    </xf>
    <xf numFmtId="4" fontId="32" fillId="22" borderId="1" xfId="0" applyNumberFormat="1" applyFont="1" applyFill="1" applyBorder="1" applyAlignment="1">
      <alignment horizontal="center"/>
    </xf>
    <xf numFmtId="4" fontId="32" fillId="22" borderId="2" xfId="0" applyNumberFormat="1" applyFont="1" applyFill="1" applyBorder="1" applyAlignment="1">
      <alignment horizontal="center"/>
    </xf>
    <xf numFmtId="4" fontId="32" fillId="22" borderId="3" xfId="0" applyNumberFormat="1" applyFont="1" applyFill="1" applyBorder="1" applyAlignment="1">
      <alignment horizontal="center"/>
    </xf>
    <xf numFmtId="4" fontId="32" fillId="22" borderId="28" xfId="0" applyNumberFormat="1" applyFont="1" applyFill="1" applyBorder="1" applyAlignment="1">
      <alignment horizontal="center"/>
    </xf>
    <xf numFmtId="4" fontId="32" fillId="22" borderId="2" xfId="0" applyNumberFormat="1" applyFont="1" applyFill="1" applyBorder="1" applyAlignment="1">
      <alignment horizontal="left"/>
    </xf>
    <xf numFmtId="0" fontId="10" fillId="22" borderId="24" xfId="0" applyFont="1" applyFill="1" applyBorder="1" applyAlignment="1">
      <alignment horizontal="center"/>
    </xf>
    <xf numFmtId="0" fontId="32" fillId="22" borderId="5" xfId="0" applyFont="1" applyFill="1" applyBorder="1" applyAlignment="1">
      <alignment horizontal="center"/>
    </xf>
    <xf numFmtId="0" fontId="32" fillId="22" borderId="6" xfId="0" applyFont="1" applyFill="1" applyBorder="1" applyAlignment="1">
      <alignment horizontal="center"/>
    </xf>
    <xf numFmtId="0" fontId="32" fillId="22" borderId="24" xfId="0" applyFont="1" applyFill="1" applyBorder="1" applyAlignment="1">
      <alignment horizontal="center"/>
    </xf>
    <xf numFmtId="0" fontId="10" fillId="22" borderId="33" xfId="0" applyFont="1" applyFill="1" applyBorder="1" applyAlignment="1">
      <alignment horizontal="center"/>
    </xf>
    <xf numFmtId="0" fontId="32" fillId="22" borderId="8" xfId="0" applyFont="1" applyFill="1" applyBorder="1" applyAlignment="1">
      <alignment horizontal="center"/>
    </xf>
    <xf numFmtId="0" fontId="32" fillId="22" borderId="9" xfId="0" applyFont="1" applyFill="1" applyBorder="1" applyAlignment="1">
      <alignment horizontal="center"/>
    </xf>
    <xf numFmtId="0" fontId="32" fillId="22" borderId="33" xfId="0" applyFont="1" applyFill="1" applyBorder="1" applyAlignment="1">
      <alignment horizontal="center"/>
    </xf>
    <xf numFmtId="0" fontId="32" fillId="23" borderId="1" xfId="0" applyFont="1" applyFill="1" applyBorder="1" applyAlignment="1">
      <alignment horizontal="center"/>
    </xf>
    <xf numFmtId="0" fontId="32" fillId="23" borderId="2" xfId="0" applyFont="1" applyFill="1" applyBorder="1" applyAlignment="1">
      <alignment horizontal="center"/>
    </xf>
    <xf numFmtId="0" fontId="32" fillId="23" borderId="3" xfId="0" applyFont="1" applyFill="1" applyBorder="1" applyAlignment="1">
      <alignment horizontal="center"/>
    </xf>
    <xf numFmtId="0" fontId="32" fillId="23" borderId="2" xfId="0" applyFont="1" applyFill="1" applyBorder="1" applyAlignment="1">
      <alignment horizontal="left"/>
    </xf>
    <xf numFmtId="0" fontId="32" fillId="23" borderId="30" xfId="0" applyFont="1" applyFill="1" applyBorder="1" applyAlignment="1">
      <alignment horizontal="center"/>
    </xf>
    <xf numFmtId="0" fontId="32" fillId="23" borderId="4" xfId="0" applyFont="1" applyFill="1" applyBorder="1" applyAlignment="1">
      <alignment horizontal="center"/>
    </xf>
    <xf numFmtId="3" fontId="32" fillId="23" borderId="5" xfId="0" applyNumberFormat="1" applyFont="1" applyFill="1" applyBorder="1" applyAlignment="1">
      <alignment horizontal="center"/>
    </xf>
    <xf numFmtId="3" fontId="32" fillId="23" borderId="6" xfId="0" applyNumberFormat="1" applyFont="1" applyFill="1" applyBorder="1" applyAlignment="1">
      <alignment horizontal="center"/>
    </xf>
    <xf numFmtId="3" fontId="32" fillId="23" borderId="4" xfId="0" applyNumberFormat="1" applyFont="1" applyFill="1" applyBorder="1" applyAlignment="1">
      <alignment horizontal="center"/>
    </xf>
    <xf numFmtId="0" fontId="32" fillId="23" borderId="31" xfId="0" applyFont="1" applyFill="1" applyBorder="1" applyAlignment="1">
      <alignment horizontal="center"/>
    </xf>
    <xf numFmtId="0" fontId="32" fillId="23" borderId="32" xfId="0" applyFont="1" applyFill="1" applyBorder="1" applyAlignment="1">
      <alignment horizontal="center"/>
    </xf>
    <xf numFmtId="4" fontId="32" fillId="23" borderId="34" xfId="0" applyNumberFormat="1" applyFont="1" applyFill="1" applyBorder="1" applyAlignment="1">
      <alignment horizontal="center"/>
    </xf>
    <xf numFmtId="3" fontId="32" fillId="23" borderId="9" xfId="0" applyNumberFormat="1" applyFont="1" applyFill="1" applyBorder="1" applyAlignment="1">
      <alignment horizontal="center"/>
    </xf>
    <xf numFmtId="3" fontId="32" fillId="23" borderId="7" xfId="0" applyNumberFormat="1" applyFont="1" applyFill="1" applyBorder="1" applyAlignment="1">
      <alignment horizontal="center"/>
    </xf>
    <xf numFmtId="0" fontId="10" fillId="22" borderId="35" xfId="0" applyFont="1" applyFill="1" applyBorder="1" applyAlignment="1">
      <alignment horizontal="center"/>
    </xf>
    <xf numFmtId="0" fontId="32" fillId="22" borderId="31" xfId="0" applyFont="1" applyFill="1" applyBorder="1" applyAlignment="1">
      <alignment horizontal="center"/>
    </xf>
    <xf numFmtId="0" fontId="32" fillId="22" borderId="10" xfId="0" applyFont="1" applyFill="1" applyBorder="1" applyAlignment="1">
      <alignment horizontal="center"/>
    </xf>
    <xf numFmtId="0" fontId="32" fillId="22" borderId="36" xfId="0" applyFont="1" applyFill="1" applyBorder="1" applyAlignment="1">
      <alignment horizontal="center"/>
    </xf>
    <xf numFmtId="0" fontId="32" fillId="22" borderId="38" xfId="0" applyFont="1" applyFill="1" applyBorder="1" applyAlignment="1">
      <alignment horizontal="center"/>
    </xf>
    <xf numFmtId="0" fontId="32" fillId="22" borderId="11" xfId="0" applyFont="1" applyFill="1" applyBorder="1" applyAlignment="1">
      <alignment horizontal="left"/>
    </xf>
    <xf numFmtId="0" fontId="10" fillId="19" borderId="4" xfId="0" applyFont="1" applyFill="1" applyBorder="1" applyAlignment="1">
      <alignment horizontal="center"/>
    </xf>
    <xf numFmtId="0" fontId="10" fillId="19" borderId="5" xfId="0" applyFont="1" applyFill="1" applyBorder="1" applyAlignment="1">
      <alignment horizontal="left"/>
    </xf>
    <xf numFmtId="0" fontId="10" fillId="19" borderId="6" xfId="0" applyFont="1" applyFill="1" applyBorder="1" applyAlignment="1">
      <alignment horizontal="left"/>
    </xf>
    <xf numFmtId="0" fontId="10" fillId="19" borderId="4" xfId="0" applyFont="1" applyFill="1" applyBorder="1" applyAlignment="1">
      <alignment horizontal="left"/>
    </xf>
    <xf numFmtId="0" fontId="10" fillId="19" borderId="23" xfId="0" applyFont="1" applyFill="1" applyBorder="1" applyAlignment="1">
      <alignment horizontal="left"/>
    </xf>
    <xf numFmtId="0" fontId="10" fillId="19" borderId="24" xfId="0" applyFont="1" applyFill="1" applyBorder="1" applyAlignment="1">
      <alignment horizontal="left"/>
    </xf>
    <xf numFmtId="0" fontId="10" fillId="19" borderId="5" xfId="0" applyFont="1" applyFill="1" applyBorder="1" applyAlignment="1">
      <alignment horizontal="right"/>
    </xf>
    <xf numFmtId="0" fontId="10" fillId="19" borderId="6" xfId="0" applyFont="1" applyFill="1" applyBorder="1" applyAlignment="1">
      <alignment horizontal="right"/>
    </xf>
    <xf numFmtId="0" fontId="10" fillId="4" borderId="4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left"/>
    </xf>
    <xf numFmtId="0" fontId="10" fillId="4" borderId="6" xfId="0" applyFont="1" applyFill="1" applyBorder="1" applyAlignment="1">
      <alignment horizontal="left"/>
    </xf>
    <xf numFmtId="0" fontId="10" fillId="4" borderId="4" xfId="0" applyFont="1" applyFill="1" applyBorder="1" applyAlignment="1">
      <alignment horizontal="left"/>
    </xf>
    <xf numFmtId="0" fontId="10" fillId="4" borderId="23" xfId="0" applyFont="1" applyFill="1" applyBorder="1" applyAlignment="1">
      <alignment horizontal="left"/>
    </xf>
    <xf numFmtId="0" fontId="10" fillId="4" borderId="24" xfId="0" applyFont="1" applyFill="1" applyBorder="1" applyAlignment="1">
      <alignment horizontal="left"/>
    </xf>
    <xf numFmtId="0" fontId="10" fillId="4" borderId="6" xfId="0" applyFont="1" applyFill="1" applyBorder="1" applyAlignment="1">
      <alignment horizontal="right"/>
    </xf>
    <xf numFmtId="0" fontId="10" fillId="5" borderId="24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left"/>
    </xf>
    <xf numFmtId="0" fontId="10" fillId="5" borderId="6" xfId="0" applyFont="1" applyFill="1" applyBorder="1" applyAlignment="1">
      <alignment horizontal="left"/>
    </xf>
    <xf numFmtId="0" fontId="10" fillId="5" borderId="4" xfId="0" applyFont="1" applyFill="1" applyBorder="1" applyAlignment="1">
      <alignment horizontal="left"/>
    </xf>
    <xf numFmtId="0" fontId="10" fillId="5" borderId="23" xfId="0" applyFont="1" applyFill="1" applyBorder="1" applyAlignment="1">
      <alignment horizontal="left"/>
    </xf>
    <xf numFmtId="0" fontId="10" fillId="5" borderId="24" xfId="0" applyFont="1" applyFill="1" applyBorder="1" applyAlignment="1">
      <alignment horizontal="left"/>
    </xf>
    <xf numFmtId="0" fontId="10" fillId="5" borderId="5" xfId="0" applyFont="1" applyFill="1" applyBorder="1" applyAlignment="1">
      <alignment horizontal="right"/>
    </xf>
    <xf numFmtId="0" fontId="10" fillId="5" borderId="6" xfId="0" applyFont="1" applyFill="1" applyBorder="1" applyAlignment="1">
      <alignment horizontal="right"/>
    </xf>
    <xf numFmtId="0" fontId="32" fillId="20" borderId="4" xfId="0" applyFont="1" applyFill="1" applyBorder="1" applyAlignment="1">
      <alignment horizontal="center"/>
    </xf>
    <xf numFmtId="0" fontId="32" fillId="20" borderId="5" xfId="0" applyFont="1" applyFill="1" applyBorder="1" applyAlignment="1">
      <alignment horizontal="left"/>
    </xf>
    <xf numFmtId="0" fontId="32" fillId="20" borderId="4" xfId="0" applyFont="1" applyFill="1" applyBorder="1" applyAlignment="1">
      <alignment horizontal="left"/>
    </xf>
    <xf numFmtId="0" fontId="32" fillId="20" borderId="24" xfId="0" applyFont="1" applyFill="1" applyBorder="1" applyAlignment="1">
      <alignment horizontal="left"/>
    </xf>
    <xf numFmtId="0" fontId="32" fillId="20" borderId="5" xfId="0" applyFont="1" applyFill="1" applyBorder="1" applyAlignment="1">
      <alignment horizontal="right"/>
    </xf>
    <xf numFmtId="0" fontId="32" fillId="20" borderId="6" xfId="0" applyFont="1" applyFill="1" applyBorder="1" applyAlignment="1">
      <alignment horizontal="right"/>
    </xf>
    <xf numFmtId="0" fontId="10" fillId="0" borderId="4" xfId="0" applyFont="1" applyBorder="1" applyAlignment="1">
      <alignment horizontal="center"/>
    </xf>
    <xf numFmtId="0" fontId="10" fillId="0" borderId="6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23" xfId="0" applyFont="1" applyBorder="1" applyAlignment="1">
      <alignment horizontal="left"/>
    </xf>
    <xf numFmtId="0" fontId="10" fillId="0" borderId="24" xfId="0" applyFont="1" applyBorder="1" applyAlignment="1">
      <alignment horizontal="left"/>
    </xf>
    <xf numFmtId="0" fontId="10" fillId="0" borderId="6" xfId="0" applyFont="1" applyBorder="1" applyAlignment="1">
      <alignment horizontal="right"/>
    </xf>
    <xf numFmtId="0" fontId="11" fillId="4" borderId="30" xfId="0" applyFont="1" applyFill="1" applyBorder="1" applyAlignment="1">
      <alignment horizontal="center"/>
    </xf>
    <xf numFmtId="0" fontId="32" fillId="21" borderId="5" xfId="0" applyFont="1" applyFill="1" applyBorder="1" applyAlignment="1">
      <alignment horizontal="center"/>
    </xf>
    <xf numFmtId="0" fontId="32" fillId="21" borderId="6" xfId="0" applyFont="1" applyFill="1" applyBorder="1" applyAlignment="1">
      <alignment horizontal="center"/>
    </xf>
    <xf numFmtId="0" fontId="32" fillId="21" borderId="24" xfId="0" applyFont="1" applyFill="1" applyBorder="1" applyAlignment="1">
      <alignment horizontal="center"/>
    </xf>
    <xf numFmtId="0" fontId="32" fillId="21" borderId="5" xfId="0" applyFont="1" applyFill="1" applyBorder="1" applyAlignment="1">
      <alignment horizontal="left"/>
    </xf>
    <xf numFmtId="4" fontId="32" fillId="19" borderId="4" xfId="0" applyNumberFormat="1" applyFont="1" applyFill="1" applyBorder="1" applyAlignment="1">
      <alignment horizontal="center"/>
    </xf>
    <xf numFmtId="4" fontId="32" fillId="19" borderId="5" xfId="0" applyNumberFormat="1" applyFont="1" applyFill="1" applyBorder="1" applyAlignment="1">
      <alignment horizontal="center"/>
    </xf>
    <xf numFmtId="4" fontId="32" fillId="19" borderId="6" xfId="0" applyNumberFormat="1" applyFont="1" applyFill="1" applyBorder="1" applyAlignment="1">
      <alignment horizontal="center"/>
    </xf>
    <xf numFmtId="4" fontId="32" fillId="19" borderId="24" xfId="0" applyNumberFormat="1" applyFont="1" applyFill="1" applyBorder="1" applyAlignment="1">
      <alignment horizontal="center"/>
    </xf>
    <xf numFmtId="4" fontId="32" fillId="19" borderId="5" xfId="0" applyNumberFormat="1" applyFont="1" applyFill="1" applyBorder="1" applyAlignment="1">
      <alignment horizontal="left"/>
    </xf>
    <xf numFmtId="0" fontId="32" fillId="5" borderId="5" xfId="0" applyFont="1" applyFill="1" applyBorder="1" applyAlignment="1">
      <alignment horizontal="center"/>
    </xf>
    <xf numFmtId="0" fontId="32" fillId="5" borderId="6" xfId="0" applyFont="1" applyFill="1" applyBorder="1" applyAlignment="1">
      <alignment horizontal="center"/>
    </xf>
    <xf numFmtId="0" fontId="32" fillId="19" borderId="23" xfId="0" applyFont="1" applyFill="1" applyBorder="1" applyAlignment="1">
      <alignment horizontal="center"/>
    </xf>
    <xf numFmtId="0" fontId="32" fillId="19" borderId="63" xfId="0" applyFont="1" applyFill="1" applyBorder="1" applyAlignment="1">
      <alignment horizontal="center"/>
    </xf>
    <xf numFmtId="0" fontId="32" fillId="19" borderId="64" xfId="0" applyFont="1" applyFill="1" applyBorder="1" applyAlignment="1">
      <alignment horizontal="center"/>
    </xf>
    <xf numFmtId="0" fontId="32" fillId="19" borderId="65" xfId="0" applyFont="1" applyFill="1" applyBorder="1" applyAlignment="1">
      <alignment horizontal="center"/>
    </xf>
    <xf numFmtId="0" fontId="32" fillId="19" borderId="66" xfId="0" applyFont="1" applyFill="1" applyBorder="1" applyAlignment="1">
      <alignment horizontal="center"/>
    </xf>
    <xf numFmtId="0" fontId="31" fillId="18" borderId="71" xfId="0" applyFont="1" applyFill="1" applyBorder="1" applyAlignment="1">
      <alignment horizontal="center"/>
    </xf>
    <xf numFmtId="0" fontId="31" fillId="18" borderId="61" xfId="0" applyFont="1" applyFill="1" applyBorder="1" applyAlignment="1">
      <alignment horizontal="center" vertical="center"/>
    </xf>
    <xf numFmtId="0" fontId="31" fillId="18" borderId="72" xfId="0" applyFont="1" applyFill="1" applyBorder="1" applyAlignment="1">
      <alignment horizontal="center" vertical="center"/>
    </xf>
    <xf numFmtId="0" fontId="31" fillId="24" borderId="73" xfId="0" applyFont="1" applyFill="1" applyBorder="1" applyAlignment="1">
      <alignment horizontal="center" vertical="center"/>
    </xf>
    <xf numFmtId="0" fontId="31" fillId="24" borderId="51" xfId="0" applyFont="1" applyFill="1" applyBorder="1" applyAlignment="1">
      <alignment horizontal="center" vertical="center"/>
    </xf>
    <xf numFmtId="0" fontId="31" fillId="24" borderId="72" xfId="0" applyFont="1" applyFill="1" applyBorder="1" applyAlignment="1">
      <alignment horizontal="center" vertical="center"/>
    </xf>
    <xf numFmtId="0" fontId="31" fillId="18" borderId="61" xfId="0" applyFont="1" applyFill="1" applyBorder="1" applyAlignment="1">
      <alignment horizontal="center"/>
    </xf>
    <xf numFmtId="0" fontId="31" fillId="18" borderId="62" xfId="0" applyFont="1" applyFill="1" applyBorder="1" applyAlignment="1">
      <alignment horizontal="center"/>
    </xf>
    <xf numFmtId="0" fontId="32" fillId="20" borderId="1" xfId="0" applyFont="1" applyFill="1" applyBorder="1" applyAlignment="1">
      <alignment horizontal="center" vertical="center"/>
    </xf>
    <xf numFmtId="0" fontId="32" fillId="0" borderId="30" xfId="0" applyFont="1" applyBorder="1" applyAlignment="1">
      <alignment horizontal="left"/>
    </xf>
    <xf numFmtId="4" fontId="32" fillId="22" borderId="4" xfId="0" applyNumberFormat="1" applyFont="1" applyFill="1" applyBorder="1" applyAlignment="1">
      <alignment horizontal="center"/>
    </xf>
    <xf numFmtId="4" fontId="32" fillId="22" borderId="5" xfId="0" applyNumberFormat="1" applyFont="1" applyFill="1" applyBorder="1" applyAlignment="1">
      <alignment horizontal="center"/>
    </xf>
    <xf numFmtId="4" fontId="32" fillId="22" borderId="6" xfId="0" applyNumberFormat="1" applyFont="1" applyFill="1" applyBorder="1" applyAlignment="1">
      <alignment horizontal="center"/>
    </xf>
    <xf numFmtId="4" fontId="32" fillId="22" borderId="24" xfId="0" applyNumberFormat="1" applyFont="1" applyFill="1" applyBorder="1" applyAlignment="1">
      <alignment horizontal="center"/>
    </xf>
    <xf numFmtId="4" fontId="32" fillId="22" borderId="5" xfId="0" applyNumberFormat="1" applyFont="1" applyFill="1" applyBorder="1" applyAlignment="1">
      <alignment horizontal="left"/>
    </xf>
    <xf numFmtId="0" fontId="32" fillId="23" borderId="5" xfId="0" applyFont="1" applyFill="1" applyBorder="1" applyAlignment="1">
      <alignment horizontal="center"/>
    </xf>
    <xf numFmtId="0" fontId="32" fillId="23" borderId="6" xfId="0" applyFont="1" applyFill="1" applyBorder="1" applyAlignment="1">
      <alignment horizontal="center"/>
    </xf>
    <xf numFmtId="0" fontId="32" fillId="23" borderId="24" xfId="0" applyFont="1" applyFill="1" applyBorder="1" applyAlignment="1">
      <alignment horizontal="center"/>
    </xf>
    <xf numFmtId="0" fontId="32" fillId="23" borderId="5" xfId="0" applyFont="1" applyFill="1" applyBorder="1" applyAlignment="1">
      <alignment horizontal="left"/>
    </xf>
    <xf numFmtId="0" fontId="10" fillId="22" borderId="23" xfId="0" applyFont="1" applyFill="1" applyBorder="1" applyAlignment="1">
      <alignment horizontal="center"/>
    </xf>
    <xf numFmtId="0" fontId="32" fillId="0" borderId="23" xfId="0" applyFont="1" applyBorder="1" applyAlignment="1">
      <alignment horizontal="center"/>
    </xf>
    <xf numFmtId="4" fontId="32" fillId="0" borderId="23" xfId="0" applyNumberFormat="1" applyFont="1" applyBorder="1" applyAlignment="1">
      <alignment horizontal="center"/>
    </xf>
    <xf numFmtId="3" fontId="32" fillId="0" borderId="23" xfId="0" applyNumberFormat="1" applyFont="1" applyBorder="1" applyAlignment="1">
      <alignment horizontal="center"/>
    </xf>
    <xf numFmtId="3" fontId="32" fillId="5" borderId="23" xfId="0" applyNumberFormat="1" applyFont="1" applyFill="1" applyBorder="1" applyAlignment="1">
      <alignment horizontal="center"/>
    </xf>
    <xf numFmtId="4" fontId="32" fillId="5" borderId="23" xfId="0" applyNumberFormat="1" applyFont="1" applyFill="1" applyBorder="1" applyAlignment="1">
      <alignment horizontal="center"/>
    </xf>
    <xf numFmtId="0" fontId="32" fillId="4" borderId="30" xfId="0" applyFont="1" applyFill="1" applyBorder="1" applyAlignment="1">
      <alignment horizontal="left"/>
    </xf>
    <xf numFmtId="0" fontId="11" fillId="0" borderId="30" xfId="0" applyFont="1" applyBorder="1" applyAlignment="1">
      <alignment horizontal="center"/>
    </xf>
    <xf numFmtId="0" fontId="32" fillId="19" borderId="24" xfId="0" applyFont="1" applyFill="1" applyBorder="1" applyAlignment="1">
      <alignment horizontal="left" vertical="center"/>
    </xf>
    <xf numFmtId="0" fontId="32" fillId="21" borderId="28" xfId="0" applyFont="1" applyFill="1" applyBorder="1" applyAlignment="1">
      <alignment horizontal="left" vertical="center"/>
    </xf>
    <xf numFmtId="0" fontId="32" fillId="19" borderId="6" xfId="0" applyFont="1" applyFill="1" applyBorder="1" applyAlignment="1">
      <alignment horizontal="center" vertical="center"/>
    </xf>
    <xf numFmtId="0" fontId="45" fillId="3" borderId="10" xfId="0" applyFont="1" applyFill="1" applyBorder="1" applyAlignment="1">
      <alignment horizontal="center" vertical="center"/>
    </xf>
    <xf numFmtId="0" fontId="45" fillId="3" borderId="11" xfId="0" applyFont="1" applyFill="1" applyBorder="1" applyAlignment="1">
      <alignment horizontal="center" vertical="center"/>
    </xf>
    <xf numFmtId="0" fontId="45" fillId="3" borderId="1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4" fontId="12" fillId="25" borderId="8" xfId="0" applyNumberFormat="1" applyFont="1" applyFill="1" applyBorder="1" applyAlignment="1">
      <alignment horizontal="right"/>
    </xf>
    <xf numFmtId="4" fontId="12" fillId="25" borderId="5" xfId="0" applyNumberFormat="1" applyFont="1" applyFill="1" applyBorder="1" applyAlignment="1">
      <alignment horizontal="right"/>
    </xf>
    <xf numFmtId="4" fontId="8" fillId="26" borderId="5" xfId="0" applyNumberFormat="1" applyFont="1" applyFill="1" applyBorder="1" applyAlignment="1">
      <alignment horizontal="right"/>
    </xf>
    <xf numFmtId="4" fontId="10" fillId="21" borderId="5" xfId="0" applyNumberFormat="1" applyFont="1" applyFill="1" applyBorder="1" applyAlignment="1">
      <alignment horizontal="right"/>
    </xf>
    <xf numFmtId="4" fontId="12" fillId="25" borderId="45" xfId="0" applyNumberFormat="1" applyFont="1" applyFill="1" applyBorder="1" applyAlignment="1">
      <alignment horizontal="right"/>
    </xf>
    <xf numFmtId="2" fontId="12" fillId="25" borderId="5" xfId="0" applyNumberFormat="1" applyFont="1" applyFill="1" applyBorder="1" applyAlignment="1">
      <alignment horizontal="right"/>
    </xf>
    <xf numFmtId="4" fontId="12" fillId="25" borderId="5" xfId="0" applyNumberFormat="1" applyFont="1" applyFill="1" applyBorder="1" applyAlignment="1">
      <alignment horizontal="right" vertical="top"/>
    </xf>
    <xf numFmtId="4" fontId="11" fillId="26" borderId="5" xfId="0" applyNumberFormat="1" applyFont="1" applyFill="1" applyBorder="1" applyAlignment="1">
      <alignment horizontal="right"/>
    </xf>
    <xf numFmtId="4" fontId="10" fillId="21" borderId="8" xfId="0" applyNumberFormat="1" applyFont="1" applyFill="1" applyBorder="1" applyAlignment="1">
      <alignment horizontal="right"/>
    </xf>
    <xf numFmtId="4" fontId="12" fillId="25" borderId="10" xfId="0" applyNumberFormat="1" applyFont="1" applyFill="1" applyBorder="1" applyAlignment="1">
      <alignment horizontal="right"/>
    </xf>
    <xf numFmtId="4" fontId="12" fillId="25" borderId="12" xfId="0" applyNumberFormat="1" applyFont="1" applyFill="1" applyBorder="1" applyAlignment="1">
      <alignment horizontal="right"/>
    </xf>
    <xf numFmtId="4" fontId="12" fillId="21" borderId="47" xfId="0" applyNumberFormat="1" applyFont="1" applyFill="1" applyBorder="1" applyAlignment="1">
      <alignment horizontal="right"/>
    </xf>
    <xf numFmtId="4" fontId="11" fillId="21" borderId="8" xfId="0" applyNumberFormat="1" applyFont="1" applyFill="1" applyBorder="1" applyAlignment="1">
      <alignment horizontal="right" vertical="top"/>
    </xf>
    <xf numFmtId="0" fontId="10" fillId="21" borderId="8" xfId="0" applyFont="1" applyFill="1" applyBorder="1" applyAlignment="1">
      <alignment horizontal="right"/>
    </xf>
    <xf numFmtId="4" fontId="12" fillId="25" borderId="49" xfId="0" applyNumberFormat="1" applyFont="1" applyFill="1" applyBorder="1" applyAlignment="1">
      <alignment horizontal="right"/>
    </xf>
    <xf numFmtId="4" fontId="12" fillId="21" borderId="8" xfId="0" applyNumberFormat="1" applyFont="1" applyFill="1" applyBorder="1" applyAlignment="1">
      <alignment horizontal="right"/>
    </xf>
    <xf numFmtId="4" fontId="12" fillId="21" borderId="5" xfId="0" applyNumberFormat="1" applyFont="1" applyFill="1" applyBorder="1" applyAlignment="1">
      <alignment horizontal="right"/>
    </xf>
    <xf numFmtId="0" fontId="10" fillId="21" borderId="5" xfId="0" applyFont="1" applyFill="1" applyBorder="1" applyAlignment="1">
      <alignment horizontal="right"/>
    </xf>
    <xf numFmtId="0" fontId="58" fillId="0" borderId="0" xfId="0" applyFont="1" applyAlignment="1">
      <alignment vertical="center" wrapText="1"/>
    </xf>
    <xf numFmtId="0" fontId="59" fillId="0" borderId="0" xfId="0" applyFont="1"/>
    <xf numFmtId="0" fontId="56" fillId="27" borderId="10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left" vertical="center"/>
    </xf>
    <xf numFmtId="4" fontId="52" fillId="0" borderId="12" xfId="0" applyNumberFormat="1" applyFont="1" applyBorder="1" applyAlignment="1">
      <alignment horizontal="right" vertical="center"/>
    </xf>
    <xf numFmtId="4" fontId="11" fillId="0" borderId="12" xfId="0" applyNumberFormat="1" applyFont="1" applyBorder="1" applyAlignment="1">
      <alignment horizontal="right" vertical="center"/>
    </xf>
    <xf numFmtId="0" fontId="56" fillId="27" borderId="55" xfId="0" applyFont="1" applyFill="1" applyBorder="1" applyAlignment="1">
      <alignment horizontal="center" vertical="center" wrapText="1"/>
    </xf>
    <xf numFmtId="0" fontId="56" fillId="27" borderId="78" xfId="0" applyFont="1" applyFill="1" applyBorder="1" applyAlignment="1">
      <alignment horizontal="center" vertical="center" wrapText="1"/>
    </xf>
    <xf numFmtId="0" fontId="56" fillId="27" borderId="79" xfId="0" applyFont="1" applyFill="1" applyBorder="1" applyAlignment="1">
      <alignment horizontal="center" vertical="center" wrapText="1"/>
    </xf>
    <xf numFmtId="0" fontId="12" fillId="28" borderId="79" xfId="0" applyFont="1" applyFill="1" applyBorder="1" applyAlignment="1">
      <alignment horizontal="center" vertical="center"/>
    </xf>
    <xf numFmtId="0" fontId="57" fillId="27" borderId="79" xfId="0" applyFont="1" applyFill="1" applyBorder="1" applyAlignment="1">
      <alignment horizontal="center" vertical="center"/>
    </xf>
    <xf numFmtId="0" fontId="56" fillId="27" borderId="35" xfId="0" applyFont="1" applyFill="1" applyBorder="1" applyAlignment="1">
      <alignment horizontal="center" vertical="center" wrapText="1"/>
    </xf>
    <xf numFmtId="0" fontId="29" fillId="7" borderId="54" xfId="0" applyFont="1" applyFill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0" fillId="0" borderId="0" xfId="0" applyFont="1" applyAlignment="1">
      <alignment horizontal="center" vertical="center"/>
    </xf>
    <xf numFmtId="4" fontId="61" fillId="0" borderId="0" xfId="0" applyNumberFormat="1" applyFont="1"/>
    <xf numFmtId="0" fontId="61" fillId="0" borderId="0" xfId="0" applyFont="1"/>
    <xf numFmtId="0" fontId="32" fillId="21" borderId="3" xfId="0" applyFont="1" applyFill="1" applyBorder="1" applyAlignment="1">
      <alignment horizontal="center" vertical="center"/>
    </xf>
    <xf numFmtId="0" fontId="32" fillId="21" borderId="6" xfId="0" applyFont="1" applyFill="1" applyBorder="1" applyAlignment="1">
      <alignment horizontal="center" vertical="center"/>
    </xf>
    <xf numFmtId="4" fontId="32" fillId="21" borderId="6" xfId="0" applyNumberFormat="1" applyFont="1" applyFill="1" applyBorder="1" applyAlignment="1">
      <alignment horizontal="center" vertical="center"/>
    </xf>
    <xf numFmtId="4" fontId="32" fillId="21" borderId="9" xfId="0" applyNumberFormat="1" applyFont="1" applyFill="1" applyBorder="1" applyAlignment="1">
      <alignment horizontal="center" vertical="center"/>
    </xf>
    <xf numFmtId="0" fontId="32" fillId="23" borderId="3" xfId="0" applyFont="1" applyFill="1" applyBorder="1" applyAlignment="1">
      <alignment horizontal="center" vertical="center"/>
    </xf>
    <xf numFmtId="4" fontId="32" fillId="23" borderId="6" xfId="0" applyNumberFormat="1" applyFont="1" applyFill="1" applyBorder="1" applyAlignment="1">
      <alignment horizontal="center" vertical="center"/>
    </xf>
    <xf numFmtId="4" fontId="32" fillId="23" borderId="9" xfId="0" applyNumberFormat="1" applyFont="1" applyFill="1" applyBorder="1" applyAlignment="1">
      <alignment horizontal="center" vertical="center"/>
    </xf>
    <xf numFmtId="0" fontId="32" fillId="23" borderId="6" xfId="0" applyFont="1" applyFill="1" applyBorder="1" applyAlignment="1">
      <alignment horizontal="center" vertical="center"/>
    </xf>
    <xf numFmtId="0" fontId="10" fillId="19" borderId="24" xfId="0" applyFont="1" applyFill="1" applyBorder="1" applyAlignment="1">
      <alignment horizontal="center" vertical="center"/>
    </xf>
    <xf numFmtId="0" fontId="32" fillId="19" borderId="24" xfId="0" applyFont="1" applyFill="1" applyBorder="1" applyAlignment="1">
      <alignment horizontal="center" vertical="center"/>
    </xf>
    <xf numFmtId="0" fontId="32" fillId="19" borderId="33" xfId="0" applyFont="1" applyFill="1" applyBorder="1" applyAlignment="1">
      <alignment horizontal="center" vertical="center"/>
    </xf>
    <xf numFmtId="0" fontId="32" fillId="20" borderId="6" xfId="0" applyFont="1" applyFill="1" applyBorder="1" applyAlignment="1">
      <alignment horizontal="center" vertical="center"/>
    </xf>
    <xf numFmtId="4" fontId="32" fillId="20" borderId="6" xfId="0" applyNumberFormat="1" applyFont="1" applyFill="1" applyBorder="1" applyAlignment="1">
      <alignment horizontal="center" vertical="center"/>
    </xf>
    <xf numFmtId="4" fontId="32" fillId="20" borderId="9" xfId="0" applyNumberFormat="1" applyFont="1" applyFill="1" applyBorder="1" applyAlignment="1">
      <alignment horizontal="center" vertical="center"/>
    </xf>
    <xf numFmtId="0" fontId="32" fillId="20" borderId="3" xfId="0" applyFont="1" applyFill="1" applyBorder="1" applyAlignment="1">
      <alignment horizontal="center" vertical="center"/>
    </xf>
    <xf numFmtId="0" fontId="10" fillId="19" borderId="3" xfId="0" applyFont="1" applyFill="1" applyBorder="1" applyAlignment="1">
      <alignment horizontal="center" vertical="center"/>
    </xf>
    <xf numFmtId="0" fontId="10" fillId="19" borderId="6" xfId="0" applyFont="1" applyFill="1" applyBorder="1" applyAlignment="1">
      <alignment horizontal="center" vertical="center"/>
    </xf>
    <xf numFmtId="0" fontId="32" fillId="19" borderId="9" xfId="0" applyFont="1" applyFill="1" applyBorder="1" applyAlignment="1">
      <alignment horizontal="center" vertical="center"/>
    </xf>
    <xf numFmtId="0" fontId="10" fillId="22" borderId="3" xfId="0" applyFont="1" applyFill="1" applyBorder="1" applyAlignment="1">
      <alignment horizontal="center" vertical="center"/>
    </xf>
    <xf numFmtId="0" fontId="32" fillId="22" borderId="6" xfId="0" applyFont="1" applyFill="1" applyBorder="1" applyAlignment="1">
      <alignment horizontal="center" vertical="center"/>
    </xf>
    <xf numFmtId="0" fontId="32" fillId="22" borderId="9" xfId="0" applyFont="1" applyFill="1" applyBorder="1" applyAlignment="1">
      <alignment horizontal="center" vertical="center"/>
    </xf>
    <xf numFmtId="0" fontId="10" fillId="23" borderId="3" xfId="0" applyFont="1" applyFill="1" applyBorder="1" applyAlignment="1">
      <alignment horizontal="center" vertical="center"/>
    </xf>
    <xf numFmtId="4" fontId="32" fillId="19" borderId="3" xfId="0" applyNumberFormat="1" applyFont="1" applyFill="1" applyBorder="1" applyAlignment="1">
      <alignment horizontal="center" vertical="center"/>
    </xf>
    <xf numFmtId="4" fontId="32" fillId="19" borderId="6" xfId="0" applyNumberFormat="1" applyFont="1" applyFill="1" applyBorder="1" applyAlignment="1">
      <alignment horizontal="center" vertical="center"/>
    </xf>
    <xf numFmtId="4" fontId="32" fillId="22" borderId="3" xfId="0" applyNumberFormat="1" applyFont="1" applyFill="1" applyBorder="1" applyAlignment="1">
      <alignment horizontal="center" vertical="center"/>
    </xf>
    <xf numFmtId="4" fontId="32" fillId="22" borderId="6" xfId="0" applyNumberFormat="1" applyFont="1" applyFill="1" applyBorder="1" applyAlignment="1">
      <alignment horizontal="center" vertical="center"/>
    </xf>
    <xf numFmtId="0" fontId="32" fillId="22" borderId="23" xfId="0" applyFont="1" applyFill="1" applyBorder="1" applyAlignment="1">
      <alignment horizontal="center" vertical="center"/>
    </xf>
    <xf numFmtId="0" fontId="32" fillId="22" borderId="37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64" fillId="0" borderId="0" xfId="0" applyFont="1" applyAlignment="1">
      <alignment vertical="center"/>
    </xf>
    <xf numFmtId="9" fontId="64" fillId="0" borderId="0" xfId="2" applyFont="1" applyFill="1" applyAlignment="1">
      <alignment vertical="center"/>
    </xf>
    <xf numFmtId="188" fontId="62" fillId="0" borderId="0" xfId="0" applyNumberFormat="1" applyFont="1" applyAlignment="1">
      <alignment horizontal="left" vertical="center"/>
    </xf>
    <xf numFmtId="0" fontId="65" fillId="32" borderId="53" xfId="0" applyFont="1" applyFill="1" applyBorder="1" applyAlignment="1">
      <alignment horizontal="center" vertical="center"/>
    </xf>
    <xf numFmtId="0" fontId="65" fillId="32" borderId="52" xfId="0" applyFont="1" applyFill="1" applyBorder="1" applyAlignment="1">
      <alignment horizontal="center" vertical="center"/>
    </xf>
    <xf numFmtId="0" fontId="65" fillId="32" borderId="54" xfId="0" applyFont="1" applyFill="1" applyBorder="1" applyAlignment="1">
      <alignment horizontal="center" vertical="center"/>
    </xf>
    <xf numFmtId="0" fontId="65" fillId="33" borderId="87" xfId="0" applyFont="1" applyFill="1" applyBorder="1" applyAlignment="1">
      <alignment horizontal="center" vertical="center"/>
    </xf>
    <xf numFmtId="0" fontId="65" fillId="33" borderId="79" xfId="0" applyFont="1" applyFill="1" applyBorder="1" applyAlignment="1">
      <alignment horizontal="center" vertical="center"/>
    </xf>
    <xf numFmtId="0" fontId="65" fillId="33" borderId="88" xfId="0" applyFont="1" applyFill="1" applyBorder="1" applyAlignment="1">
      <alignment horizontal="center" vertical="center"/>
    </xf>
    <xf numFmtId="43" fontId="66" fillId="34" borderId="54" xfId="1" applyFont="1" applyFill="1" applyBorder="1" applyAlignment="1">
      <alignment horizontal="center" vertical="center"/>
    </xf>
    <xf numFmtId="9" fontId="64" fillId="34" borderId="52" xfId="2" applyFont="1" applyFill="1" applyBorder="1" applyAlignment="1">
      <alignment horizontal="center" vertical="center"/>
    </xf>
    <xf numFmtId="0" fontId="65" fillId="34" borderId="55" xfId="0" applyFont="1" applyFill="1" applyBorder="1" applyAlignment="1">
      <alignment horizontal="center" vertical="center"/>
    </xf>
    <xf numFmtId="0" fontId="64" fillId="0" borderId="91" xfId="0" applyFont="1" applyBorder="1" applyAlignment="1">
      <alignment vertical="center"/>
    </xf>
    <xf numFmtId="0" fontId="64" fillId="0" borderId="93" xfId="0" applyFont="1" applyBorder="1" applyAlignment="1">
      <alignment vertical="center"/>
    </xf>
    <xf numFmtId="0" fontId="64" fillId="0" borderId="94" xfId="0" applyFont="1" applyBorder="1" applyAlignment="1">
      <alignment vertical="center"/>
    </xf>
    <xf numFmtId="0" fontId="64" fillId="0" borderId="95" xfId="0" applyFont="1" applyBorder="1" applyAlignment="1">
      <alignment vertical="center"/>
    </xf>
    <xf numFmtId="0" fontId="64" fillId="0" borderId="96" xfId="0" applyFont="1" applyBorder="1" applyAlignment="1">
      <alignment vertical="center"/>
    </xf>
    <xf numFmtId="0" fontId="64" fillId="0" borderId="97" xfId="0" applyFont="1" applyBorder="1" applyAlignment="1">
      <alignment vertical="center"/>
    </xf>
    <xf numFmtId="9" fontId="64" fillId="0" borderId="94" xfId="2" applyFont="1" applyFill="1" applyBorder="1" applyAlignment="1">
      <alignment vertical="center"/>
    </xf>
    <xf numFmtId="0" fontId="64" fillId="21" borderId="90" xfId="0" applyFont="1" applyFill="1" applyBorder="1" applyAlignment="1">
      <alignment horizontal="center"/>
    </xf>
    <xf numFmtId="0" fontId="64" fillId="21" borderId="98" xfId="3" applyFont="1" applyFill="1" applyBorder="1" applyAlignment="1">
      <alignment horizontal="left"/>
    </xf>
    <xf numFmtId="0" fontId="68" fillId="21" borderId="104" xfId="0" applyFont="1" applyFill="1" applyBorder="1" applyAlignment="1">
      <alignment vertical="center"/>
    </xf>
    <xf numFmtId="9" fontId="68" fillId="21" borderId="102" xfId="2" applyFont="1" applyFill="1" applyBorder="1" applyAlignment="1">
      <alignment vertical="center"/>
    </xf>
    <xf numFmtId="0" fontId="68" fillId="21" borderId="0" xfId="0" applyFont="1" applyFill="1" applyAlignment="1">
      <alignment vertical="center"/>
    </xf>
    <xf numFmtId="14" fontId="64" fillId="0" borderId="99" xfId="0" applyNumberFormat="1" applyFont="1" applyBorder="1" applyAlignment="1">
      <alignment horizontal="left"/>
    </xf>
    <xf numFmtId="0" fontId="69" fillId="0" borderId="99" xfId="0" applyFont="1" applyBorder="1" applyAlignment="1">
      <alignment vertical="center"/>
    </xf>
    <xf numFmtId="189" fontId="68" fillId="0" borderId="101" xfId="0" applyNumberFormat="1" applyFont="1" applyBorder="1" applyAlignment="1">
      <alignment vertical="center"/>
    </xf>
    <xf numFmtId="189" fontId="68" fillId="0" borderId="102" xfId="0" applyNumberFormat="1" applyFont="1" applyBorder="1" applyAlignment="1">
      <alignment vertical="center"/>
    </xf>
    <xf numFmtId="189" fontId="68" fillId="0" borderId="103" xfId="0" applyNumberFormat="1" applyFont="1" applyBorder="1" applyAlignment="1">
      <alignment vertical="center"/>
    </xf>
    <xf numFmtId="189" fontId="68" fillId="0" borderId="104" xfId="0" applyNumberFormat="1" applyFont="1" applyBorder="1" applyAlignment="1">
      <alignment vertical="center"/>
    </xf>
    <xf numFmtId="9" fontId="68" fillId="0" borderId="102" xfId="2" applyFont="1" applyFill="1" applyBorder="1" applyAlignment="1">
      <alignment vertical="center"/>
    </xf>
    <xf numFmtId="0" fontId="68" fillId="0" borderId="104" xfId="0" applyFont="1" applyBorder="1" applyAlignment="1">
      <alignment vertical="center"/>
    </xf>
    <xf numFmtId="0" fontId="68" fillId="0" borderId="0" xfId="0" applyFont="1" applyAlignment="1">
      <alignment vertical="center"/>
    </xf>
    <xf numFmtId="0" fontId="64" fillId="21" borderId="106" xfId="0" applyFont="1" applyFill="1" applyBorder="1" applyAlignment="1">
      <alignment horizontal="center"/>
    </xf>
    <xf numFmtId="0" fontId="64" fillId="0" borderId="98" xfId="3" applyFont="1" applyBorder="1" applyAlignment="1">
      <alignment horizontal="left"/>
    </xf>
    <xf numFmtId="0" fontId="68" fillId="0" borderId="107" xfId="0" applyFont="1" applyBorder="1"/>
    <xf numFmtId="14" fontId="64" fillId="0" borderId="98" xfId="0" applyNumberFormat="1" applyFont="1" applyBorder="1" applyAlignment="1">
      <alignment horizontal="left"/>
    </xf>
    <xf numFmtId="189" fontId="68" fillId="0" borderId="94" xfId="0" applyNumberFormat="1" applyFont="1" applyBorder="1" applyAlignment="1">
      <alignment vertical="center"/>
    </xf>
    <xf numFmtId="189" fontId="68" fillId="21" borderId="101" xfId="0" applyNumberFormat="1" applyFont="1" applyFill="1" applyBorder="1" applyAlignment="1">
      <alignment vertical="center"/>
    </xf>
    <xf numFmtId="189" fontId="68" fillId="21" borderId="102" xfId="0" applyNumberFormat="1" applyFont="1" applyFill="1" applyBorder="1" applyAlignment="1">
      <alignment vertical="center"/>
    </xf>
    <xf numFmtId="189" fontId="68" fillId="21" borderId="103" xfId="0" applyNumberFormat="1" applyFont="1" applyFill="1" applyBorder="1" applyAlignment="1">
      <alignment vertical="center"/>
    </xf>
    <xf numFmtId="189" fontId="68" fillId="21" borderId="104" xfId="0" applyNumberFormat="1" applyFont="1" applyFill="1" applyBorder="1" applyAlignment="1">
      <alignment vertical="center"/>
    </xf>
    <xf numFmtId="0" fontId="67" fillId="0" borderId="98" xfId="3" applyFont="1" applyBorder="1" applyAlignment="1">
      <alignment horizontal="left"/>
    </xf>
    <xf numFmtId="0" fontId="68" fillId="0" borderId="104" xfId="0" applyFont="1" applyBorder="1" applyAlignment="1">
      <alignment horizontal="center" vertical="center"/>
    </xf>
    <xf numFmtId="0" fontId="64" fillId="0" borderId="107" xfId="0" applyFont="1" applyBorder="1"/>
    <xf numFmtId="189" fontId="68" fillId="0" borderId="108" xfId="0" applyNumberFormat="1" applyFont="1" applyBorder="1" applyAlignment="1">
      <alignment vertical="center"/>
    </xf>
    <xf numFmtId="189" fontId="68" fillId="0" borderId="109" xfId="0" applyNumberFormat="1" applyFont="1" applyBorder="1" applyAlignment="1">
      <alignment vertical="center"/>
    </xf>
    <xf numFmtId="43" fontId="64" fillId="21" borderId="110" xfId="4" applyFont="1" applyFill="1" applyBorder="1" applyAlignment="1">
      <alignment horizontal="center"/>
    </xf>
    <xf numFmtId="43" fontId="64" fillId="35" borderId="89" xfId="0" applyNumberFormat="1" applyFont="1" applyFill="1" applyBorder="1" applyAlignment="1">
      <alignment vertical="center"/>
    </xf>
    <xf numFmtId="43" fontId="64" fillId="35" borderId="113" xfId="0" applyNumberFormat="1" applyFont="1" applyFill="1" applyBorder="1" applyAlignment="1">
      <alignment vertical="center"/>
    </xf>
    <xf numFmtId="43" fontId="64" fillId="35" borderId="114" xfId="0" applyNumberFormat="1" applyFont="1" applyFill="1" applyBorder="1" applyAlignment="1">
      <alignment vertical="center"/>
    </xf>
    <xf numFmtId="43" fontId="64" fillId="35" borderId="115" xfId="0" applyNumberFormat="1" applyFont="1" applyFill="1" applyBorder="1" applyAlignment="1">
      <alignment vertical="center"/>
    </xf>
    <xf numFmtId="9" fontId="64" fillId="35" borderId="114" xfId="2" applyFont="1" applyFill="1" applyBorder="1" applyAlignment="1">
      <alignment vertical="center"/>
    </xf>
    <xf numFmtId="0" fontId="68" fillId="0" borderId="113" xfId="0" applyFont="1" applyBorder="1" applyAlignment="1">
      <alignment vertical="center"/>
    </xf>
    <xf numFmtId="0" fontId="68" fillId="0" borderId="0" xfId="0" applyFont="1" applyAlignment="1">
      <alignment horizontal="center" vertical="center"/>
    </xf>
    <xf numFmtId="9" fontId="68" fillId="0" borderId="0" xfId="2" applyFont="1" applyFill="1" applyAlignment="1">
      <alignment vertical="center"/>
    </xf>
    <xf numFmtId="0" fontId="70" fillId="0" borderId="0" xfId="0" applyFont="1" applyAlignment="1">
      <alignment vertical="center"/>
    </xf>
    <xf numFmtId="0" fontId="70" fillId="36" borderId="116" xfId="0" applyFont="1" applyFill="1" applyBorder="1" applyAlignment="1">
      <alignment vertical="center"/>
    </xf>
    <xf numFmtId="43" fontId="70" fillId="0" borderId="117" xfId="1" applyFont="1" applyFill="1" applyBorder="1" applyAlignment="1">
      <alignment vertical="center"/>
    </xf>
    <xf numFmtId="0" fontId="70" fillId="36" borderId="105" xfId="0" applyFont="1" applyFill="1" applyBorder="1" applyAlignment="1">
      <alignment vertical="center"/>
    </xf>
    <xf numFmtId="43" fontId="70" fillId="0" borderId="118" xfId="0" applyNumberFormat="1" applyFont="1" applyBorder="1" applyAlignment="1">
      <alignment vertical="center"/>
    </xf>
    <xf numFmtId="2" fontId="70" fillId="0" borderId="118" xfId="0" applyNumberFormat="1" applyFont="1" applyBorder="1" applyAlignment="1">
      <alignment vertical="center"/>
    </xf>
    <xf numFmtId="0" fontId="70" fillId="0" borderId="0" xfId="0" applyFont="1" applyAlignment="1">
      <alignment horizontal="center" vertical="center"/>
    </xf>
    <xf numFmtId="0" fontId="70" fillId="36" borderId="119" xfId="0" applyFont="1" applyFill="1" applyBorder="1" applyAlignment="1">
      <alignment horizontal="center" vertical="center"/>
    </xf>
    <xf numFmtId="0" fontId="70" fillId="0" borderId="120" xfId="2" applyNumberFormat="1" applyFont="1" applyFill="1" applyBorder="1" applyAlignment="1">
      <alignment vertical="center"/>
    </xf>
    <xf numFmtId="0" fontId="68" fillId="0" borderId="0" xfId="0" quotePrefix="1" applyFont="1" applyAlignment="1">
      <alignment vertical="center"/>
    </xf>
    <xf numFmtId="0" fontId="71" fillId="0" borderId="98" xfId="3" applyFont="1" applyBorder="1" applyAlignment="1">
      <alignment horizontal="left"/>
    </xf>
    <xf numFmtId="0" fontId="5" fillId="0" borderId="0" xfId="0" applyFont="1"/>
    <xf numFmtId="0" fontId="72" fillId="0" borderId="0" xfId="0" applyFont="1"/>
    <xf numFmtId="0" fontId="73" fillId="0" borderId="0" xfId="0" applyFont="1"/>
    <xf numFmtId="0" fontId="75" fillId="0" borderId="0" xfId="0" applyFont="1"/>
    <xf numFmtId="4" fontId="74" fillId="37" borderId="0" xfId="0" applyNumberFormat="1" applyFont="1" applyFill="1"/>
    <xf numFmtId="0" fontId="74" fillId="37" borderId="125" xfId="0" applyFont="1" applyFill="1" applyBorder="1"/>
    <xf numFmtId="4" fontId="74" fillId="37" borderId="51" xfId="0" applyNumberFormat="1" applyFont="1" applyFill="1" applyBorder="1"/>
    <xf numFmtId="0" fontId="74" fillId="37" borderId="62" xfId="0" applyFont="1" applyFill="1" applyBorder="1"/>
    <xf numFmtId="0" fontId="73" fillId="0" borderId="0" xfId="0" applyFont="1" applyAlignment="1">
      <alignment vertical="center" wrapText="1"/>
    </xf>
    <xf numFmtId="0" fontId="76" fillId="38" borderId="52" xfId="0" applyFont="1" applyFill="1" applyBorder="1" applyAlignment="1">
      <alignment horizontal="center" vertical="center" wrapText="1"/>
    </xf>
    <xf numFmtId="0" fontId="45" fillId="38" borderId="52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75" fillId="0" borderId="0" xfId="0" applyFont="1" applyAlignment="1">
      <alignment vertical="center" wrapText="1"/>
    </xf>
    <xf numFmtId="0" fontId="2" fillId="39" borderId="127" xfId="0" applyFont="1" applyFill="1" applyBorder="1" applyAlignment="1">
      <alignment horizontal="left"/>
    </xf>
    <xf numFmtId="2" fontId="2" fillId="39" borderId="128" xfId="0" applyNumberFormat="1" applyFont="1" applyFill="1" applyBorder="1" applyAlignment="1">
      <alignment horizontal="center"/>
    </xf>
    <xf numFmtId="4" fontId="2" fillId="39" borderId="129" xfId="0" applyNumberFormat="1" applyFont="1" applyFill="1" applyBorder="1" applyAlignment="1">
      <alignment horizontal="right"/>
    </xf>
    <xf numFmtId="4" fontId="77" fillId="39" borderId="130" xfId="0" applyNumberFormat="1" applyFont="1" applyFill="1" applyBorder="1" applyAlignment="1">
      <alignment horizontal="center" vertical="center"/>
    </xf>
    <xf numFmtId="4" fontId="2" fillId="39" borderId="128" xfId="0" applyNumberFormat="1" applyFont="1" applyFill="1" applyBorder="1" applyAlignment="1">
      <alignment horizontal="right"/>
    </xf>
    <xf numFmtId="4" fontId="2" fillId="39" borderId="131" xfId="0" applyNumberFormat="1" applyFont="1" applyFill="1" applyBorder="1" applyAlignment="1">
      <alignment horizontal="right"/>
    </xf>
    <xf numFmtId="0" fontId="2" fillId="39" borderId="57" xfId="0" applyFont="1" applyFill="1" applyBorder="1" applyAlignment="1">
      <alignment horizontal="left"/>
    </xf>
    <xf numFmtId="2" fontId="2" fillId="39" borderId="5" xfId="0" applyNumberFormat="1" applyFont="1" applyFill="1" applyBorder="1" applyAlignment="1">
      <alignment horizontal="center"/>
    </xf>
    <xf numFmtId="4" fontId="2" fillId="39" borderId="5" xfId="0" applyNumberFormat="1" applyFont="1" applyFill="1" applyBorder="1" applyAlignment="1">
      <alignment horizontal="right"/>
    </xf>
    <xf numFmtId="4" fontId="2" fillId="39" borderId="23" xfId="0" applyNumberFormat="1" applyFont="1" applyFill="1" applyBorder="1" applyAlignment="1">
      <alignment horizontal="right"/>
    </xf>
    <xf numFmtId="4" fontId="2" fillId="39" borderId="132" xfId="0" applyNumberFormat="1" applyFont="1" applyFill="1" applyBorder="1" applyAlignment="1">
      <alignment horizontal="right"/>
    </xf>
    <xf numFmtId="0" fontId="2" fillId="39" borderId="60" xfId="0" applyFont="1" applyFill="1" applyBorder="1" applyAlignment="1">
      <alignment horizontal="left"/>
    </xf>
    <xf numFmtId="2" fontId="2" fillId="39" borderId="61" xfId="0" applyNumberFormat="1" applyFont="1" applyFill="1" applyBorder="1" applyAlignment="1">
      <alignment horizontal="center"/>
    </xf>
    <xf numFmtId="4" fontId="2" fillId="39" borderId="61" xfId="0" applyNumberFormat="1" applyFont="1" applyFill="1" applyBorder="1" applyAlignment="1">
      <alignment horizontal="right"/>
    </xf>
    <xf numFmtId="4" fontId="2" fillId="39" borderId="51" xfId="0" applyNumberFormat="1" applyFont="1" applyFill="1" applyBorder="1" applyAlignment="1">
      <alignment horizontal="right"/>
    </xf>
    <xf numFmtId="4" fontId="2" fillId="39" borderId="133" xfId="0" applyNumberFormat="1" applyFont="1" applyFill="1" applyBorder="1" applyAlignment="1">
      <alignment horizontal="right"/>
    </xf>
    <xf numFmtId="0" fontId="53" fillId="39" borderId="57" xfId="0" applyFont="1" applyFill="1" applyBorder="1" applyAlignment="1">
      <alignment horizontal="left"/>
    </xf>
    <xf numFmtId="2" fontId="53" fillId="39" borderId="5" xfId="0" applyNumberFormat="1" applyFont="1" applyFill="1" applyBorder="1" applyAlignment="1">
      <alignment horizontal="center"/>
    </xf>
    <xf numFmtId="4" fontId="53" fillId="39" borderId="5" xfId="0" applyNumberFormat="1" applyFont="1" applyFill="1" applyBorder="1" applyAlignment="1">
      <alignment horizontal="right"/>
    </xf>
    <xf numFmtId="4" fontId="2" fillId="39" borderId="12" xfId="0" applyNumberFormat="1" applyFont="1" applyFill="1" applyBorder="1" applyAlignment="1">
      <alignment horizontal="right"/>
    </xf>
    <xf numFmtId="4" fontId="2" fillId="39" borderId="134" xfId="0" applyNumberFormat="1" applyFont="1" applyFill="1" applyBorder="1" applyAlignment="1">
      <alignment horizontal="right"/>
    </xf>
    <xf numFmtId="4" fontId="2" fillId="39" borderId="135" xfId="0" applyNumberFormat="1" applyFont="1" applyFill="1" applyBorder="1" applyAlignment="1">
      <alignment horizontal="right"/>
    </xf>
    <xf numFmtId="0" fontId="53" fillId="0" borderId="0" xfId="0" applyFont="1"/>
    <xf numFmtId="0" fontId="78" fillId="0" borderId="0" xfId="0" applyFont="1"/>
    <xf numFmtId="0" fontId="79" fillId="0" borderId="0" xfId="0" applyFont="1"/>
    <xf numFmtId="0" fontId="80" fillId="0" borderId="0" xfId="0" applyFont="1" applyAlignment="1">
      <alignment horizontal="right" vertical="center"/>
    </xf>
    <xf numFmtId="2" fontId="53" fillId="39" borderId="136" xfId="0" applyNumberFormat="1" applyFont="1" applyFill="1" applyBorder="1" applyAlignment="1">
      <alignment horizontal="left" vertical="center"/>
    </xf>
    <xf numFmtId="4" fontId="53" fillId="39" borderId="12" xfId="0" applyNumberFormat="1" applyFont="1" applyFill="1" applyBorder="1" applyAlignment="1">
      <alignment horizontal="right"/>
    </xf>
    <xf numFmtId="2" fontId="53" fillId="39" borderId="5" xfId="0" applyNumberFormat="1" applyFont="1" applyFill="1" applyBorder="1" applyAlignment="1">
      <alignment horizontal="right" vertical="center"/>
    </xf>
    <xf numFmtId="4" fontId="53" fillId="39" borderId="135" xfId="0" applyNumberFormat="1" applyFont="1" applyFill="1" applyBorder="1" applyAlignment="1">
      <alignment horizontal="right"/>
    </xf>
    <xf numFmtId="0" fontId="80" fillId="0" borderId="124" xfId="0" applyFont="1" applyBorder="1" applyAlignment="1">
      <alignment horizontal="right" vertical="center"/>
    </xf>
    <xf numFmtId="0" fontId="81" fillId="0" borderId="0" xfId="0" applyFont="1" applyAlignment="1">
      <alignment horizontal="right" vertical="center"/>
    </xf>
    <xf numFmtId="0" fontId="82" fillId="0" borderId="0" xfId="0" applyFont="1" applyAlignment="1">
      <alignment horizontal="right" vertical="center"/>
    </xf>
    <xf numFmtId="0" fontId="83" fillId="0" borderId="0" xfId="0" applyFont="1"/>
    <xf numFmtId="0" fontId="53" fillId="39" borderId="59" xfId="0" applyFont="1" applyFill="1" applyBorder="1" applyAlignment="1">
      <alignment horizontal="left"/>
    </xf>
    <xf numFmtId="2" fontId="53" fillId="39" borderId="8" xfId="0" applyNumberFormat="1" applyFont="1" applyFill="1" applyBorder="1" applyAlignment="1">
      <alignment horizontal="center"/>
    </xf>
    <xf numFmtId="4" fontId="84" fillId="39" borderId="8" xfId="0" applyNumberFormat="1" applyFont="1" applyFill="1" applyBorder="1" applyAlignment="1">
      <alignment horizontal="right"/>
    </xf>
    <xf numFmtId="4" fontId="84" fillId="39" borderId="12" xfId="0" applyNumberFormat="1" applyFont="1" applyFill="1" applyBorder="1" applyAlignment="1">
      <alignment horizontal="right"/>
    </xf>
    <xf numFmtId="2" fontId="84" fillId="39" borderId="5" xfId="0" applyNumberFormat="1" applyFont="1" applyFill="1" applyBorder="1" applyAlignment="1">
      <alignment horizontal="right" vertical="center"/>
    </xf>
    <xf numFmtId="4" fontId="84" fillId="39" borderId="137" xfId="0" applyNumberFormat="1" applyFont="1" applyFill="1" applyBorder="1" applyAlignment="1">
      <alignment horizontal="right"/>
    </xf>
    <xf numFmtId="0" fontId="84" fillId="0" borderId="0" xfId="0" applyFont="1"/>
    <xf numFmtId="2" fontId="84" fillId="0" borderId="0" xfId="0" applyNumberFormat="1" applyFont="1" applyAlignment="1">
      <alignment horizontal="center"/>
    </xf>
    <xf numFmtId="4" fontId="84" fillId="0" borderId="0" xfId="0" applyNumberFormat="1" applyFont="1" applyAlignment="1">
      <alignment horizontal="center"/>
    </xf>
    <xf numFmtId="0" fontId="85" fillId="0" borderId="0" xfId="0" applyFont="1"/>
    <xf numFmtId="0" fontId="86" fillId="0" borderId="0" xfId="0" applyFont="1"/>
    <xf numFmtId="0" fontId="2" fillId="0" borderId="2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38" xfId="0" applyFont="1" applyBorder="1" applyAlignment="1">
      <alignment horizontal="right"/>
    </xf>
    <xf numFmtId="0" fontId="2" fillId="0" borderId="13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37" xfId="0" applyFont="1" applyBorder="1" applyAlignment="1">
      <alignment horizontal="right"/>
    </xf>
    <xf numFmtId="0" fontId="2" fillId="0" borderId="23" xfId="0" applyFont="1" applyBorder="1" applyAlignment="1">
      <alignment horizontal="center"/>
    </xf>
    <xf numFmtId="0" fontId="2" fillId="0" borderId="132" xfId="0" applyFont="1" applyBorder="1" applyAlignment="1">
      <alignment horizontal="right"/>
    </xf>
    <xf numFmtId="0" fontId="2" fillId="0" borderId="51" xfId="0" applyFont="1" applyBorder="1" applyAlignment="1">
      <alignment horizontal="center"/>
    </xf>
    <xf numFmtId="0" fontId="2" fillId="0" borderId="133" xfId="0" applyFont="1" applyBorder="1" applyAlignment="1">
      <alignment horizontal="right"/>
    </xf>
    <xf numFmtId="2" fontId="4" fillId="0" borderId="54" xfId="0" applyNumberFormat="1" applyFont="1" applyBorder="1" applyAlignment="1">
      <alignment horizontal="center"/>
    </xf>
    <xf numFmtId="4" fontId="4" fillId="0" borderId="54" xfId="0" applyNumberFormat="1" applyFont="1" applyBorder="1" applyAlignment="1">
      <alignment horizontal="right"/>
    </xf>
    <xf numFmtId="4" fontId="4" fillId="0" borderId="55" xfId="0" applyNumberFormat="1" applyFont="1" applyBorder="1" applyAlignment="1">
      <alignment horizontal="right"/>
    </xf>
    <xf numFmtId="0" fontId="87" fillId="0" borderId="0" xfId="0" applyFont="1"/>
    <xf numFmtId="4" fontId="4" fillId="0" borderId="0" xfId="0" applyNumberFormat="1" applyFont="1" applyAlignment="1">
      <alignment horizontal="right"/>
    </xf>
    <xf numFmtId="4" fontId="53" fillId="0" borderId="140" xfId="0" applyNumberFormat="1" applyFont="1" applyBorder="1" applyAlignment="1">
      <alignment horizontal="right"/>
    </xf>
    <xf numFmtId="0" fontId="2" fillId="0" borderId="141" xfId="0" applyFont="1" applyBorder="1" applyAlignment="1">
      <alignment horizontal="right"/>
    </xf>
    <xf numFmtId="0" fontId="64" fillId="21" borderId="100" xfId="0" quotePrefix="1" applyFont="1" applyFill="1" applyBorder="1" applyAlignment="1">
      <alignment horizontal="center" vertical="center"/>
    </xf>
    <xf numFmtId="14" fontId="64" fillId="21" borderId="100" xfId="0" quotePrefix="1" applyNumberFormat="1" applyFont="1" applyFill="1" applyBorder="1" applyAlignment="1">
      <alignment horizontal="center" vertical="center"/>
    </xf>
    <xf numFmtId="0" fontId="88" fillId="0" borderId="98" xfId="3" applyFont="1" applyBorder="1" applyAlignment="1">
      <alignment horizontal="left"/>
    </xf>
    <xf numFmtId="0" fontId="63" fillId="21" borderId="0" xfId="0" applyFont="1" applyFill="1" applyAlignment="1">
      <alignment horizontal="left" vertical="center"/>
    </xf>
    <xf numFmtId="188" fontId="63" fillId="21" borderId="0" xfId="0" applyNumberFormat="1" applyFont="1" applyFill="1" applyAlignment="1">
      <alignment horizontal="left" vertical="center"/>
    </xf>
    <xf numFmtId="0" fontId="64" fillId="21" borderId="92" xfId="0" applyFont="1" applyFill="1" applyBorder="1" applyAlignment="1">
      <alignment vertical="center"/>
    </xf>
    <xf numFmtId="14" fontId="64" fillId="21" borderId="100" xfId="3" quotePrefix="1" applyNumberFormat="1" applyFont="1" applyFill="1" applyBorder="1" applyAlignment="1">
      <alignment horizontal="center" vertical="center"/>
    </xf>
    <xf numFmtId="0" fontId="64" fillId="21" borderId="100" xfId="0" quotePrefix="1" applyFont="1" applyFill="1" applyBorder="1" applyAlignment="1">
      <alignment horizontal="left" vertical="center"/>
    </xf>
    <xf numFmtId="14" fontId="64" fillId="21" borderId="100" xfId="0" quotePrefix="1" applyNumberFormat="1" applyFont="1" applyFill="1" applyBorder="1" applyAlignment="1">
      <alignment horizontal="left" vertical="center"/>
    </xf>
    <xf numFmtId="0" fontId="64" fillId="21" borderId="111" xfId="0" applyFont="1" applyFill="1" applyBorder="1" applyAlignment="1">
      <alignment vertical="center"/>
    </xf>
    <xf numFmtId="0" fontId="64" fillId="21" borderId="0" xfId="0" applyFont="1" applyFill="1" applyAlignment="1">
      <alignment vertical="center"/>
    </xf>
    <xf numFmtId="0" fontId="89" fillId="0" borderId="98" xfId="3" applyFont="1" applyBorder="1" applyAlignment="1">
      <alignment horizontal="left"/>
    </xf>
    <xf numFmtId="0" fontId="64" fillId="0" borderId="0" xfId="0" applyFont="1" applyAlignment="1">
      <alignment horizontal="center" vertical="center"/>
    </xf>
    <xf numFmtId="0" fontId="64" fillId="0" borderId="96" xfId="0" applyFont="1" applyBorder="1" applyAlignment="1">
      <alignment horizontal="center" vertical="center"/>
    </xf>
    <xf numFmtId="0" fontId="68" fillId="21" borderId="104" xfId="0" applyFont="1" applyFill="1" applyBorder="1" applyAlignment="1">
      <alignment horizontal="center" vertical="center"/>
    </xf>
    <xf numFmtId="43" fontId="64" fillId="0" borderId="114" xfId="0" applyNumberFormat="1" applyFont="1" applyBorder="1" applyAlignment="1">
      <alignment horizontal="center" vertical="center"/>
    </xf>
    <xf numFmtId="189" fontId="68" fillId="0" borderId="104" xfId="0" applyNumberFormat="1" applyFont="1" applyBorder="1" applyAlignment="1">
      <alignment horizontal="center"/>
    </xf>
    <xf numFmtId="0" fontId="69" fillId="0" borderId="98" xfId="3" applyFont="1" applyBorder="1" applyAlignment="1">
      <alignment horizontal="left" wrapText="1"/>
    </xf>
    <xf numFmtId="0" fontId="68" fillId="0" borderId="98" xfId="3" applyFont="1" applyBorder="1" applyAlignment="1">
      <alignment horizontal="left"/>
    </xf>
    <xf numFmtId="189" fontId="68" fillId="0" borderId="142" xfId="0" applyNumberFormat="1" applyFont="1" applyBorder="1" applyAlignment="1">
      <alignment vertical="center"/>
    </xf>
    <xf numFmtId="189" fontId="68" fillId="0" borderId="143" xfId="0" applyNumberFormat="1" applyFont="1" applyBorder="1" applyAlignment="1">
      <alignment vertical="center"/>
    </xf>
    <xf numFmtId="0" fontId="68" fillId="0" borderId="98" xfId="3" applyFont="1" applyBorder="1" applyAlignment="1">
      <alignment horizontal="left" wrapText="1"/>
    </xf>
    <xf numFmtId="0" fontId="68" fillId="0" borderId="98" xfId="3" applyFont="1" applyBorder="1" applyAlignment="1">
      <alignment horizontal="left" vertical="center" wrapText="1"/>
    </xf>
    <xf numFmtId="0" fontId="64" fillId="41" borderId="98" xfId="3" applyFont="1" applyFill="1" applyBorder="1" applyAlignment="1">
      <alignment horizontal="left"/>
    </xf>
    <xf numFmtId="0" fontId="64" fillId="41" borderId="107" xfId="0" applyFont="1" applyFill="1" applyBorder="1"/>
    <xf numFmtId="0" fontId="67" fillId="41" borderId="99" xfId="0" applyFont="1" applyFill="1" applyBorder="1" applyAlignment="1">
      <alignment vertical="center"/>
    </xf>
    <xf numFmtId="0" fontId="67" fillId="41" borderId="98" xfId="3" applyFont="1" applyFill="1" applyBorder="1" applyAlignment="1">
      <alignment horizontal="left"/>
    </xf>
    <xf numFmtId="0" fontId="64" fillId="41" borderId="99" xfId="3" applyFont="1" applyFill="1" applyBorder="1" applyAlignment="1">
      <alignment horizontal="left"/>
    </xf>
    <xf numFmtId="0" fontId="64" fillId="21" borderId="105" xfId="0" applyFont="1" applyFill="1" applyBorder="1" applyAlignment="1">
      <alignment horizontal="center"/>
    </xf>
    <xf numFmtId="0" fontId="68" fillId="0" borderId="107" xfId="0" applyFont="1" applyBorder="1" applyAlignment="1">
      <alignment vertical="center"/>
    </xf>
    <xf numFmtId="0" fontId="64" fillId="41" borderId="107" xfId="0" applyFont="1" applyFill="1" applyBorder="1" applyAlignment="1">
      <alignment wrapText="1"/>
    </xf>
    <xf numFmtId="0" fontId="64" fillId="41" borderId="98" xfId="3" applyFont="1" applyFill="1" applyBorder="1" applyAlignment="1">
      <alignment horizontal="left" vertical="center"/>
    </xf>
    <xf numFmtId="0" fontId="64" fillId="0" borderId="98" xfId="3" quotePrefix="1" applyFont="1" applyBorder="1" applyAlignment="1">
      <alignment horizontal="left"/>
    </xf>
    <xf numFmtId="188" fontId="62" fillId="21" borderId="0" xfId="0" applyNumberFormat="1" applyFont="1" applyFill="1" applyAlignment="1">
      <alignment horizontal="left" vertical="center"/>
    </xf>
    <xf numFmtId="0" fontId="68" fillId="21" borderId="0" xfId="0" applyFont="1" applyFill="1" applyAlignment="1">
      <alignment horizontal="center" vertical="center"/>
    </xf>
    <xf numFmtId="43" fontId="64" fillId="0" borderId="96" xfId="0" applyNumberFormat="1" applyFont="1" applyBorder="1" applyAlignment="1">
      <alignment vertical="center"/>
    </xf>
    <xf numFmtId="189" fontId="68" fillId="0" borderId="97" xfId="0" applyNumberFormat="1" applyFont="1" applyBorder="1" applyAlignment="1">
      <alignment vertical="center"/>
    </xf>
    <xf numFmtId="189" fontId="90" fillId="0" borderId="97" xfId="0" applyNumberFormat="1" applyFont="1" applyBorder="1" applyAlignment="1">
      <alignment vertical="center"/>
    </xf>
    <xf numFmtId="43" fontId="68" fillId="0" borderId="96" xfId="0" applyNumberFormat="1" applyFont="1" applyBorder="1" applyAlignment="1">
      <alignment vertical="center"/>
    </xf>
    <xf numFmtId="0" fontId="91" fillId="0" borderId="0" xfId="0" applyFont="1" applyAlignment="1">
      <alignment vertical="center"/>
    </xf>
    <xf numFmtId="0" fontId="91" fillId="0" borderId="0" xfId="0" applyFont="1" applyAlignment="1">
      <alignment horizontal="left"/>
    </xf>
    <xf numFmtId="0" fontId="92" fillId="0" borderId="0" xfId="0" applyFont="1" applyAlignment="1">
      <alignment vertical="center"/>
    </xf>
    <xf numFmtId="0" fontId="93" fillId="0" borderId="0" xfId="0" applyFont="1" applyAlignment="1">
      <alignment vertical="center"/>
    </xf>
    <xf numFmtId="0" fontId="93" fillId="42" borderId="0" xfId="0" applyFont="1" applyFill="1" applyAlignment="1">
      <alignment vertical="center"/>
    </xf>
    <xf numFmtId="0" fontId="94" fillId="42" borderId="99" xfId="0" applyFont="1" applyFill="1" applyBorder="1" applyAlignment="1">
      <alignment horizontal="center" vertical="center"/>
    </xf>
    <xf numFmtId="0" fontId="94" fillId="0" borderId="0" xfId="0" applyFont="1" applyAlignment="1">
      <alignment vertical="center"/>
    </xf>
    <xf numFmtId="43" fontId="94" fillId="42" borderId="99" xfId="1" applyFont="1" applyFill="1" applyBorder="1" applyAlignment="1">
      <alignment horizontal="center" vertical="center"/>
    </xf>
    <xf numFmtId="0" fontId="95" fillId="42" borderId="99" xfId="0" applyFont="1" applyFill="1" applyBorder="1" applyAlignment="1">
      <alignment horizontal="center" vertical="center" wrapText="1"/>
    </xf>
    <xf numFmtId="0" fontId="94" fillId="0" borderId="0" xfId="0" applyFont="1" applyAlignment="1">
      <alignment horizontal="center" vertical="center"/>
    </xf>
    <xf numFmtId="0" fontId="96" fillId="0" borderId="99" xfId="0" quotePrefix="1" applyFont="1" applyBorder="1" applyAlignment="1">
      <alignment horizontal="center" vertical="center"/>
    </xf>
    <xf numFmtId="0" fontId="96" fillId="0" borderId="99" xfId="0" applyFont="1" applyBorder="1" applyAlignment="1">
      <alignment vertical="center"/>
    </xf>
    <xf numFmtId="0" fontId="96" fillId="0" borderId="99" xfId="0" applyFont="1" applyBorder="1" applyAlignment="1">
      <alignment horizontal="left"/>
    </xf>
    <xf numFmtId="0" fontId="96" fillId="0" borderId="99" xfId="0" applyFont="1" applyBorder="1" applyAlignment="1">
      <alignment horizontal="center" vertical="center"/>
    </xf>
    <xf numFmtId="43" fontId="96" fillId="0" borderId="99" xfId="1" applyFont="1" applyBorder="1" applyAlignment="1">
      <alignment horizontal="center" vertical="center"/>
    </xf>
    <xf numFmtId="0" fontId="97" fillId="0" borderId="99" xfId="0" applyFont="1" applyBorder="1" applyAlignment="1">
      <alignment horizontal="center" vertical="center"/>
    </xf>
    <xf numFmtId="0" fontId="96" fillId="0" borderId="99" xfId="0" applyFont="1" applyBorder="1" applyAlignment="1">
      <alignment horizontal="left" vertical="center"/>
    </xf>
    <xf numFmtId="0" fontId="98" fillId="0" borderId="0" xfId="0" applyFont="1" applyAlignment="1">
      <alignment vertical="center"/>
    </xf>
    <xf numFmtId="0" fontId="99" fillId="0" borderId="99" xfId="0" applyFont="1" applyBorder="1" applyAlignment="1">
      <alignment horizontal="left"/>
    </xf>
    <xf numFmtId="14" fontId="96" fillId="0" borderId="99" xfId="0" applyNumberFormat="1" applyFont="1" applyBorder="1" applyAlignment="1">
      <alignment vertical="center"/>
    </xf>
    <xf numFmtId="0" fontId="100" fillId="0" borderId="99" xfId="0" applyFont="1" applyBorder="1" applyAlignment="1">
      <alignment horizontal="left"/>
    </xf>
    <xf numFmtId="43" fontId="98" fillId="0" borderId="99" xfId="1" applyFont="1" applyBorder="1" applyAlignment="1">
      <alignment horizontal="center" vertical="center"/>
    </xf>
    <xf numFmtId="0" fontId="98" fillId="0" borderId="99" xfId="0" applyFont="1" applyBorder="1" applyAlignment="1">
      <alignment horizontal="center" vertical="center"/>
    </xf>
    <xf numFmtId="0" fontId="98" fillId="0" borderId="99" xfId="0" applyFont="1" applyBorder="1" applyAlignment="1">
      <alignment vertical="center"/>
    </xf>
    <xf numFmtId="0" fontId="98" fillId="0" borderId="99" xfId="0" applyFont="1" applyBorder="1" applyAlignment="1">
      <alignment horizontal="left" vertical="center"/>
    </xf>
    <xf numFmtId="0" fontId="101" fillId="0" borderId="99" xfId="0" applyFont="1" applyBorder="1" applyAlignment="1">
      <alignment horizontal="left"/>
    </xf>
    <xf numFmtId="0" fontId="101" fillId="0" borderId="99" xfId="0" applyFont="1" applyBorder="1" applyAlignment="1">
      <alignment vertical="center"/>
    </xf>
    <xf numFmtId="0" fontId="102" fillId="0" borderId="99" xfId="0" applyFont="1" applyBorder="1" applyAlignment="1">
      <alignment horizontal="center" vertical="center"/>
    </xf>
    <xf numFmtId="0" fontId="98" fillId="0" borderId="99" xfId="0" quotePrefix="1" applyFont="1" applyBorder="1" applyAlignment="1">
      <alignment horizontal="center" vertical="center"/>
    </xf>
    <xf numFmtId="0" fontId="98" fillId="0" borderId="99" xfId="0" applyFont="1" applyBorder="1" applyAlignment="1">
      <alignment horizontal="left"/>
    </xf>
    <xf numFmtId="0" fontId="94" fillId="0" borderId="99" xfId="0" quotePrefix="1" applyFont="1" applyBorder="1" applyAlignment="1">
      <alignment horizontal="center" vertical="center"/>
    </xf>
    <xf numFmtId="0" fontId="94" fillId="0" borderId="99" xfId="0" applyFont="1" applyBorder="1" applyAlignment="1">
      <alignment horizontal="center" vertical="center"/>
    </xf>
    <xf numFmtId="0" fontId="95" fillId="0" borderId="99" xfId="0" applyFont="1" applyBorder="1" applyAlignment="1">
      <alignment horizontal="center" vertical="center"/>
    </xf>
    <xf numFmtId="0" fontId="94" fillId="0" borderId="99" xfId="0" applyFont="1" applyBorder="1" applyAlignment="1">
      <alignment vertical="center"/>
    </xf>
    <xf numFmtId="0" fontId="94" fillId="0" borderId="99" xfId="0" applyFont="1" applyBorder="1" applyAlignment="1">
      <alignment horizontal="left" vertical="center"/>
    </xf>
    <xf numFmtId="0" fontId="94" fillId="0" borderId="0" xfId="0" applyFont="1" applyAlignment="1">
      <alignment horizontal="left"/>
    </xf>
    <xf numFmtId="43" fontId="94" fillId="0" borderId="0" xfId="1" applyFont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64" fillId="0" borderId="90" xfId="0" applyFont="1" applyBorder="1" applyAlignment="1">
      <alignment vertical="center"/>
    </xf>
    <xf numFmtId="0" fontId="64" fillId="43" borderId="98" xfId="3" applyFont="1" applyFill="1" applyBorder="1" applyAlignment="1">
      <alignment horizontal="left"/>
    </xf>
    <xf numFmtId="0" fontId="67" fillId="43" borderId="99" xfId="0" applyFont="1" applyFill="1" applyBorder="1" applyAlignment="1">
      <alignment vertical="center"/>
    </xf>
    <xf numFmtId="0" fontId="68" fillId="21" borderId="101" xfId="0" applyFont="1" applyFill="1" applyBorder="1" applyAlignment="1">
      <alignment vertical="center"/>
    </xf>
    <xf numFmtId="0" fontId="68" fillId="21" borderId="102" xfId="0" applyFont="1" applyFill="1" applyBorder="1" applyAlignment="1">
      <alignment vertical="center"/>
    </xf>
    <xf numFmtId="0" fontId="68" fillId="21" borderId="103" xfId="0" applyFont="1" applyFill="1" applyBorder="1" applyAlignment="1">
      <alignment vertical="center"/>
    </xf>
    <xf numFmtId="14" fontId="64" fillId="21" borderId="99" xfId="0" applyNumberFormat="1" applyFont="1" applyFill="1" applyBorder="1" applyAlignment="1">
      <alignment horizontal="left"/>
    </xf>
    <xf numFmtId="0" fontId="69" fillId="21" borderId="99" xfId="0" applyFont="1" applyFill="1" applyBorder="1" applyAlignment="1">
      <alignment vertical="center"/>
    </xf>
    <xf numFmtId="0" fontId="68" fillId="21" borderId="99" xfId="3" applyFont="1" applyFill="1" applyBorder="1" applyAlignment="1">
      <alignment horizontal="left"/>
    </xf>
    <xf numFmtId="14" fontId="67" fillId="21" borderId="100" xfId="3" quotePrefix="1" applyNumberFormat="1" applyFont="1" applyFill="1" applyBorder="1" applyAlignment="1">
      <alignment horizontal="center" vertical="center"/>
    </xf>
    <xf numFmtId="0" fontId="64" fillId="43" borderId="107" xfId="0" applyFont="1" applyFill="1" applyBorder="1"/>
    <xf numFmtId="0" fontId="69" fillId="21" borderId="98" xfId="3" applyFont="1" applyFill="1" applyBorder="1" applyAlignment="1">
      <alignment horizontal="left"/>
    </xf>
    <xf numFmtId="14" fontId="64" fillId="43" borderId="98" xfId="0" applyNumberFormat="1" applyFont="1" applyFill="1" applyBorder="1" applyAlignment="1">
      <alignment horizontal="left"/>
    </xf>
    <xf numFmtId="0" fontId="64" fillId="21" borderId="99" xfId="3" applyFont="1" applyFill="1" applyBorder="1" applyAlignment="1">
      <alignment horizontal="left"/>
    </xf>
    <xf numFmtId="0" fontId="68" fillId="21" borderId="99" xfId="0" applyFont="1" applyFill="1" applyBorder="1"/>
    <xf numFmtId="0" fontId="68" fillId="21" borderId="107" xfId="0" applyFont="1" applyFill="1" applyBorder="1"/>
    <xf numFmtId="189" fontId="68" fillId="0" borderId="104" xfId="0" applyNumberFormat="1" applyFont="1" applyBorder="1" applyAlignment="1">
      <alignment horizontal="center" vertical="center"/>
    </xf>
    <xf numFmtId="0" fontId="88" fillId="21" borderId="98" xfId="3" applyFont="1" applyFill="1" applyBorder="1" applyAlignment="1">
      <alignment horizontal="left"/>
    </xf>
    <xf numFmtId="0" fontId="64" fillId="21" borderId="107" xfId="0" applyFont="1" applyFill="1" applyBorder="1"/>
    <xf numFmtId="0" fontId="89" fillId="21" borderId="98" xfId="3" applyFont="1" applyFill="1" applyBorder="1" applyAlignment="1">
      <alignment horizontal="left"/>
    </xf>
    <xf numFmtId="0" fontId="70" fillId="21" borderId="98" xfId="3" applyFont="1" applyFill="1" applyBorder="1" applyAlignment="1">
      <alignment horizontal="left"/>
    </xf>
    <xf numFmtId="0" fontId="64" fillId="0" borderId="106" xfId="0" applyFont="1" applyBorder="1" applyAlignment="1">
      <alignment horizontal="center"/>
    </xf>
    <xf numFmtId="0" fontId="64" fillId="0" borderId="145" xfId="0" applyFont="1" applyBorder="1" applyAlignment="1">
      <alignment horizontal="center"/>
    </xf>
    <xf numFmtId="0" fontId="71" fillId="0" borderId="146" xfId="3" applyFont="1" applyBorder="1" applyAlignment="1">
      <alignment horizontal="left"/>
    </xf>
    <xf numFmtId="0" fontId="68" fillId="0" borderId="146" xfId="0" applyFont="1" applyBorder="1"/>
    <xf numFmtId="14" fontId="64" fillId="21" borderId="147" xfId="0" quotePrefix="1" applyNumberFormat="1" applyFont="1" applyFill="1" applyBorder="1" applyAlignment="1">
      <alignment horizontal="left" vertical="center"/>
    </xf>
    <xf numFmtId="189" fontId="68" fillId="0" borderId="124" xfId="0" applyNumberFormat="1" applyFont="1" applyBorder="1" applyAlignment="1">
      <alignment vertical="center"/>
    </xf>
    <xf numFmtId="189" fontId="68" fillId="0" borderId="148" xfId="0" applyNumberFormat="1" applyFont="1" applyBorder="1" applyAlignment="1">
      <alignment vertical="center"/>
    </xf>
    <xf numFmtId="189" fontId="68" fillId="0" borderId="0" xfId="0" applyNumberFormat="1" applyFont="1" applyAlignment="1">
      <alignment vertical="center"/>
    </xf>
    <xf numFmtId="189" fontId="68" fillId="0" borderId="125" xfId="0" applyNumberFormat="1" applyFont="1" applyBorder="1" applyAlignment="1">
      <alignment vertical="center"/>
    </xf>
    <xf numFmtId="9" fontId="68" fillId="0" borderId="148" xfId="2" applyFont="1" applyFill="1" applyBorder="1" applyAlignment="1">
      <alignment vertical="center"/>
    </xf>
    <xf numFmtId="0" fontId="68" fillId="0" borderId="125" xfId="0" applyFont="1" applyBorder="1" applyAlignment="1">
      <alignment horizontal="center" vertical="center"/>
    </xf>
    <xf numFmtId="0" fontId="68" fillId="0" borderId="125" xfId="0" applyFont="1" applyBorder="1" applyAlignment="1">
      <alignment vertical="center"/>
    </xf>
    <xf numFmtId="43" fontId="103" fillId="0" borderId="96" xfId="0" applyNumberFormat="1" applyFont="1" applyBorder="1" applyAlignment="1">
      <alignment vertical="center"/>
    </xf>
    <xf numFmtId="0" fontId="104" fillId="0" borderId="107" xfId="0" applyFont="1" applyBorder="1"/>
    <xf numFmtId="0" fontId="68" fillId="0" borderId="98" xfId="3" quotePrefix="1" applyFont="1" applyBorder="1" applyAlignment="1">
      <alignment horizontal="left"/>
    </xf>
    <xf numFmtId="189" fontId="68" fillId="21" borderId="142" xfId="0" applyNumberFormat="1" applyFont="1" applyFill="1" applyBorder="1" applyAlignment="1">
      <alignment vertical="center"/>
    </xf>
    <xf numFmtId="189" fontId="68" fillId="21" borderId="143" xfId="0" applyNumberFormat="1" applyFont="1" applyFill="1" applyBorder="1" applyAlignment="1">
      <alignment vertical="center"/>
    </xf>
    <xf numFmtId="43" fontId="64" fillId="21" borderId="96" xfId="0" applyNumberFormat="1" applyFont="1" applyFill="1" applyBorder="1" applyAlignment="1">
      <alignment vertical="center"/>
    </xf>
    <xf numFmtId="43" fontId="90" fillId="21" borderId="96" xfId="0" applyNumberFormat="1" applyFont="1" applyFill="1" applyBorder="1" applyAlignment="1">
      <alignment vertical="center"/>
    </xf>
    <xf numFmtId="0" fontId="64" fillId="21" borderId="106" xfId="0" applyFont="1" applyFill="1" applyBorder="1" applyAlignment="1">
      <alignment horizontal="center" vertical="center"/>
    </xf>
    <xf numFmtId="0" fontId="68" fillId="0" borderId="102" xfId="0" applyFont="1" applyBorder="1" applyAlignment="1">
      <alignment vertical="center"/>
    </xf>
    <xf numFmtId="0" fontId="64" fillId="0" borderId="0" xfId="0" quotePrefix="1" applyFont="1" applyAlignment="1">
      <alignment vertical="center"/>
    </xf>
    <xf numFmtId="0" fontId="64" fillId="44" borderId="106" xfId="0" applyFont="1" applyFill="1" applyBorder="1" applyAlignment="1">
      <alignment horizontal="center"/>
    </xf>
    <xf numFmtId="43" fontId="66" fillId="0" borderId="96" xfId="0" applyNumberFormat="1" applyFont="1" applyBorder="1" applyAlignment="1">
      <alignment vertical="center"/>
    </xf>
    <xf numFmtId="189" fontId="90" fillId="0" borderId="103" xfId="0" applyNumberFormat="1" applyFont="1" applyBorder="1" applyAlignment="1">
      <alignment vertical="center"/>
    </xf>
    <xf numFmtId="189" fontId="68" fillId="21" borderId="150" xfId="0" applyNumberFormat="1" applyFont="1" applyFill="1" applyBorder="1" applyAlignment="1">
      <alignment vertical="center"/>
    </xf>
    <xf numFmtId="189" fontId="68" fillId="0" borderId="150" xfId="0" applyNumberFormat="1" applyFont="1" applyBorder="1" applyAlignment="1">
      <alignment vertical="center"/>
    </xf>
    <xf numFmtId="43" fontId="64" fillId="35" borderId="62" xfId="0" applyNumberFormat="1" applyFont="1" applyFill="1" applyBorder="1" applyAlignment="1">
      <alignment vertical="center"/>
    </xf>
    <xf numFmtId="189" fontId="68" fillId="21" borderId="98" xfId="0" applyNumberFormat="1" applyFont="1" applyFill="1" applyBorder="1" applyAlignment="1">
      <alignment vertical="center"/>
    </xf>
    <xf numFmtId="0" fontId="64" fillId="21" borderId="98" xfId="3" applyFont="1" applyFill="1" applyBorder="1" applyAlignment="1">
      <alignment horizontal="left" vertical="center"/>
    </xf>
    <xf numFmtId="0" fontId="64" fillId="21" borderId="107" xfId="0" applyFont="1" applyFill="1" applyBorder="1" applyAlignment="1">
      <alignment wrapText="1"/>
    </xf>
    <xf numFmtId="1" fontId="64" fillId="21" borderId="99" xfId="0" applyNumberFormat="1" applyFont="1" applyFill="1" applyBorder="1" applyAlignment="1">
      <alignment horizontal="center" vertical="center"/>
    </xf>
    <xf numFmtId="189" fontId="68" fillId="21" borderId="97" xfId="0" applyNumberFormat="1" applyFont="1" applyFill="1" applyBorder="1" applyAlignment="1">
      <alignment vertical="center"/>
    </xf>
    <xf numFmtId="189" fontId="68" fillId="21" borderId="104" xfId="0" applyNumberFormat="1" applyFont="1" applyFill="1" applyBorder="1" applyAlignment="1">
      <alignment horizontal="center"/>
    </xf>
    <xf numFmtId="189" fontId="68" fillId="21" borderId="99" xfId="0" applyNumberFormat="1" applyFont="1" applyFill="1" applyBorder="1" applyAlignment="1">
      <alignment vertical="center"/>
    </xf>
    <xf numFmtId="0" fontId="67" fillId="21" borderId="98" xfId="3" applyFont="1" applyFill="1" applyBorder="1" applyAlignment="1">
      <alignment horizontal="left"/>
    </xf>
    <xf numFmtId="0" fontId="68" fillId="21" borderId="98" xfId="3" applyFont="1" applyFill="1" applyBorder="1" applyAlignment="1">
      <alignment horizontal="left"/>
    </xf>
    <xf numFmtId="0" fontId="104" fillId="21" borderId="107" xfId="0" applyFont="1" applyFill="1" applyBorder="1"/>
    <xf numFmtId="0" fontId="68" fillId="21" borderId="98" xfId="3" applyFont="1" applyFill="1" applyBorder="1" applyAlignment="1">
      <alignment horizontal="left" vertical="center" wrapText="1"/>
    </xf>
    <xf numFmtId="0" fontId="68" fillId="21" borderId="107" xfId="0" applyFont="1" applyFill="1" applyBorder="1" applyAlignment="1">
      <alignment vertical="center"/>
    </xf>
    <xf numFmtId="43" fontId="66" fillId="21" borderId="96" xfId="0" applyNumberFormat="1" applyFont="1" applyFill="1" applyBorder="1" applyAlignment="1">
      <alignment vertical="center"/>
    </xf>
    <xf numFmtId="0" fontId="71" fillId="21" borderId="98" xfId="3" applyFont="1" applyFill="1" applyBorder="1" applyAlignment="1">
      <alignment horizontal="left"/>
    </xf>
    <xf numFmtId="0" fontId="67" fillId="21" borderId="99" xfId="0" applyFont="1" applyFill="1" applyBorder="1" applyAlignment="1">
      <alignment vertical="center"/>
    </xf>
    <xf numFmtId="14" fontId="64" fillId="21" borderId="98" xfId="0" applyNumberFormat="1" applyFont="1" applyFill="1" applyBorder="1" applyAlignment="1">
      <alignment horizontal="left"/>
    </xf>
    <xf numFmtId="189" fontId="68" fillId="21" borderId="94" xfId="0" applyNumberFormat="1" applyFont="1" applyFill="1" applyBorder="1" applyAlignment="1">
      <alignment vertical="center"/>
    </xf>
    <xf numFmtId="189" fontId="68" fillId="21" borderId="152" xfId="0" applyNumberFormat="1" applyFont="1" applyFill="1" applyBorder="1" applyAlignment="1">
      <alignment vertical="center"/>
    </xf>
    <xf numFmtId="189" fontId="68" fillId="21" borderId="151" xfId="0" applyNumberFormat="1" applyFont="1" applyFill="1" applyBorder="1" applyAlignment="1">
      <alignment vertical="center"/>
    </xf>
    <xf numFmtId="189" fontId="68" fillId="21" borderId="109" xfId="0" applyNumberFormat="1" applyFont="1" applyFill="1" applyBorder="1" applyAlignment="1">
      <alignment vertical="center"/>
    </xf>
    <xf numFmtId="43" fontId="64" fillId="21" borderId="62" xfId="0" applyNumberFormat="1" applyFont="1" applyFill="1" applyBorder="1" applyAlignment="1">
      <alignment vertical="center"/>
    </xf>
    <xf numFmtId="43" fontId="64" fillId="21" borderId="89" xfId="0" applyNumberFormat="1" applyFont="1" applyFill="1" applyBorder="1" applyAlignment="1">
      <alignment vertical="center"/>
    </xf>
    <xf numFmtId="43" fontId="64" fillId="21" borderId="114" xfId="0" applyNumberFormat="1" applyFont="1" applyFill="1" applyBorder="1" applyAlignment="1">
      <alignment vertical="center"/>
    </xf>
    <xf numFmtId="43" fontId="64" fillId="21" borderId="113" xfId="0" applyNumberFormat="1" applyFont="1" applyFill="1" applyBorder="1" applyAlignment="1">
      <alignment vertical="center"/>
    </xf>
    <xf numFmtId="43" fontId="64" fillId="21" borderId="115" xfId="0" applyNumberFormat="1" applyFont="1" applyFill="1" applyBorder="1" applyAlignment="1">
      <alignment vertical="center"/>
    </xf>
    <xf numFmtId="9" fontId="64" fillId="21" borderId="114" xfId="2" applyFont="1" applyFill="1" applyBorder="1" applyAlignment="1">
      <alignment vertical="center"/>
    </xf>
    <xf numFmtId="43" fontId="64" fillId="21" borderId="114" xfId="0" applyNumberFormat="1" applyFont="1" applyFill="1" applyBorder="1" applyAlignment="1">
      <alignment horizontal="center" vertical="center"/>
    </xf>
    <xf numFmtId="0" fontId="68" fillId="21" borderId="113" xfId="0" applyFont="1" applyFill="1" applyBorder="1" applyAlignment="1">
      <alignment vertical="center"/>
    </xf>
    <xf numFmtId="9" fontId="68" fillId="21" borderId="0" xfId="2" applyFont="1" applyFill="1" applyAlignment="1">
      <alignment vertical="center"/>
    </xf>
    <xf numFmtId="0" fontId="70" fillId="21" borderId="0" xfId="0" applyFont="1" applyFill="1" applyAlignment="1">
      <alignment vertical="center"/>
    </xf>
    <xf numFmtId="0" fontId="70" fillId="21" borderId="116" xfId="0" applyFont="1" applyFill="1" applyBorder="1" applyAlignment="1">
      <alignment vertical="center"/>
    </xf>
    <xf numFmtId="43" fontId="70" fillId="21" borderId="117" xfId="1" applyFont="1" applyFill="1" applyBorder="1" applyAlignment="1">
      <alignment vertical="center"/>
    </xf>
    <xf numFmtId="0" fontId="70" fillId="21" borderId="105" xfId="0" applyFont="1" applyFill="1" applyBorder="1" applyAlignment="1">
      <alignment vertical="center"/>
    </xf>
    <xf numFmtId="43" fontId="70" fillId="21" borderId="118" xfId="0" applyNumberFormat="1" applyFont="1" applyFill="1" applyBorder="1" applyAlignment="1">
      <alignment vertical="center"/>
    </xf>
    <xf numFmtId="2" fontId="70" fillId="21" borderId="118" xfId="0" applyNumberFormat="1" applyFont="1" applyFill="1" applyBorder="1" applyAlignment="1">
      <alignment vertical="center"/>
    </xf>
    <xf numFmtId="0" fontId="64" fillId="21" borderId="0" xfId="0" quotePrefix="1" applyFont="1" applyFill="1" applyAlignment="1">
      <alignment vertical="center"/>
    </xf>
    <xf numFmtId="0" fontId="70" fillId="21" borderId="0" xfId="0" applyFont="1" applyFill="1" applyAlignment="1">
      <alignment horizontal="center" vertical="center"/>
    </xf>
    <xf numFmtId="0" fontId="70" fillId="21" borderId="119" xfId="0" applyFont="1" applyFill="1" applyBorder="1" applyAlignment="1">
      <alignment horizontal="center" vertical="center"/>
    </xf>
    <xf numFmtId="0" fontId="70" fillId="21" borderId="120" xfId="2" applyNumberFormat="1" applyFont="1" applyFill="1" applyBorder="1" applyAlignment="1">
      <alignment vertical="center"/>
    </xf>
    <xf numFmtId="0" fontId="68" fillId="21" borderId="0" xfId="0" quotePrefix="1" applyFont="1" applyFill="1" applyAlignment="1">
      <alignment vertical="center"/>
    </xf>
    <xf numFmtId="0" fontId="64" fillId="29" borderId="106" xfId="0" applyFont="1" applyFill="1" applyBorder="1" applyAlignment="1">
      <alignment horizontal="center"/>
    </xf>
    <xf numFmtId="189" fontId="64" fillId="21" borderId="98" xfId="0" applyNumberFormat="1" applyFont="1" applyFill="1" applyBorder="1" applyAlignment="1">
      <alignment vertical="center"/>
    </xf>
    <xf numFmtId="14" fontId="64" fillId="21" borderId="107" xfId="0" quotePrefix="1" applyNumberFormat="1" applyFont="1" applyFill="1" applyBorder="1" applyAlignment="1">
      <alignment horizontal="left" vertical="center"/>
    </xf>
    <xf numFmtId="189" fontId="68" fillId="21" borderId="107" xfId="0" applyNumberFormat="1" applyFont="1" applyFill="1" applyBorder="1" applyAlignment="1">
      <alignment vertical="center"/>
    </xf>
    <xf numFmtId="189" fontId="64" fillId="21" borderId="107" xfId="0" applyNumberFormat="1" applyFont="1" applyFill="1" applyBorder="1" applyAlignment="1">
      <alignment vertical="center"/>
    </xf>
    <xf numFmtId="14" fontId="64" fillId="21" borderId="107" xfId="0" quotePrefix="1" applyNumberFormat="1" applyFont="1" applyFill="1" applyBorder="1" applyAlignment="1">
      <alignment horizontal="center" vertical="center"/>
    </xf>
    <xf numFmtId="0" fontId="106" fillId="29" borderId="99" xfId="0" applyFont="1" applyFill="1" applyBorder="1"/>
    <xf numFmtId="0" fontId="106" fillId="29" borderId="99" xfId="0" quotePrefix="1" applyFont="1" applyFill="1" applyBorder="1"/>
    <xf numFmtId="0" fontId="108" fillId="0" borderId="99" xfId="0" applyFont="1" applyBorder="1"/>
    <xf numFmtId="0" fontId="64" fillId="29" borderId="98" xfId="3" applyFont="1" applyFill="1" applyBorder="1" applyAlignment="1">
      <alignment horizontal="left"/>
    </xf>
    <xf numFmtId="0" fontId="64" fillId="29" borderId="107" xfId="0" applyFont="1" applyFill="1" applyBorder="1"/>
    <xf numFmtId="0" fontId="107" fillId="0" borderId="99" xfId="0" applyFont="1" applyBorder="1"/>
    <xf numFmtId="0" fontId="111" fillId="0" borderId="99" xfId="0" applyFont="1" applyBorder="1" applyAlignment="1">
      <alignment horizontal="center" vertical="center"/>
    </xf>
    <xf numFmtId="14" fontId="110" fillId="29" borderId="99" xfId="0" applyNumberFormat="1" applyFont="1" applyFill="1" applyBorder="1" applyAlignment="1">
      <alignment horizontal="left" vertical="center"/>
    </xf>
    <xf numFmtId="0" fontId="111" fillId="29" borderId="99" xfId="0" applyFont="1" applyFill="1" applyBorder="1" applyAlignment="1">
      <alignment horizontal="left" vertical="center"/>
    </xf>
    <xf numFmtId="0" fontId="10" fillId="0" borderId="99" xfId="0" applyFont="1" applyBorder="1" applyAlignment="1">
      <alignment vertical="center"/>
    </xf>
    <xf numFmtId="0" fontId="111" fillId="0" borderId="91" xfId="0" applyFont="1" applyBorder="1" applyAlignment="1">
      <alignment horizontal="center" vertical="center"/>
    </xf>
    <xf numFmtId="0" fontId="113" fillId="0" borderId="91" xfId="0" applyFont="1" applyBorder="1" applyAlignment="1">
      <alignment vertical="center"/>
    </xf>
    <xf numFmtId="49" fontId="114" fillId="0" borderId="91" xfId="0" quotePrefix="1" applyNumberFormat="1" applyFont="1" applyBorder="1" applyAlignment="1">
      <alignment vertical="center"/>
    </xf>
    <xf numFmtId="0" fontId="111" fillId="29" borderId="91" xfId="0" applyFont="1" applyFill="1" applyBorder="1" applyAlignment="1">
      <alignment vertical="center"/>
    </xf>
    <xf numFmtId="49" fontId="112" fillId="29" borderId="91" xfId="0" quotePrefix="1" applyNumberFormat="1" applyFont="1" applyFill="1" applyBorder="1" applyAlignment="1">
      <alignment vertical="center"/>
    </xf>
    <xf numFmtId="0" fontId="113" fillId="0" borderId="91" xfId="0" quotePrefix="1" applyFont="1" applyBorder="1" applyAlignment="1">
      <alignment vertical="center"/>
    </xf>
    <xf numFmtId="0" fontId="110" fillId="29" borderId="91" xfId="0" applyFont="1" applyFill="1" applyBorder="1" applyAlignment="1">
      <alignment vertical="center"/>
    </xf>
    <xf numFmtId="0" fontId="115" fillId="29" borderId="91" xfId="0" applyFont="1" applyFill="1" applyBorder="1" applyAlignment="1">
      <alignment vertical="center"/>
    </xf>
    <xf numFmtId="0" fontId="111" fillId="0" borderId="99" xfId="0" applyFont="1" applyBorder="1" applyAlignment="1">
      <alignment vertical="center"/>
    </xf>
    <xf numFmtId="0" fontId="107" fillId="0" borderId="91" xfId="0" applyFont="1" applyBorder="1" applyAlignment="1">
      <alignment vertical="center"/>
    </xf>
    <xf numFmtId="0" fontId="113" fillId="0" borderId="99" xfId="0" applyFont="1" applyBorder="1" applyAlignment="1">
      <alignment vertical="center"/>
    </xf>
    <xf numFmtId="0" fontId="64" fillId="45" borderId="106" xfId="0" applyFont="1" applyFill="1" applyBorder="1" applyAlignment="1">
      <alignment horizontal="center"/>
    </xf>
    <xf numFmtId="43" fontId="90" fillId="21" borderId="96" xfId="0" applyNumberFormat="1" applyFont="1" applyFill="1" applyBorder="1" applyAlignment="1">
      <alignment horizontal="center" vertical="center"/>
    </xf>
    <xf numFmtId="189" fontId="64" fillId="21" borderId="99" xfId="0" applyNumberFormat="1" applyFont="1" applyFill="1" applyBorder="1" applyAlignment="1">
      <alignment vertical="center"/>
    </xf>
    <xf numFmtId="0" fontId="111" fillId="0" borderId="100" xfId="0" applyFont="1" applyBorder="1" applyAlignment="1">
      <alignment horizontal="center" vertical="center"/>
    </xf>
    <xf numFmtId="0" fontId="68" fillId="21" borderId="107" xfId="3" applyFont="1" applyFill="1" applyBorder="1" applyAlignment="1">
      <alignment horizontal="left"/>
    </xf>
    <xf numFmtId="0" fontId="64" fillId="41" borderId="106" xfId="0" applyFont="1" applyFill="1" applyBorder="1" applyAlignment="1">
      <alignment horizontal="center"/>
    </xf>
    <xf numFmtId="0" fontId="68" fillId="21" borderId="147" xfId="0" applyFont="1" applyFill="1" applyBorder="1"/>
    <xf numFmtId="0" fontId="64" fillId="29" borderId="99" xfId="3" applyFont="1" applyFill="1" applyBorder="1" applyAlignment="1">
      <alignment horizontal="left"/>
    </xf>
    <xf numFmtId="0" fontId="64" fillId="40" borderId="54" xfId="0" applyFont="1" applyFill="1" applyBorder="1" applyAlignment="1">
      <alignment vertical="center"/>
    </xf>
    <xf numFmtId="0" fontId="64" fillId="40" borderId="55" xfId="0" applyFont="1" applyFill="1" applyBorder="1" applyAlignment="1">
      <alignment vertical="center"/>
    </xf>
    <xf numFmtId="0" fontId="65" fillId="33" borderId="52" xfId="0" applyFont="1" applyFill="1" applyBorder="1" applyAlignment="1">
      <alignment horizontal="center" vertical="center"/>
    </xf>
    <xf numFmtId="0" fontId="65" fillId="33" borderId="55" xfId="0" applyFont="1" applyFill="1" applyBorder="1" applyAlignment="1">
      <alignment horizontal="center" vertical="center"/>
    </xf>
    <xf numFmtId="0" fontId="68" fillId="21" borderId="154" xfId="0" applyFont="1" applyFill="1" applyBorder="1" applyAlignment="1">
      <alignment horizontal="center" vertical="center"/>
    </xf>
    <xf numFmtId="0" fontId="89" fillId="29" borderId="98" xfId="3" applyFont="1" applyFill="1" applyBorder="1" applyAlignment="1">
      <alignment horizontal="left"/>
    </xf>
    <xf numFmtId="0" fontId="116" fillId="0" borderId="144" xfId="0" applyFont="1" applyBorder="1"/>
    <xf numFmtId="0" fontId="117" fillId="0" borderId="144" xfId="0" applyFont="1" applyBorder="1"/>
    <xf numFmtId="4" fontId="68" fillId="21" borderId="154" xfId="0" applyNumberFormat="1" applyFont="1" applyFill="1" applyBorder="1" applyAlignment="1">
      <alignment horizontal="center" vertical="center"/>
    </xf>
    <xf numFmtId="0" fontId="108" fillId="0" borderId="98" xfId="0" applyFont="1" applyBorder="1"/>
    <xf numFmtId="14" fontId="110" fillId="21" borderId="99" xfId="0" applyNumberFormat="1" applyFont="1" applyFill="1" applyBorder="1" applyAlignment="1">
      <alignment horizontal="left" vertical="center"/>
    </xf>
    <xf numFmtId="0" fontId="111" fillId="21" borderId="99" xfId="0" applyFont="1" applyFill="1" applyBorder="1" applyAlignment="1">
      <alignment horizontal="left" vertical="center"/>
    </xf>
    <xf numFmtId="0" fontId="108" fillId="0" borderId="107" xfId="0" applyFont="1" applyBorder="1"/>
    <xf numFmtId="0" fontId="108" fillId="0" borderId="98" xfId="0" applyFont="1" applyBorder="1" applyAlignment="1">
      <alignment wrapText="1"/>
    </xf>
    <xf numFmtId="0" fontId="109" fillId="21" borderId="99" xfId="0" applyFont="1" applyFill="1" applyBorder="1"/>
    <xf numFmtId="0" fontId="113" fillId="0" borderId="99" xfId="0" applyFont="1" applyBorder="1" applyAlignment="1">
      <alignment vertical="center" wrapText="1"/>
    </xf>
    <xf numFmtId="0" fontId="64" fillId="21" borderId="0" xfId="0" applyFont="1" applyFill="1" applyAlignment="1">
      <alignment horizontal="center" vertical="center"/>
    </xf>
    <xf numFmtId="0" fontId="118" fillId="21" borderId="0" xfId="0" applyFont="1" applyFill="1" applyAlignment="1">
      <alignment horizontal="center" vertical="center"/>
    </xf>
    <xf numFmtId="188" fontId="118" fillId="21" borderId="0" xfId="0" applyNumberFormat="1" applyFont="1" applyFill="1" applyAlignment="1">
      <alignment horizontal="center" vertical="center"/>
    </xf>
    <xf numFmtId="14" fontId="119" fillId="21" borderId="100" xfId="0" quotePrefix="1" applyNumberFormat="1" applyFont="1" applyFill="1" applyBorder="1" applyAlignment="1">
      <alignment horizontal="center" vertical="center"/>
    </xf>
    <xf numFmtId="14" fontId="119" fillId="21" borderId="107" xfId="0" quotePrefix="1" applyNumberFormat="1" applyFont="1" applyFill="1" applyBorder="1" applyAlignment="1">
      <alignment horizontal="center" vertical="center"/>
    </xf>
    <xf numFmtId="0" fontId="119" fillId="21" borderId="100" xfId="0" quotePrefix="1" applyFont="1" applyFill="1" applyBorder="1" applyAlignment="1">
      <alignment horizontal="center" vertical="center"/>
    </xf>
    <xf numFmtId="0" fontId="110" fillId="0" borderId="91" xfId="0" applyFont="1" applyBorder="1" applyAlignment="1">
      <alignment horizontal="center" vertical="center"/>
    </xf>
    <xf numFmtId="0" fontId="119" fillId="21" borderId="92" xfId="0" quotePrefix="1" applyFont="1" applyFill="1" applyBorder="1" applyAlignment="1">
      <alignment horizontal="center" vertical="center"/>
    </xf>
    <xf numFmtId="0" fontId="119" fillId="21" borderId="98" xfId="3" applyFont="1" applyFill="1" applyBorder="1" applyAlignment="1">
      <alignment horizontal="center"/>
    </xf>
    <xf numFmtId="0" fontId="119" fillId="21" borderId="107" xfId="0" applyFont="1" applyFill="1" applyBorder="1" applyAlignment="1">
      <alignment horizontal="center"/>
    </xf>
    <xf numFmtId="0" fontId="119" fillId="21" borderId="111" xfId="0" applyFont="1" applyFill="1" applyBorder="1" applyAlignment="1">
      <alignment horizontal="center" vertical="center"/>
    </xf>
    <xf numFmtId="0" fontId="119" fillId="21" borderId="0" xfId="0" applyFont="1" applyFill="1" applyAlignment="1">
      <alignment horizontal="center" vertical="center"/>
    </xf>
    <xf numFmtId="0" fontId="119" fillId="0" borderId="0" xfId="0" applyFont="1" applyAlignment="1">
      <alignment horizontal="center" vertical="center"/>
    </xf>
    <xf numFmtId="189" fontId="64" fillId="21" borderId="98" xfId="0" applyNumberFormat="1" applyFont="1" applyFill="1" applyBorder="1" applyAlignment="1">
      <alignment horizontal="center" vertical="center"/>
    </xf>
    <xf numFmtId="189" fontId="64" fillId="21" borderId="107" xfId="0" applyNumberFormat="1" applyFont="1" applyFill="1" applyBorder="1" applyAlignment="1">
      <alignment horizontal="center" vertical="center"/>
    </xf>
    <xf numFmtId="43" fontId="64" fillId="21" borderId="62" xfId="0" applyNumberFormat="1" applyFont="1" applyFill="1" applyBorder="1" applyAlignment="1">
      <alignment horizontal="center" vertical="center"/>
    </xf>
    <xf numFmtId="189" fontId="64" fillId="21" borderId="99" xfId="0" applyNumberFormat="1" applyFont="1" applyFill="1" applyBorder="1" applyAlignment="1">
      <alignment horizontal="center" vertical="center"/>
    </xf>
    <xf numFmtId="0" fontId="64" fillId="21" borderId="98" xfId="3" applyFont="1" applyFill="1" applyBorder="1" applyAlignment="1">
      <alignment horizontal="center"/>
    </xf>
    <xf numFmtId="189" fontId="64" fillId="21" borderId="152" xfId="0" applyNumberFormat="1" applyFont="1" applyFill="1" applyBorder="1" applyAlignment="1">
      <alignment horizontal="center" vertical="center"/>
    </xf>
    <xf numFmtId="0" fontId="106" fillId="21" borderId="99" xfId="5" applyFont="1" applyFill="1" applyBorder="1"/>
    <xf numFmtId="0" fontId="106" fillId="21" borderId="99" xfId="5" quotePrefix="1" applyFont="1" applyFill="1" applyBorder="1"/>
    <xf numFmtId="0" fontId="1" fillId="0" borderId="99" xfId="5" applyBorder="1"/>
    <xf numFmtId="0" fontId="119" fillId="21" borderId="107" xfId="3" applyFont="1" applyFill="1" applyBorder="1" applyAlignment="1">
      <alignment horizontal="center"/>
    </xf>
    <xf numFmtId="0" fontId="64" fillId="37" borderId="106" xfId="0" applyFont="1" applyFill="1" applyBorder="1" applyAlignment="1">
      <alignment horizontal="center"/>
    </xf>
    <xf numFmtId="0" fontId="64" fillId="37" borderId="105" xfId="0" applyFont="1" applyFill="1" applyBorder="1" applyAlignment="1">
      <alignment horizontal="center"/>
    </xf>
    <xf numFmtId="0" fontId="106" fillId="21" borderId="99" xfId="0" applyFont="1" applyFill="1" applyBorder="1"/>
    <xf numFmtId="0" fontId="89" fillId="21" borderId="104" xfId="0" applyFont="1" applyFill="1" applyBorder="1" applyAlignment="1">
      <alignment vertical="center"/>
    </xf>
    <xf numFmtId="0" fontId="64" fillId="40" borderId="90" xfId="0" applyFont="1" applyFill="1" applyBorder="1" applyAlignment="1">
      <alignment horizontal="center"/>
    </xf>
    <xf numFmtId="0" fontId="64" fillId="40" borderId="106" xfId="0" applyFont="1" applyFill="1" applyBorder="1" applyAlignment="1">
      <alignment horizontal="center"/>
    </xf>
    <xf numFmtId="0" fontId="74" fillId="37" borderId="121" xfId="0" applyFont="1" applyFill="1" applyBorder="1" applyAlignment="1">
      <alignment horizontal="left" vertical="center"/>
    </xf>
    <xf numFmtId="0" fontId="74" fillId="37" borderId="122" xfId="0" applyFont="1" applyFill="1" applyBorder="1" applyAlignment="1">
      <alignment horizontal="left" vertical="center"/>
    </xf>
    <xf numFmtId="0" fontId="74" fillId="37" borderId="124" xfId="0" applyFont="1" applyFill="1" applyBorder="1" applyAlignment="1">
      <alignment horizontal="left" vertical="center"/>
    </xf>
    <xf numFmtId="0" fontId="74" fillId="37" borderId="0" xfId="0" applyFont="1" applyFill="1" applyAlignment="1">
      <alignment horizontal="left" vertical="center"/>
    </xf>
    <xf numFmtId="0" fontId="74" fillId="37" borderId="123" xfId="0" applyFont="1" applyFill="1" applyBorder="1" applyAlignment="1">
      <alignment horizontal="left" vertical="center"/>
    </xf>
    <xf numFmtId="0" fontId="74" fillId="37" borderId="126" xfId="0" applyFont="1" applyFill="1" applyBorder="1" applyAlignment="1">
      <alignment horizontal="left"/>
    </xf>
    <xf numFmtId="0" fontId="74" fillId="37" borderId="51" xfId="0" applyFont="1" applyFill="1" applyBorder="1" applyAlignment="1">
      <alignment horizontal="left"/>
    </xf>
    <xf numFmtId="0" fontId="10" fillId="0" borderId="0" xfId="0" applyFont="1" applyAlignment="1">
      <alignment horizontal="left"/>
    </xf>
    <xf numFmtId="0" fontId="0" fillId="0" borderId="0" xfId="0"/>
    <xf numFmtId="0" fontId="31" fillId="18" borderId="17" xfId="0" applyFont="1" applyFill="1" applyBorder="1" applyAlignment="1">
      <alignment horizontal="center" vertical="center"/>
    </xf>
    <xf numFmtId="0" fontId="42" fillId="0" borderId="24" xfId="0" applyFont="1" applyBorder="1"/>
    <xf numFmtId="0" fontId="31" fillId="18" borderId="18" xfId="0" applyFont="1" applyFill="1" applyBorder="1" applyAlignment="1">
      <alignment horizontal="center"/>
    </xf>
    <xf numFmtId="0" fontId="42" fillId="0" borderId="19" xfId="0" applyFont="1" applyBorder="1"/>
    <xf numFmtId="0" fontId="42" fillId="0" borderId="3" xfId="0" applyFont="1" applyBorder="1"/>
    <xf numFmtId="0" fontId="31" fillId="18" borderId="18" xfId="0" applyFont="1" applyFill="1" applyBorder="1" applyAlignment="1">
      <alignment horizontal="center" vertical="center"/>
    </xf>
    <xf numFmtId="0" fontId="31" fillId="18" borderId="20" xfId="0" applyFont="1" applyFill="1" applyBorder="1" applyAlignment="1">
      <alignment horizontal="center" vertical="center" wrapText="1"/>
    </xf>
    <xf numFmtId="0" fontId="42" fillId="0" borderId="6" xfId="0" applyFont="1" applyBorder="1"/>
    <xf numFmtId="0" fontId="31" fillId="18" borderId="21" xfId="0" applyFont="1" applyFill="1" applyBorder="1" applyAlignment="1">
      <alignment horizontal="center" vertical="center"/>
    </xf>
    <xf numFmtId="0" fontId="31" fillId="18" borderId="22" xfId="0" applyFont="1" applyFill="1" applyBorder="1" applyAlignment="1">
      <alignment horizontal="center" vertical="center"/>
    </xf>
    <xf numFmtId="0" fontId="42" fillId="0" borderId="5" xfId="0" applyFont="1" applyBorder="1"/>
    <xf numFmtId="0" fontId="31" fillId="18" borderId="23" xfId="0" applyFont="1" applyFill="1" applyBorder="1" applyAlignment="1">
      <alignment horizontal="center"/>
    </xf>
    <xf numFmtId="0" fontId="31" fillId="10" borderId="17" xfId="0" applyFont="1" applyFill="1" applyBorder="1" applyAlignment="1">
      <alignment horizontal="center" vertical="center"/>
    </xf>
    <xf numFmtId="0" fontId="31" fillId="10" borderId="18" xfId="0" applyFont="1" applyFill="1" applyBorder="1" applyAlignment="1">
      <alignment horizontal="center"/>
    </xf>
    <xf numFmtId="0" fontId="31" fillId="10" borderId="18" xfId="0" applyFont="1" applyFill="1" applyBorder="1" applyAlignment="1">
      <alignment horizontal="center" vertical="center"/>
    </xf>
    <xf numFmtId="0" fontId="31" fillId="10" borderId="20" xfId="0" applyFont="1" applyFill="1" applyBorder="1" applyAlignment="1">
      <alignment horizontal="center" vertical="center" wrapText="1"/>
    </xf>
    <xf numFmtId="0" fontId="31" fillId="10" borderId="21" xfId="0" applyFont="1" applyFill="1" applyBorder="1" applyAlignment="1">
      <alignment horizontal="center" vertical="center"/>
    </xf>
    <xf numFmtId="0" fontId="31" fillId="10" borderId="22" xfId="0" applyFont="1" applyFill="1" applyBorder="1" applyAlignment="1">
      <alignment horizontal="center" vertical="center"/>
    </xf>
    <xf numFmtId="0" fontId="31" fillId="10" borderId="23" xfId="0" applyFont="1" applyFill="1" applyBorder="1" applyAlignment="1">
      <alignment horizontal="center"/>
    </xf>
    <xf numFmtId="0" fontId="31" fillId="17" borderId="74" xfId="0" applyFont="1" applyFill="1" applyBorder="1" applyAlignment="1">
      <alignment horizontal="center" vertical="center"/>
    </xf>
    <xf numFmtId="0" fontId="42" fillId="0" borderId="75" xfId="0" applyFont="1" applyBorder="1" applyAlignment="1">
      <alignment vertical="center"/>
    </xf>
    <xf numFmtId="0" fontId="42" fillId="0" borderId="77" xfId="0" applyFont="1" applyBorder="1" applyAlignment="1">
      <alignment vertical="center"/>
    </xf>
    <xf numFmtId="0" fontId="54" fillId="18" borderId="67" xfId="0" applyFont="1" applyFill="1" applyBorder="1" applyAlignment="1">
      <alignment horizontal="center"/>
    </xf>
    <xf numFmtId="0" fontId="55" fillId="0" borderId="68" xfId="0" applyFont="1" applyBorder="1"/>
    <xf numFmtId="0" fontId="55" fillId="0" borderId="69" xfId="0" applyFont="1" applyBorder="1"/>
    <xf numFmtId="0" fontId="31" fillId="10" borderId="15" xfId="0" applyFont="1" applyFill="1" applyBorder="1" applyAlignment="1">
      <alignment horizontal="center"/>
    </xf>
    <xf numFmtId="0" fontId="42" fillId="0" borderId="15" xfId="0" applyFont="1" applyBorder="1"/>
    <xf numFmtId="0" fontId="42" fillId="0" borderId="16" xfId="0" applyFont="1" applyBorder="1"/>
    <xf numFmtId="0" fontId="31" fillId="18" borderId="14" xfId="0" applyFont="1" applyFill="1" applyBorder="1" applyAlignment="1">
      <alignment horizontal="center"/>
    </xf>
    <xf numFmtId="0" fontId="31" fillId="10" borderId="14" xfId="0" applyFont="1" applyFill="1" applyBorder="1" applyAlignment="1">
      <alignment horizontal="center"/>
    </xf>
    <xf numFmtId="0" fontId="43" fillId="17" borderId="27" xfId="0" applyFont="1" applyFill="1" applyBorder="1" applyAlignment="1">
      <alignment horizontal="center" vertical="center"/>
    </xf>
    <xf numFmtId="0" fontId="42" fillId="0" borderId="29" xfId="0" applyFont="1" applyBorder="1" applyAlignment="1">
      <alignment vertical="center"/>
    </xf>
    <xf numFmtId="0" fontId="42" fillId="0" borderId="32" xfId="0" applyFont="1" applyBorder="1" applyAlignment="1">
      <alignment vertical="center"/>
    </xf>
    <xf numFmtId="0" fontId="42" fillId="0" borderId="72" xfId="0" applyFont="1" applyBorder="1" applyAlignment="1">
      <alignment horizontal="center" vertical="center"/>
    </xf>
    <xf numFmtId="0" fontId="42" fillId="0" borderId="70" xfId="0" applyFont="1" applyBorder="1"/>
    <xf numFmtId="0" fontId="42" fillId="0" borderId="61" xfId="0" applyFont="1" applyBorder="1"/>
    <xf numFmtId="0" fontId="42" fillId="0" borderId="58" xfId="0" applyFont="1" applyBorder="1"/>
    <xf numFmtId="0" fontId="31" fillId="10" borderId="26" xfId="0" applyFont="1" applyFill="1" applyBorder="1" applyAlignment="1">
      <alignment horizontal="center" vertical="center"/>
    </xf>
    <xf numFmtId="0" fontId="43" fillId="17" borderId="29" xfId="0" applyFont="1" applyFill="1" applyBorder="1" applyAlignment="1">
      <alignment horizontal="center" vertical="center"/>
    </xf>
    <xf numFmtId="0" fontId="43" fillId="17" borderId="21" xfId="0" applyFont="1" applyFill="1" applyBorder="1" applyAlignment="1">
      <alignment horizontal="center" vertical="center"/>
    </xf>
    <xf numFmtId="0" fontId="43" fillId="17" borderId="17" xfId="0" applyFont="1" applyFill="1" applyBorder="1" applyAlignment="1">
      <alignment horizontal="center" vertical="center"/>
    </xf>
    <xf numFmtId="0" fontId="42" fillId="0" borderId="17" xfId="0" applyFont="1" applyBorder="1" applyAlignment="1">
      <alignment vertical="center"/>
    </xf>
    <xf numFmtId="0" fontId="42" fillId="0" borderId="33" xfId="0" applyFont="1" applyBorder="1" applyAlignment="1">
      <alignment vertical="center"/>
    </xf>
    <xf numFmtId="0" fontId="31" fillId="18" borderId="17" xfId="0" applyFont="1" applyFill="1" applyBorder="1" applyAlignment="1">
      <alignment horizontal="center" vertical="center" wrapText="1"/>
    </xf>
    <xf numFmtId="0" fontId="42" fillId="0" borderId="70" xfId="0" applyFont="1" applyBorder="1" applyAlignment="1">
      <alignment wrapText="1"/>
    </xf>
    <xf numFmtId="0" fontId="43" fillId="17" borderId="76" xfId="0" applyFont="1" applyFill="1" applyBorder="1" applyAlignment="1">
      <alignment horizontal="center" vertical="center"/>
    </xf>
    <xf numFmtId="14" fontId="10" fillId="0" borderId="43" xfId="0" applyNumberFormat="1" applyFont="1" applyBorder="1" applyAlignment="1">
      <alignment horizontal="center" vertical="top"/>
    </xf>
    <xf numFmtId="0" fontId="42" fillId="0" borderId="12" xfId="0" applyFont="1" applyBorder="1"/>
    <xf numFmtId="0" fontId="10" fillId="0" borderId="43" xfId="0" applyFont="1" applyBorder="1" applyAlignment="1">
      <alignment horizontal="center" vertical="top"/>
    </xf>
    <xf numFmtId="0" fontId="10" fillId="0" borderId="22" xfId="0" applyFont="1" applyBorder="1" applyAlignment="1">
      <alignment horizontal="center" vertical="center"/>
    </xf>
    <xf numFmtId="0" fontId="42" fillId="0" borderId="49" xfId="0" applyFont="1" applyBorder="1"/>
    <xf numFmtId="0" fontId="10" fillId="0" borderId="22" xfId="0" applyFont="1" applyBorder="1" applyAlignment="1">
      <alignment vertical="center"/>
    </xf>
    <xf numFmtId="14" fontId="10" fillId="0" borderId="43" xfId="0" applyNumberFormat="1" applyFont="1" applyBorder="1" applyAlignment="1">
      <alignment horizontal="center" vertical="center"/>
    </xf>
    <xf numFmtId="0" fontId="42" fillId="0" borderId="48" xfId="0" applyFont="1" applyBorder="1"/>
    <xf numFmtId="43" fontId="64" fillId="21" borderId="111" xfId="4" applyFont="1" applyFill="1" applyBorder="1" applyAlignment="1">
      <alignment horizontal="left"/>
    </xf>
    <xf numFmtId="43" fontId="64" fillId="21" borderId="112" xfId="4" applyFont="1" applyFill="1" applyBorder="1" applyAlignment="1">
      <alignment horizontal="left"/>
    </xf>
    <xf numFmtId="0" fontId="64" fillId="0" borderId="83" xfId="0" applyFont="1" applyBorder="1" applyAlignment="1">
      <alignment horizontal="center" vertical="center"/>
    </xf>
    <xf numFmtId="0" fontId="64" fillId="0" borderId="89" xfId="0" applyFont="1" applyBorder="1" applyAlignment="1">
      <alignment horizontal="center" vertical="center"/>
    </xf>
    <xf numFmtId="0" fontId="62" fillId="29" borderId="0" xfId="0" applyFont="1" applyFill="1" applyAlignment="1">
      <alignment horizontal="left" vertical="center"/>
    </xf>
    <xf numFmtId="14" fontId="64" fillId="21" borderId="80" xfId="0" applyNumberFormat="1" applyFont="1" applyFill="1" applyBorder="1" applyAlignment="1">
      <alignment horizontal="center" vertical="center"/>
    </xf>
    <xf numFmtId="14" fontId="64" fillId="21" borderId="84" xfId="0" applyNumberFormat="1" applyFont="1" applyFill="1" applyBorder="1" applyAlignment="1">
      <alignment horizontal="center" vertical="center"/>
    </xf>
    <xf numFmtId="14" fontId="64" fillId="0" borderId="81" xfId="0" applyNumberFormat="1" applyFont="1" applyBorder="1" applyAlignment="1">
      <alignment horizontal="center" vertical="center"/>
    </xf>
    <xf numFmtId="14" fontId="64" fillId="0" borderId="85" xfId="0" applyNumberFormat="1" applyFont="1" applyBorder="1" applyAlignment="1">
      <alignment horizontal="center" vertical="center"/>
    </xf>
    <xf numFmtId="0" fontId="64" fillId="0" borderId="81" xfId="0" applyFont="1" applyBorder="1" applyAlignment="1">
      <alignment horizontal="center" vertical="center"/>
    </xf>
    <xf numFmtId="0" fontId="64" fillId="0" borderId="85" xfId="0" applyFont="1" applyBorder="1" applyAlignment="1">
      <alignment horizontal="center" vertical="center"/>
    </xf>
    <xf numFmtId="0" fontId="64" fillId="21" borderId="149" xfId="0" applyFont="1" applyFill="1" applyBorder="1" applyAlignment="1">
      <alignment horizontal="center" vertical="center"/>
    </xf>
    <xf numFmtId="0" fontId="64" fillId="21" borderId="86" xfId="0" applyFont="1" applyFill="1" applyBorder="1" applyAlignment="1">
      <alignment horizontal="center" vertical="center"/>
    </xf>
    <xf numFmtId="0" fontId="64" fillId="40" borderId="53" xfId="0" applyFont="1" applyFill="1" applyBorder="1" applyAlignment="1">
      <alignment horizontal="center" vertical="center"/>
    </xf>
    <xf numFmtId="0" fontId="64" fillId="40" borderId="54" xfId="0" applyFont="1" applyFill="1" applyBorder="1" applyAlignment="1">
      <alignment horizontal="center" vertical="center"/>
    </xf>
    <xf numFmtId="0" fontId="64" fillId="40" borderId="55" xfId="0" applyFont="1" applyFill="1" applyBorder="1" applyAlignment="1">
      <alignment horizontal="center" vertical="center"/>
    </xf>
    <xf numFmtId="0" fontId="65" fillId="31" borderId="83" xfId="0" applyFont="1" applyFill="1" applyBorder="1" applyAlignment="1">
      <alignment horizontal="center" vertical="center"/>
    </xf>
    <xf numFmtId="0" fontId="65" fillId="31" borderId="89" xfId="0" applyFont="1" applyFill="1" applyBorder="1" applyAlignment="1">
      <alignment horizontal="center" vertical="center"/>
    </xf>
    <xf numFmtId="0" fontId="64" fillId="21" borderId="83" xfId="0" applyFont="1" applyFill="1" applyBorder="1" applyAlignment="1">
      <alignment horizontal="center" vertical="center"/>
    </xf>
    <xf numFmtId="0" fontId="64" fillId="21" borderId="89" xfId="0" applyFont="1" applyFill="1" applyBorder="1" applyAlignment="1">
      <alignment horizontal="center" vertical="center"/>
    </xf>
    <xf numFmtId="0" fontId="119" fillId="21" borderId="82" xfId="0" applyFont="1" applyFill="1" applyBorder="1" applyAlignment="1">
      <alignment horizontal="center" vertical="center"/>
    </xf>
    <xf numFmtId="0" fontId="119" fillId="21" borderId="153" xfId="0" applyFont="1" applyFill="1" applyBorder="1" applyAlignment="1">
      <alignment horizontal="center" vertical="center"/>
    </xf>
    <xf numFmtId="0" fontId="64" fillId="21" borderId="82" xfId="0" applyFont="1" applyFill="1" applyBorder="1" applyAlignment="1">
      <alignment horizontal="center" vertical="center"/>
    </xf>
    <xf numFmtId="0" fontId="64" fillId="21" borderId="153" xfId="0" applyFont="1" applyFill="1" applyBorder="1" applyAlignment="1">
      <alignment horizontal="center" vertical="center"/>
    </xf>
    <xf numFmtId="0" fontId="94" fillId="42" borderId="98" xfId="0" applyFont="1" applyFill="1" applyBorder="1" applyAlignment="1">
      <alignment horizontal="center" vertical="center"/>
    </xf>
    <xf numFmtId="0" fontId="94" fillId="42" borderId="91" xfId="0" applyFont="1" applyFill="1" applyBorder="1" applyAlignment="1">
      <alignment horizontal="center" vertical="center"/>
    </xf>
    <xf numFmtId="0" fontId="94" fillId="42" borderId="99" xfId="0" applyFont="1" applyFill="1" applyBorder="1" applyAlignment="1">
      <alignment horizontal="center" vertical="center"/>
    </xf>
    <xf numFmtId="0" fontId="94" fillId="0" borderId="100" xfId="0" applyFont="1" applyBorder="1" applyAlignment="1">
      <alignment horizontal="center" vertical="center"/>
    </xf>
    <xf numFmtId="0" fontId="94" fillId="0" borderId="144" xfId="0" applyFont="1" applyBorder="1" applyAlignment="1">
      <alignment horizontal="center" vertical="center"/>
    </xf>
    <xf numFmtId="0" fontId="94" fillId="42" borderId="99" xfId="0" applyFont="1" applyFill="1" applyBorder="1" applyAlignment="1">
      <alignment horizontal="left"/>
    </xf>
    <xf numFmtId="14" fontId="64" fillId="0" borderId="80" xfId="0" applyNumberFormat="1" applyFont="1" applyBorder="1" applyAlignment="1">
      <alignment horizontal="center" vertical="center"/>
    </xf>
    <xf numFmtId="14" fontId="64" fillId="0" borderId="84" xfId="0" applyNumberFormat="1" applyFont="1" applyBorder="1" applyAlignment="1">
      <alignment horizontal="center" vertical="center"/>
    </xf>
    <xf numFmtId="0" fontId="64" fillId="30" borderId="53" xfId="0" applyFont="1" applyFill="1" applyBorder="1" applyAlignment="1">
      <alignment horizontal="center" vertical="center"/>
    </xf>
    <xf numFmtId="0" fontId="64" fillId="30" borderId="54" xfId="0" applyFont="1" applyFill="1" applyBorder="1" applyAlignment="1">
      <alignment horizontal="center" vertical="center"/>
    </xf>
    <xf numFmtId="0" fontId="64" fillId="30" borderId="55" xfId="0" applyFont="1" applyFill="1" applyBorder="1" applyAlignment="1">
      <alignment horizontal="center" vertical="center"/>
    </xf>
  </cellXfs>
  <cellStyles count="8">
    <cellStyle name="Comma 2 2" xfId="4" xr:uid="{4BDADFCC-F25A-41E9-9EBF-B7765E53640A}"/>
    <cellStyle name="Normal 2" xfId="3" xr:uid="{AE78E084-F9C1-4AC6-9C7A-42D3590DCE46}"/>
    <cellStyle name="จุลภาค" xfId="1" builtinId="3"/>
    <cellStyle name="จุลภาค 2" xfId="6" xr:uid="{20138E0F-ECF0-4666-8C08-16BBAE9B41F3}"/>
    <cellStyle name="ปกติ" xfId="0" builtinId="0"/>
    <cellStyle name="ปกติ 2" xfId="5" xr:uid="{1DF0A460-253A-4EE5-8691-00D5E9B53A2D}"/>
    <cellStyle name="เปอร์เซ็นต์" xfId="2" builtinId="5"/>
    <cellStyle name="เปอร์เซ็นต์ 2" xfId="7" xr:uid="{626BDC00-695C-4D7E-AED2-530613E59F14}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2"/>
  <sheetViews>
    <sheetView workbookViewId="0">
      <selection activeCell="H14" sqref="H14"/>
    </sheetView>
  </sheetViews>
  <sheetFormatPr defaultColWidth="12.5546875" defaultRowHeight="15.75" customHeight="1"/>
  <cols>
    <col min="1" max="1" width="3.44140625" style="871" customWidth="1"/>
    <col min="2" max="2" width="14.44140625" customWidth="1"/>
    <col min="3" max="3" width="11.33203125" customWidth="1"/>
    <col min="4" max="4" width="14.88671875" customWidth="1"/>
    <col min="5" max="5" width="14.5546875" customWidth="1"/>
    <col min="6" max="7" width="16.109375" customWidth="1"/>
    <col min="8" max="8" width="18.88671875" customWidth="1"/>
    <col min="9" max="9" width="13" customWidth="1"/>
    <col min="10" max="10" width="8.33203125" customWidth="1"/>
  </cols>
  <sheetData>
    <row r="1" spans="1:15" ht="15.75" customHeight="1" thickBot="1"/>
    <row r="2" spans="1:15" s="756" customFormat="1" ht="15.6">
      <c r="A2" s="872"/>
      <c r="B2" s="1192" t="s">
        <v>646</v>
      </c>
      <c r="C2" s="1193"/>
      <c r="D2" s="1193" t="s">
        <v>647</v>
      </c>
      <c r="E2" s="1196"/>
      <c r="F2" s="870"/>
      <c r="G2" s="870"/>
      <c r="H2" s="870"/>
      <c r="I2" s="870"/>
      <c r="J2" s="873"/>
      <c r="K2" s="873"/>
      <c r="L2" s="873"/>
      <c r="M2" s="873"/>
      <c r="N2" s="873"/>
      <c r="O2" s="873"/>
    </row>
    <row r="3" spans="1:15" s="756" customFormat="1" ht="15.6">
      <c r="A3" s="872"/>
      <c r="B3" s="1194" t="s">
        <v>648</v>
      </c>
      <c r="C3" s="1195"/>
      <c r="D3" s="874">
        <v>12000000</v>
      </c>
      <c r="E3" s="875"/>
      <c r="F3" s="870"/>
      <c r="G3" s="870"/>
      <c r="H3" s="870"/>
      <c r="I3" s="870"/>
      <c r="J3" s="873"/>
      <c r="K3" s="873"/>
      <c r="L3" s="873"/>
      <c r="M3" s="873"/>
      <c r="N3" s="873"/>
      <c r="O3" s="873"/>
    </row>
    <row r="4" spans="1:15" s="756" customFormat="1" ht="16.2" thickBot="1">
      <c r="A4" s="872"/>
      <c r="B4" s="1197" t="s">
        <v>649</v>
      </c>
      <c r="C4" s="1198"/>
      <c r="D4" s="876">
        <v>1200000</v>
      </c>
      <c r="E4" s="877"/>
      <c r="F4" s="870"/>
      <c r="G4" s="870"/>
      <c r="H4" s="870"/>
      <c r="I4" s="870"/>
      <c r="J4" s="873"/>
      <c r="K4" s="873"/>
      <c r="L4" s="873"/>
      <c r="M4" s="873"/>
      <c r="N4" s="873"/>
      <c r="O4" s="873"/>
    </row>
    <row r="5" spans="1:15" ht="16.2" thickBot="1">
      <c r="A5" s="872"/>
      <c r="B5" s="1"/>
      <c r="C5" s="1"/>
      <c r="D5" s="1"/>
      <c r="E5" s="1"/>
      <c r="F5" s="1"/>
      <c r="G5" s="1"/>
      <c r="H5" s="1"/>
      <c r="I5" s="1"/>
      <c r="J5" s="3"/>
      <c r="K5" s="3"/>
      <c r="L5" s="3"/>
      <c r="M5" s="3"/>
      <c r="N5" s="3"/>
      <c r="O5" s="3"/>
    </row>
    <row r="6" spans="1:15" s="756" customFormat="1" ht="60" customHeight="1" thickBot="1">
      <c r="A6" s="878"/>
      <c r="B6" s="879" t="s">
        <v>650</v>
      </c>
      <c r="C6" s="880" t="s">
        <v>651</v>
      </c>
      <c r="D6" s="879" t="s">
        <v>652</v>
      </c>
      <c r="E6" s="879" t="s">
        <v>653</v>
      </c>
      <c r="F6" s="879" t="s">
        <v>654</v>
      </c>
      <c r="G6" s="879" t="s">
        <v>661</v>
      </c>
      <c r="H6" s="879" t="s">
        <v>655</v>
      </c>
      <c r="I6" s="881"/>
      <c r="J6" s="882"/>
      <c r="K6" s="882"/>
      <c r="L6" s="882"/>
      <c r="M6" s="882"/>
      <c r="N6" s="882"/>
      <c r="O6" s="882"/>
    </row>
    <row r="7" spans="1:15" ht="15.6">
      <c r="A7" s="872" t="s">
        <v>642</v>
      </c>
      <c r="B7" s="883" t="s">
        <v>656</v>
      </c>
      <c r="C7" s="884">
        <v>0</v>
      </c>
      <c r="D7" s="885"/>
      <c r="E7" s="886"/>
      <c r="F7" s="887"/>
      <c r="G7" s="885"/>
      <c r="H7" s="888"/>
      <c r="I7" s="1"/>
      <c r="J7" s="3"/>
      <c r="K7" s="3"/>
      <c r="L7" s="3"/>
      <c r="M7" s="3"/>
      <c r="N7" s="3"/>
      <c r="O7" s="3"/>
    </row>
    <row r="8" spans="1:15" ht="15.6">
      <c r="A8" s="872"/>
      <c r="B8" s="889" t="s">
        <v>657</v>
      </c>
      <c r="C8" s="890">
        <v>0</v>
      </c>
      <c r="D8" s="891"/>
      <c r="E8" s="891"/>
      <c r="F8" s="891"/>
      <c r="G8" s="892"/>
      <c r="H8" s="893"/>
      <c r="I8" s="1"/>
      <c r="J8" s="3"/>
      <c r="K8" s="3"/>
      <c r="L8" s="3"/>
      <c r="M8" s="3"/>
      <c r="N8" s="3"/>
      <c r="O8" s="3"/>
    </row>
    <row r="9" spans="1:15" ht="16.2" thickBot="1">
      <c r="A9" s="872"/>
      <c r="B9" s="894" t="s">
        <v>598</v>
      </c>
      <c r="C9" s="895">
        <v>0</v>
      </c>
      <c r="D9" s="896"/>
      <c r="E9" s="896"/>
      <c r="F9" s="896"/>
      <c r="G9" s="897"/>
      <c r="H9" s="898"/>
      <c r="I9" s="1"/>
      <c r="J9" s="9"/>
      <c r="K9" s="10"/>
      <c r="L9" s="10"/>
      <c r="M9" s="10"/>
      <c r="N9" s="10"/>
      <c r="O9" s="3"/>
    </row>
    <row r="10" spans="1:15" s="907" customFormat="1" ht="15.6">
      <c r="A10" s="872" t="s">
        <v>643</v>
      </c>
      <c r="B10" s="899" t="s">
        <v>599</v>
      </c>
      <c r="C10" s="900">
        <v>0</v>
      </c>
      <c r="D10" s="901"/>
      <c r="E10" s="902"/>
      <c r="F10" s="902"/>
      <c r="G10" s="903"/>
      <c r="H10" s="904"/>
      <c r="I10" s="905"/>
      <c r="J10" s="906"/>
      <c r="K10" s="906"/>
      <c r="L10" s="906"/>
      <c r="M10" s="906"/>
      <c r="N10" s="906"/>
      <c r="O10" s="906"/>
    </row>
    <row r="11" spans="1:15" s="915" customFormat="1" ht="15.6">
      <c r="A11" s="908"/>
      <c r="B11" s="909" t="s">
        <v>600</v>
      </c>
      <c r="C11" s="900">
        <v>0</v>
      </c>
      <c r="D11" s="901"/>
      <c r="E11" s="910"/>
      <c r="F11" s="911"/>
      <c r="G11" s="911"/>
      <c r="H11" s="912"/>
      <c r="I11" s="913"/>
      <c r="J11" s="914"/>
      <c r="K11" s="914"/>
      <c r="L11" s="914"/>
      <c r="M11" s="914"/>
      <c r="N11" s="914"/>
      <c r="O11" s="914"/>
    </row>
    <row r="12" spans="1:15" s="927" customFormat="1" ht="16.2" thickBot="1">
      <c r="A12" s="916"/>
      <c r="B12" s="917" t="s">
        <v>658</v>
      </c>
      <c r="C12" s="918">
        <v>0</v>
      </c>
      <c r="D12" s="919"/>
      <c r="E12" s="920"/>
      <c r="F12" s="921"/>
      <c r="G12" s="921"/>
      <c r="H12" s="922"/>
      <c r="I12" s="923"/>
      <c r="J12" s="924"/>
      <c r="K12" s="925"/>
      <c r="L12" s="925"/>
      <c r="M12" s="925"/>
      <c r="N12" s="924"/>
      <c r="O12" s="926"/>
    </row>
    <row r="13" spans="1:15" ht="15.6">
      <c r="A13" s="872" t="s">
        <v>644</v>
      </c>
      <c r="B13" s="475" t="s">
        <v>659</v>
      </c>
      <c r="C13" s="4">
        <f t="shared" ref="C13:C18" si="0">(D13/2340000)*100</f>
        <v>0</v>
      </c>
      <c r="D13" s="928"/>
      <c r="E13" s="928"/>
      <c r="F13" s="929"/>
      <c r="G13" s="930"/>
      <c r="H13" s="944">
        <v>18448328</v>
      </c>
      <c r="I13" s="1"/>
      <c r="J13" s="3"/>
      <c r="K13" s="3"/>
      <c r="L13" s="3"/>
      <c r="M13" s="3"/>
      <c r="N13" s="3"/>
      <c r="O13" s="3"/>
    </row>
    <row r="14" spans="1:15" ht="15.6">
      <c r="A14" s="872"/>
      <c r="B14" s="476" t="s">
        <v>603</v>
      </c>
      <c r="C14" s="5">
        <f t="shared" si="0"/>
        <v>0</v>
      </c>
      <c r="D14" s="11"/>
      <c r="E14" s="11"/>
      <c r="F14" s="6"/>
      <c r="G14" s="932"/>
      <c r="H14" s="945"/>
      <c r="I14" s="1"/>
      <c r="J14" s="3"/>
      <c r="K14" s="3"/>
      <c r="L14" s="3"/>
      <c r="M14" s="3"/>
      <c r="N14" s="3"/>
      <c r="O14" s="3"/>
    </row>
    <row r="15" spans="1:15" ht="16.2" thickBot="1">
      <c r="A15" s="872"/>
      <c r="B15" s="477" t="s">
        <v>604</v>
      </c>
      <c r="C15" s="7">
        <f t="shared" si="0"/>
        <v>0</v>
      </c>
      <c r="D15" s="12"/>
      <c r="E15" s="12"/>
      <c r="F15" s="8"/>
      <c r="G15" s="933"/>
      <c r="H15" s="934"/>
      <c r="I15" s="1"/>
      <c r="J15" s="3"/>
      <c r="K15" s="3"/>
      <c r="L15" s="3"/>
      <c r="M15" s="3"/>
      <c r="N15" s="3"/>
      <c r="O15" s="3"/>
    </row>
    <row r="16" spans="1:15" ht="15.6">
      <c r="A16" s="872" t="s">
        <v>645</v>
      </c>
      <c r="B16" s="476" t="s">
        <v>605</v>
      </c>
      <c r="C16" s="5">
        <f t="shared" si="0"/>
        <v>0</v>
      </c>
      <c r="D16" s="11"/>
      <c r="E16" s="11"/>
      <c r="F16" s="6"/>
      <c r="G16" s="935"/>
      <c r="H16" s="931"/>
      <c r="I16" s="1"/>
      <c r="J16" s="3"/>
      <c r="K16" s="3"/>
      <c r="L16" s="3"/>
      <c r="M16" s="3"/>
      <c r="N16" s="3"/>
      <c r="O16" s="3"/>
    </row>
    <row r="17" spans="1:15" ht="15.6">
      <c r="A17" s="872"/>
      <c r="B17" s="476" t="s">
        <v>606</v>
      </c>
      <c r="C17" s="5">
        <f t="shared" si="0"/>
        <v>0</v>
      </c>
      <c r="D17" s="11"/>
      <c r="E17" s="11"/>
      <c r="F17" s="6"/>
      <c r="G17" s="935"/>
      <c r="H17" s="936"/>
      <c r="I17" s="1"/>
      <c r="J17" s="3"/>
      <c r="K17" s="3"/>
      <c r="L17" s="3"/>
      <c r="M17" s="3"/>
      <c r="N17" s="3"/>
      <c r="O17" s="3"/>
    </row>
    <row r="18" spans="1:15" ht="16.2" thickBot="1">
      <c r="A18" s="872"/>
      <c r="B18" s="478" t="s">
        <v>607</v>
      </c>
      <c r="C18" s="479">
        <f t="shared" si="0"/>
        <v>0</v>
      </c>
      <c r="D18" s="480"/>
      <c r="E18" s="480"/>
      <c r="F18" s="481"/>
      <c r="G18" s="937"/>
      <c r="H18" s="938"/>
      <c r="I18" s="1"/>
      <c r="J18" s="3"/>
      <c r="K18" s="3"/>
      <c r="L18" s="3"/>
      <c r="M18" s="3"/>
      <c r="N18" s="3"/>
      <c r="O18" s="3"/>
    </row>
    <row r="19" spans="1:15" ht="16.2" thickBot="1">
      <c r="A19" s="872"/>
      <c r="B19" s="879" t="s">
        <v>660</v>
      </c>
      <c r="C19" s="939">
        <f>(D19/28000000)*100</f>
        <v>0</v>
      </c>
      <c r="D19" s="940">
        <f>SUM(D7:D18)</f>
        <v>0</v>
      </c>
      <c r="E19" s="940">
        <f>SUM(E7:E18)</f>
        <v>0</v>
      </c>
      <c r="F19" s="940">
        <f>SUM(F7+F8+F9+F10+F11+F12+F13+F14+F15+F16+F17+F18)</f>
        <v>0</v>
      </c>
      <c r="G19" s="940">
        <f>SUM(G7+G8+G9+G10+G11+G12+G13+G14+G15+G16+G17+G18)</f>
        <v>0</v>
      </c>
      <c r="H19" s="941">
        <f>SUM(H7:H18)</f>
        <v>18448328</v>
      </c>
      <c r="I19" s="1"/>
      <c r="J19" s="3"/>
      <c r="K19" s="3"/>
      <c r="L19" s="3"/>
      <c r="M19" s="3"/>
      <c r="N19" s="3"/>
      <c r="O19" s="3"/>
    </row>
    <row r="20" spans="1:15" ht="15.6">
      <c r="A20" s="872"/>
      <c r="B20" s="1"/>
      <c r="C20" s="1"/>
      <c r="D20" s="1"/>
      <c r="E20" s="1"/>
      <c r="F20" s="1"/>
      <c r="G20" s="1"/>
      <c r="H20" s="2"/>
      <c r="I20" s="1"/>
      <c r="J20" s="3"/>
      <c r="K20" s="3"/>
      <c r="L20" s="3"/>
      <c r="M20" s="3"/>
      <c r="N20" s="3"/>
      <c r="O20" s="3"/>
    </row>
    <row r="21" spans="1:15" ht="15.6">
      <c r="A21" s="94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.6" hidden="1">
      <c r="A22" s="942"/>
      <c r="B22" s="3"/>
      <c r="C22" s="943"/>
      <c r="D22" s="13" t="s">
        <v>9</v>
      </c>
      <c r="E22" s="14">
        <f>E19-D19</f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.6">
      <c r="A23" s="942"/>
      <c r="B23" s="3"/>
      <c r="C23" s="94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.6">
      <c r="A24" s="942"/>
      <c r="B24" s="3"/>
      <c r="C24" s="3"/>
      <c r="D24" s="3"/>
      <c r="E24" s="3"/>
      <c r="F24" s="3"/>
      <c r="G24" s="3"/>
      <c r="J24" s="3"/>
      <c r="K24" s="3"/>
      <c r="L24" s="3"/>
      <c r="M24" s="3"/>
      <c r="N24" s="3"/>
      <c r="O24" s="3"/>
    </row>
    <row r="25" spans="1:15" ht="15.6">
      <c r="A25" s="94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5.6">
      <c r="A26" s="94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ht="15.6">
      <c r="A27" s="94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ht="15.6">
      <c r="A28" s="94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ht="15.6">
      <c r="A29" s="94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ht="15.6">
      <c r="A30" s="94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ht="15.6">
      <c r="A31" s="94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ht="15.6">
      <c r="A32" s="94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ht="15.6">
      <c r="A33" s="94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ht="15.6">
      <c r="A34" s="94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ht="15.6">
      <c r="A35" s="94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ht="15.6">
      <c r="A36" s="94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ht="15.6">
      <c r="A37" s="94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ht="15.6">
      <c r="A38" s="94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ht="15.6">
      <c r="A39" s="94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ht="15.6">
      <c r="A40" s="94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ht="15.6">
      <c r="A41" s="94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ht="15.6">
      <c r="A42" s="94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ht="15.6">
      <c r="A43" s="94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ht="15.6">
      <c r="A44" s="94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ht="15.6">
      <c r="A45" s="94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ht="15.6">
      <c r="A46" s="94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ht="15.6">
      <c r="A47" s="94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ht="15.6">
      <c r="A48" s="94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ht="15.6">
      <c r="A49" s="94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ht="15.6">
      <c r="A50" s="94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ht="15.6">
      <c r="A51" s="94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ht="15.6">
      <c r="A52" s="94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ht="15.6">
      <c r="A53" s="94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ht="15.6">
      <c r="A54" s="94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ht="15.6">
      <c r="A55" s="94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 ht="15.6">
      <c r="A56" s="94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ht="15.6">
      <c r="A57" s="94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 ht="15.6">
      <c r="A58" s="94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 ht="15.6">
      <c r="A59" s="94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ht="15.6">
      <c r="A60" s="94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 ht="15.6">
      <c r="A61" s="94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 ht="15.6">
      <c r="A62" s="94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 ht="15.6">
      <c r="A63" s="94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 ht="15.6">
      <c r="A64" s="94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 ht="15.6">
      <c r="A65" s="94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ht="15.6">
      <c r="A66" s="94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 ht="15.6">
      <c r="A67" s="94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 ht="15.6">
      <c r="A68" s="94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 ht="15.6">
      <c r="A69" s="94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ht="15.6">
      <c r="A70" s="94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 ht="15.6">
      <c r="A71" s="94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 ht="15.6">
      <c r="A72" s="94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 ht="15.6">
      <c r="A73" s="94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 ht="15.6">
      <c r="A74" s="94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 ht="15.6">
      <c r="A75" s="94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5" ht="15.6">
      <c r="A76" s="94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 ht="15.6">
      <c r="A77" s="94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 ht="15.6">
      <c r="A78" s="94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 ht="15.6">
      <c r="A79" s="94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 ht="15.6">
      <c r="A80" s="94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 ht="15.6">
      <c r="A81" s="94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1:15" ht="15.6">
      <c r="A82" s="94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1:15" ht="15.6">
      <c r="A83" s="94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 ht="15.6">
      <c r="A84" s="94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 ht="15.6">
      <c r="A85" s="94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1:15" ht="15.6">
      <c r="A86" s="94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spans="1:15" ht="15.6">
      <c r="A87" s="94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1:15" ht="15.6">
      <c r="A88" s="94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 ht="15.6">
      <c r="A89" s="94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1:15" ht="15.6">
      <c r="A90" s="94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 ht="15.6">
      <c r="A91" s="94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 ht="15.6">
      <c r="A92" s="94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1:15" ht="15.6">
      <c r="A93" s="94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5" ht="15.6">
      <c r="A94" s="94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 ht="15.6">
      <c r="A95" s="94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1:15" ht="15.6">
      <c r="A96" s="94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1:15" ht="15.6">
      <c r="A97" s="94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1:15" ht="15.6">
      <c r="A98" s="94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1:15" ht="15.6">
      <c r="A99" s="94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 ht="15.6">
      <c r="A100" s="94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 ht="15.6">
      <c r="A101" s="94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spans="1:15" ht="15.6">
      <c r="A102" s="94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 ht="15.6">
      <c r="A103" s="94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 ht="15.6">
      <c r="A104" s="94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1:15" ht="15.6">
      <c r="A105" s="94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1:15" ht="15.6">
      <c r="A106" s="94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15" ht="15.6">
      <c r="A107" s="94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spans="1:15" ht="15.6">
      <c r="A108" s="94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 ht="15.6">
      <c r="A109" s="94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spans="1:15" ht="15.6">
      <c r="A110" s="94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spans="1:15" ht="15.6">
      <c r="A111" s="94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spans="1:15" ht="15.6">
      <c r="A112" s="94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 ht="15.6">
      <c r="A113" s="94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spans="1:15" ht="15.6">
      <c r="A114" s="94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5" ht="15.6">
      <c r="A115" s="94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 ht="15.6">
      <c r="A116" s="94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spans="1:15" ht="15.6">
      <c r="A117" s="94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spans="1:15" ht="15.6">
      <c r="A118" s="94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spans="1:15" ht="15.6">
      <c r="A119" s="94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1:15" ht="15.6">
      <c r="A120" s="94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spans="1:15" ht="15.6">
      <c r="A121" s="94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spans="1:15" ht="15.6">
      <c r="A122" s="94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1:15" ht="15.6">
      <c r="A123" s="94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spans="1:15" ht="15.6">
      <c r="A124" s="94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spans="1:15" ht="15.6">
      <c r="A125" s="94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1:15" ht="15.6">
      <c r="A126" s="94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spans="1:15" ht="15.6">
      <c r="A127" s="94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spans="1:15" ht="15.6">
      <c r="A128" s="94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spans="1:15" ht="15.6">
      <c r="A129" s="94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spans="1:15" ht="15.6">
      <c r="A130" s="94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spans="1:15" ht="15.6">
      <c r="A131" s="94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spans="1:15" ht="15.6">
      <c r="A132" s="94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spans="1:15" ht="15.6">
      <c r="A133" s="94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spans="1:15" ht="15.6">
      <c r="A134" s="94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spans="1:15" ht="15.6">
      <c r="A135" s="94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spans="1:15" ht="15.6">
      <c r="A136" s="94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spans="1:15" ht="15.6">
      <c r="A137" s="94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spans="1:15" ht="15.6">
      <c r="A138" s="94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spans="1:15" ht="15.6">
      <c r="A139" s="94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spans="1:15" ht="15.6">
      <c r="A140" s="94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spans="1:15" ht="15.6">
      <c r="A141" s="94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spans="1:15" ht="15.6">
      <c r="A142" s="94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spans="1:15" ht="15.6">
      <c r="A143" s="94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spans="1:15" ht="15.6">
      <c r="A144" s="94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spans="1:15" ht="15.6">
      <c r="A145" s="94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spans="1:15" ht="15.6">
      <c r="A146" s="94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spans="1:15" ht="15.6">
      <c r="A147" s="94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spans="1:15" ht="15.6">
      <c r="A148" s="94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spans="1:15" ht="15.6">
      <c r="A149" s="94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spans="1:15" ht="15.6">
      <c r="A150" s="94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spans="1:15" ht="15.6">
      <c r="A151" s="94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spans="1:15" ht="15.6">
      <c r="A152" s="94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spans="1:15" ht="15.6">
      <c r="A153" s="94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spans="1:15" ht="15.6">
      <c r="A154" s="94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spans="1:15" ht="15.6">
      <c r="A155" s="94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spans="1:15" ht="15.6">
      <c r="A156" s="94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spans="1:15" ht="15.6">
      <c r="A157" s="94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 spans="1:15" ht="15.6">
      <c r="A158" s="94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spans="1:15" ht="15.6">
      <c r="A159" s="94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spans="1:15" ht="15.6">
      <c r="A160" s="94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spans="1:15" ht="15.6">
      <c r="A161" s="94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 spans="1:15" ht="15.6">
      <c r="A162" s="94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spans="1:15" ht="15.6">
      <c r="A163" s="94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spans="1:15" ht="15.6">
      <c r="A164" s="94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spans="1:15" ht="15.6">
      <c r="A165" s="94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spans="1:15" ht="15.6">
      <c r="A166" s="94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spans="1:15" ht="15.6">
      <c r="A167" s="94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spans="1:15" ht="15.6">
      <c r="A168" s="94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spans="1:15" ht="15.6">
      <c r="A169" s="94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spans="1:15" ht="15.6">
      <c r="A170" s="94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spans="1:15" ht="15.6">
      <c r="A171" s="94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spans="1:15" ht="15.6">
      <c r="A172" s="94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spans="1:15" ht="15.6">
      <c r="A173" s="94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spans="1:15" ht="15.6">
      <c r="A174" s="94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spans="1:15" ht="15.6">
      <c r="A175" s="94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spans="1:15" ht="15.6">
      <c r="A176" s="94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spans="1:15" ht="15.6">
      <c r="A177" s="94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spans="1:15" ht="15.6">
      <c r="A178" s="94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spans="1:15" ht="15.6">
      <c r="A179" s="94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spans="1:15" ht="15.6">
      <c r="A180" s="94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spans="1:15" ht="15.6">
      <c r="A181" s="94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r="182" spans="1:15" ht="15.6">
      <c r="A182" s="94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 spans="1:15" ht="15.6">
      <c r="A183" s="94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spans="1:15" ht="15.6">
      <c r="A184" s="94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spans="1:15" ht="15.6">
      <c r="A185" s="94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spans="1:15" ht="15.6">
      <c r="A186" s="94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spans="1:15" ht="15.6">
      <c r="A187" s="94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spans="1:15" ht="15.6">
      <c r="A188" s="94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spans="1:15" ht="15.6">
      <c r="A189" s="94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spans="1:15" ht="15.6">
      <c r="A190" s="94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spans="1:15" ht="15.6">
      <c r="A191" s="94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spans="1:15" ht="15.6">
      <c r="A192" s="94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</row>
    <row r="193" spans="1:15" ht="15.6">
      <c r="A193" s="94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spans="1:15" ht="15.6">
      <c r="A194" s="94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spans="1:15" ht="15.6">
      <c r="A195" s="94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spans="1:15" ht="15.6">
      <c r="A196" s="94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 spans="1:15" ht="15.6">
      <c r="A197" s="94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</row>
    <row r="198" spans="1:15" ht="15.6">
      <c r="A198" s="94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</row>
    <row r="199" spans="1:15" ht="15.6">
      <c r="A199" s="94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</row>
    <row r="200" spans="1:15" ht="15.6">
      <c r="A200" s="94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</row>
    <row r="201" spans="1:15" ht="15.6">
      <c r="A201" s="94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</row>
    <row r="202" spans="1:15" ht="15.6">
      <c r="A202" s="94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</row>
    <row r="203" spans="1:15" ht="15.6">
      <c r="A203" s="94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</row>
    <row r="204" spans="1:15" ht="15.6">
      <c r="A204" s="94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</row>
    <row r="205" spans="1:15" ht="15.6">
      <c r="A205" s="94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</row>
    <row r="206" spans="1:15" ht="15.6">
      <c r="A206" s="94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</row>
    <row r="207" spans="1:15" ht="15.6">
      <c r="A207" s="94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</row>
    <row r="208" spans="1:15" ht="15.6">
      <c r="A208" s="94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</row>
    <row r="209" spans="1:15" ht="15.6">
      <c r="A209" s="94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</row>
    <row r="210" spans="1:15" ht="15.6">
      <c r="A210" s="94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</row>
    <row r="211" spans="1:15" ht="15.6">
      <c r="A211" s="94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</row>
    <row r="212" spans="1:15" ht="15.6">
      <c r="A212" s="94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</row>
    <row r="213" spans="1:15" ht="15.6">
      <c r="A213" s="94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</row>
    <row r="214" spans="1:15" ht="15.6">
      <c r="A214" s="94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</row>
    <row r="215" spans="1:15" ht="15.6">
      <c r="A215" s="94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</row>
    <row r="216" spans="1:15" ht="15.6">
      <c r="A216" s="94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</row>
    <row r="217" spans="1:15" ht="15.6">
      <c r="A217" s="94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</row>
    <row r="218" spans="1:15" ht="15.6">
      <c r="A218" s="94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</row>
    <row r="219" spans="1:15" ht="15.6">
      <c r="A219" s="94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</row>
    <row r="220" spans="1:15" ht="15.6">
      <c r="A220" s="94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</row>
    <row r="221" spans="1:15" ht="15.6">
      <c r="A221" s="94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</row>
    <row r="222" spans="1:15" ht="15.6">
      <c r="A222" s="94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</row>
    <row r="223" spans="1:15" ht="15.6">
      <c r="A223" s="94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</row>
    <row r="224" spans="1:15" ht="15.6">
      <c r="A224" s="94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</row>
    <row r="225" spans="1:15" ht="15.6">
      <c r="A225" s="94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</row>
    <row r="226" spans="1:15" ht="15.6">
      <c r="A226" s="94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</row>
    <row r="227" spans="1:15" ht="15.6">
      <c r="A227" s="94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</row>
    <row r="228" spans="1:15" ht="15.6">
      <c r="A228" s="94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</row>
    <row r="229" spans="1:15" ht="15.6">
      <c r="A229" s="94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</row>
    <row r="230" spans="1:15" ht="15.6">
      <c r="A230" s="94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</row>
    <row r="231" spans="1:15" ht="15.6">
      <c r="A231" s="94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</row>
    <row r="232" spans="1:15" ht="15.6">
      <c r="A232" s="94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</row>
    <row r="233" spans="1:15" ht="15.6">
      <c r="A233" s="94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</row>
    <row r="234" spans="1:15" ht="15.6">
      <c r="A234" s="94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</row>
    <row r="235" spans="1:15" ht="15.6">
      <c r="A235" s="94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</row>
    <row r="236" spans="1:15" ht="15.6">
      <c r="A236" s="94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</row>
    <row r="237" spans="1:15" ht="15.6">
      <c r="A237" s="94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</row>
    <row r="238" spans="1:15" ht="15.6">
      <c r="A238" s="94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</row>
    <row r="239" spans="1:15" ht="15.6">
      <c r="A239" s="94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</row>
    <row r="240" spans="1:15" ht="15.6">
      <c r="A240" s="94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</row>
    <row r="241" spans="1:15" ht="15.6">
      <c r="A241" s="94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</row>
    <row r="242" spans="1:15" ht="15.6">
      <c r="A242" s="94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</row>
    <row r="243" spans="1:15" ht="15.6">
      <c r="A243" s="94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</row>
    <row r="244" spans="1:15" ht="15.6">
      <c r="A244" s="94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</row>
    <row r="245" spans="1:15" ht="15.6">
      <c r="A245" s="94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</row>
    <row r="246" spans="1:15" ht="15.6">
      <c r="A246" s="94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</row>
    <row r="247" spans="1:15" ht="15.6">
      <c r="A247" s="94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</row>
    <row r="248" spans="1:15" ht="15.6">
      <c r="A248" s="94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</row>
    <row r="249" spans="1:15" ht="15.6">
      <c r="A249" s="94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</row>
    <row r="250" spans="1:15" ht="15.6">
      <c r="A250" s="94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</row>
    <row r="251" spans="1:15" ht="15.6">
      <c r="A251" s="94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</row>
    <row r="252" spans="1:15" ht="15.6">
      <c r="A252" s="94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</row>
    <row r="253" spans="1:15" ht="15.6">
      <c r="A253" s="94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</row>
    <row r="254" spans="1:15" ht="15.6">
      <c r="A254" s="94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</row>
    <row r="255" spans="1:15" ht="15.6">
      <c r="A255" s="94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</row>
    <row r="256" spans="1:15" ht="15.6">
      <c r="A256" s="94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</row>
    <row r="257" spans="1:15" ht="15.6">
      <c r="A257" s="94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</row>
    <row r="258" spans="1:15" ht="15.6">
      <c r="A258" s="94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</row>
    <row r="259" spans="1:15" ht="15.6">
      <c r="A259" s="94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</row>
    <row r="260" spans="1:15" ht="15.6">
      <c r="A260" s="94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</row>
    <row r="261" spans="1:15" ht="15.6">
      <c r="A261" s="94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</row>
    <row r="262" spans="1:15" ht="15.6">
      <c r="A262" s="94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</row>
    <row r="263" spans="1:15" ht="15.6">
      <c r="A263" s="94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</row>
    <row r="264" spans="1:15" ht="15.6">
      <c r="A264" s="94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</row>
    <row r="265" spans="1:15" ht="15.6">
      <c r="A265" s="94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</row>
    <row r="266" spans="1:15" ht="15.6">
      <c r="A266" s="94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</row>
    <row r="267" spans="1:15" ht="15.6">
      <c r="A267" s="94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</row>
    <row r="268" spans="1:15" ht="15.6">
      <c r="A268" s="94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</row>
    <row r="269" spans="1:15" ht="15.6">
      <c r="A269" s="94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</row>
    <row r="270" spans="1:15" ht="15.6">
      <c r="A270" s="94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</row>
    <row r="271" spans="1:15" ht="15.6">
      <c r="A271" s="94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</row>
    <row r="272" spans="1:15" ht="15.6">
      <c r="A272" s="94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</row>
    <row r="273" spans="1:15" ht="15.6">
      <c r="A273" s="94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</row>
    <row r="274" spans="1:15" ht="15.6">
      <c r="A274" s="94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</row>
    <row r="275" spans="1:15" ht="15.6">
      <c r="A275" s="94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</row>
    <row r="276" spans="1:15" ht="15.6">
      <c r="A276" s="94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</row>
    <row r="277" spans="1:15" ht="15.6">
      <c r="A277" s="94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</row>
    <row r="278" spans="1:15" ht="15.6">
      <c r="A278" s="94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</row>
    <row r="279" spans="1:15" ht="15.6">
      <c r="A279" s="94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</row>
    <row r="280" spans="1:15" ht="15.6">
      <c r="A280" s="94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</row>
    <row r="281" spans="1:15" ht="15.6">
      <c r="A281" s="94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</row>
    <row r="282" spans="1:15" ht="15.6">
      <c r="A282" s="94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</row>
    <row r="283" spans="1:15" ht="15.6">
      <c r="A283" s="94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</row>
    <row r="284" spans="1:15" ht="15.6">
      <c r="A284" s="94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</row>
    <row r="285" spans="1:15" ht="15.6">
      <c r="A285" s="94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</row>
    <row r="286" spans="1:15" ht="15.6">
      <c r="A286" s="94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</row>
    <row r="287" spans="1:15" ht="15.6">
      <c r="A287" s="94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</row>
    <row r="288" spans="1:15" ht="15.6">
      <c r="A288" s="94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</row>
    <row r="289" spans="1:15" ht="15.6">
      <c r="A289" s="94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</row>
    <row r="290" spans="1:15" ht="15.6">
      <c r="A290" s="94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</row>
    <row r="291" spans="1:15" ht="15.6">
      <c r="A291" s="94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</row>
    <row r="292" spans="1:15" ht="15.6">
      <c r="A292" s="94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</row>
    <row r="293" spans="1:15" ht="15.6">
      <c r="A293" s="94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</row>
    <row r="294" spans="1:15" ht="15.6">
      <c r="A294" s="94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</row>
    <row r="295" spans="1:15" ht="15.6">
      <c r="A295" s="94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</row>
    <row r="296" spans="1:15" ht="15.6">
      <c r="A296" s="94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</row>
    <row r="297" spans="1:15" ht="15.6">
      <c r="A297" s="94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</row>
    <row r="298" spans="1:15" ht="15.6">
      <c r="A298" s="94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</row>
    <row r="299" spans="1:15" ht="15.6">
      <c r="A299" s="94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</row>
    <row r="300" spans="1:15" ht="15.6">
      <c r="A300" s="94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</row>
    <row r="301" spans="1:15" ht="15.6">
      <c r="A301" s="94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</row>
    <row r="302" spans="1:15" ht="15.6">
      <c r="A302" s="94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</row>
    <row r="303" spans="1:15" ht="15.6">
      <c r="A303" s="94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</row>
    <row r="304" spans="1:15" ht="15.6">
      <c r="A304" s="94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</row>
    <row r="305" spans="1:15" ht="15.6">
      <c r="A305" s="94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</row>
    <row r="306" spans="1:15" ht="15.6">
      <c r="A306" s="94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</row>
    <row r="307" spans="1:15" ht="15.6">
      <c r="A307" s="94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</row>
    <row r="308" spans="1:15" ht="15.6">
      <c r="A308" s="94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</row>
    <row r="309" spans="1:15" ht="15.6">
      <c r="A309" s="94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</row>
    <row r="310" spans="1:15" ht="15.6">
      <c r="A310" s="94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</row>
    <row r="311" spans="1:15" ht="15.6">
      <c r="A311" s="94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</row>
    <row r="312" spans="1:15" ht="15.6">
      <c r="A312" s="94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</row>
    <row r="313" spans="1:15" ht="15.6">
      <c r="A313" s="94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</row>
    <row r="314" spans="1:15" ht="15.6">
      <c r="A314" s="94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</row>
    <row r="315" spans="1:15" ht="15.6">
      <c r="A315" s="94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</row>
    <row r="316" spans="1:15" ht="15.6">
      <c r="A316" s="94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</row>
    <row r="317" spans="1:15" ht="15.6">
      <c r="A317" s="94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</row>
    <row r="318" spans="1:15" ht="15.6">
      <c r="A318" s="94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</row>
    <row r="319" spans="1:15" ht="15.6">
      <c r="A319" s="94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</row>
    <row r="320" spans="1:15" ht="15.6">
      <c r="A320" s="94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</row>
    <row r="321" spans="1:15" ht="15.6">
      <c r="A321" s="94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</row>
    <row r="322" spans="1:15" ht="15.6">
      <c r="A322" s="94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</row>
    <row r="323" spans="1:15" ht="15.6">
      <c r="A323" s="94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</row>
    <row r="324" spans="1:15" ht="15.6">
      <c r="A324" s="94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</row>
    <row r="325" spans="1:15" ht="15.6">
      <c r="A325" s="94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</row>
    <row r="326" spans="1:15" ht="15.6">
      <c r="A326" s="94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</row>
    <row r="327" spans="1:15" ht="15.6">
      <c r="A327" s="94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</row>
    <row r="328" spans="1:15" ht="15.6">
      <c r="A328" s="94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</row>
    <row r="329" spans="1:15" ht="15.6">
      <c r="A329" s="94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</row>
    <row r="330" spans="1:15" ht="15.6">
      <c r="A330" s="94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</row>
    <row r="331" spans="1:15" ht="15.6">
      <c r="A331" s="94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</row>
    <row r="332" spans="1:15" ht="15.6">
      <c r="A332" s="94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</row>
    <row r="333" spans="1:15" ht="15.6">
      <c r="A333" s="94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</row>
    <row r="334" spans="1:15" ht="15.6">
      <c r="A334" s="94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</row>
    <row r="335" spans="1:15" ht="15.6">
      <c r="A335" s="94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</row>
    <row r="336" spans="1:15" ht="15.6">
      <c r="A336" s="94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</row>
    <row r="337" spans="1:15" ht="15.6">
      <c r="A337" s="94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</row>
    <row r="338" spans="1:15" ht="15.6">
      <c r="A338" s="94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</row>
    <row r="339" spans="1:15" ht="15.6">
      <c r="A339" s="94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</row>
    <row r="340" spans="1:15" ht="15.6">
      <c r="A340" s="94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</row>
    <row r="341" spans="1:15" ht="15.6">
      <c r="A341" s="94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</row>
    <row r="342" spans="1:15" ht="15.6">
      <c r="A342" s="94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</row>
    <row r="343" spans="1:15" ht="15.6">
      <c r="A343" s="94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</row>
    <row r="344" spans="1:15" ht="15.6">
      <c r="A344" s="94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</row>
    <row r="345" spans="1:15" ht="15.6">
      <c r="A345" s="94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</row>
    <row r="346" spans="1:15" ht="15.6">
      <c r="A346" s="94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</row>
    <row r="347" spans="1:15" ht="15.6">
      <c r="A347" s="94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</row>
    <row r="348" spans="1:15" ht="15.6">
      <c r="A348" s="94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</row>
    <row r="349" spans="1:15" ht="15.6">
      <c r="A349" s="94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</row>
    <row r="350" spans="1:15" ht="15.6">
      <c r="A350" s="94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</row>
    <row r="351" spans="1:15" ht="15.6">
      <c r="A351" s="94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</row>
    <row r="352" spans="1:15" ht="15.6">
      <c r="A352" s="94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</row>
    <row r="353" spans="1:15" ht="15.6">
      <c r="A353" s="94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</row>
    <row r="354" spans="1:15" ht="15.6">
      <c r="A354" s="94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</row>
    <row r="355" spans="1:15" ht="15.6">
      <c r="A355" s="94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</row>
    <row r="356" spans="1:15" ht="15.6">
      <c r="A356" s="94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</row>
    <row r="357" spans="1:15" ht="15.6">
      <c r="A357" s="94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</row>
    <row r="358" spans="1:15" ht="15.6">
      <c r="A358" s="94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</row>
    <row r="359" spans="1:15" ht="15.6">
      <c r="A359" s="94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</row>
    <row r="360" spans="1:15" ht="15.6">
      <c r="A360" s="94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</row>
    <row r="361" spans="1:15" ht="15.6">
      <c r="A361" s="94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</row>
    <row r="362" spans="1:15" ht="15.6">
      <c r="A362" s="94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</row>
    <row r="363" spans="1:15" ht="15.6">
      <c r="A363" s="94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</row>
    <row r="364" spans="1:15" ht="15.6">
      <c r="A364" s="94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</row>
    <row r="365" spans="1:15" ht="15.6">
      <c r="A365" s="94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</row>
    <row r="366" spans="1:15" ht="15.6">
      <c r="A366" s="94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</row>
    <row r="367" spans="1:15" ht="15.6">
      <c r="A367" s="94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</row>
    <row r="368" spans="1:15" ht="15.6">
      <c r="A368" s="94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</row>
    <row r="369" spans="1:15" ht="15.6">
      <c r="A369" s="94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</row>
    <row r="370" spans="1:15" ht="15.6">
      <c r="A370" s="94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</row>
    <row r="371" spans="1:15" ht="15.6">
      <c r="A371" s="94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</row>
    <row r="372" spans="1:15" ht="15.6">
      <c r="A372" s="94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</row>
    <row r="373" spans="1:15" ht="15.6">
      <c r="A373" s="94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</row>
    <row r="374" spans="1:15" ht="15.6">
      <c r="A374" s="94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</row>
    <row r="375" spans="1:15" ht="15.6">
      <c r="A375" s="94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</row>
    <row r="376" spans="1:15" ht="15.6">
      <c r="A376" s="94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</row>
    <row r="377" spans="1:15" ht="15.6">
      <c r="A377" s="94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</row>
    <row r="378" spans="1:15" ht="15.6">
      <c r="A378" s="94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</row>
    <row r="379" spans="1:15" ht="15.6">
      <c r="A379" s="94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</row>
    <row r="380" spans="1:15" ht="15.6">
      <c r="A380" s="94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</row>
    <row r="381" spans="1:15" ht="15.6">
      <c r="A381" s="94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</row>
    <row r="382" spans="1:15" ht="15.6">
      <c r="A382" s="94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</row>
    <row r="383" spans="1:15" ht="15.6">
      <c r="A383" s="94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</row>
    <row r="384" spans="1:15" ht="15.6">
      <c r="A384" s="94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</row>
    <row r="385" spans="1:15" ht="15.6">
      <c r="A385" s="94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</row>
    <row r="386" spans="1:15" ht="15.6">
      <c r="A386" s="94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</row>
    <row r="387" spans="1:15" ht="15.6">
      <c r="A387" s="94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</row>
    <row r="388" spans="1:15" ht="15.6">
      <c r="A388" s="94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</row>
    <row r="389" spans="1:15" ht="15.6">
      <c r="A389" s="94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</row>
    <row r="390" spans="1:15" ht="15.6">
      <c r="A390" s="94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</row>
    <row r="391" spans="1:15" ht="15.6">
      <c r="A391" s="94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</row>
    <row r="392" spans="1:15" ht="15.6">
      <c r="A392" s="94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</row>
    <row r="393" spans="1:15" ht="15.6">
      <c r="A393" s="942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</row>
    <row r="394" spans="1:15" ht="15.6">
      <c r="A394" s="94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</row>
    <row r="395" spans="1:15" ht="15.6">
      <c r="A395" s="94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</row>
    <row r="396" spans="1:15" ht="15.6">
      <c r="A396" s="94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</row>
    <row r="397" spans="1:15" ht="15.6">
      <c r="A397" s="94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</row>
    <row r="398" spans="1:15" ht="15.6">
      <c r="A398" s="94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</row>
    <row r="399" spans="1:15" ht="15.6">
      <c r="A399" s="94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</row>
    <row r="400" spans="1:15" ht="15.6">
      <c r="A400" s="94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</row>
    <row r="401" spans="1:15" ht="15.6">
      <c r="A401" s="94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</row>
    <row r="402" spans="1:15" ht="15.6">
      <c r="A402" s="94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</row>
    <row r="403" spans="1:15" ht="15.6">
      <c r="A403" s="94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</row>
    <row r="404" spans="1:15" ht="15.6">
      <c r="A404" s="94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</row>
    <row r="405" spans="1:15" ht="15.6">
      <c r="A405" s="94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</row>
    <row r="406" spans="1:15" ht="15.6">
      <c r="A406" s="94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</row>
    <row r="407" spans="1:15" ht="15.6">
      <c r="A407" s="94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</row>
    <row r="408" spans="1:15" ht="15.6">
      <c r="A408" s="94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</row>
    <row r="409" spans="1:15" ht="15.6">
      <c r="A409" s="94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</row>
    <row r="410" spans="1:15" ht="15.6">
      <c r="A410" s="94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</row>
    <row r="411" spans="1:15" ht="15.6">
      <c r="A411" s="94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</row>
    <row r="412" spans="1:15" ht="15.6">
      <c r="A412" s="94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</row>
    <row r="413" spans="1:15" ht="15.6">
      <c r="A413" s="94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</row>
    <row r="414" spans="1:15" ht="15.6">
      <c r="A414" s="94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</row>
    <row r="415" spans="1:15" ht="15.6">
      <c r="A415" s="94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</row>
    <row r="416" spans="1:15" ht="15.6">
      <c r="A416" s="94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</row>
    <row r="417" spans="1:15" ht="15.6">
      <c r="A417" s="94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</row>
    <row r="418" spans="1:15" ht="15.6">
      <c r="A418" s="94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</row>
    <row r="419" spans="1:15" ht="15.6">
      <c r="A419" s="94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</row>
    <row r="420" spans="1:15" ht="15.6">
      <c r="A420" s="94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</row>
    <row r="421" spans="1:15" ht="15.6">
      <c r="A421" s="94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</row>
    <row r="422" spans="1:15" ht="15.6">
      <c r="A422" s="94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</row>
    <row r="423" spans="1:15" ht="15.6">
      <c r="A423" s="94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</row>
    <row r="424" spans="1:15" ht="15.6">
      <c r="A424" s="94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</row>
    <row r="425" spans="1:15" ht="15.6">
      <c r="A425" s="94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</row>
    <row r="426" spans="1:15" ht="15.6">
      <c r="A426" s="94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</row>
    <row r="427" spans="1:15" ht="15.6">
      <c r="A427" s="94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</row>
    <row r="428" spans="1:15" ht="15.6">
      <c r="A428" s="94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</row>
    <row r="429" spans="1:15" ht="15.6">
      <c r="A429" s="94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</row>
    <row r="430" spans="1:15" ht="15.6">
      <c r="A430" s="94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</row>
    <row r="431" spans="1:15" ht="15.6">
      <c r="A431" s="94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</row>
    <row r="432" spans="1:15" ht="15.6">
      <c r="A432" s="94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</row>
    <row r="433" spans="1:15" ht="15.6">
      <c r="A433" s="94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</row>
    <row r="434" spans="1:15" ht="15.6">
      <c r="A434" s="94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</row>
    <row r="435" spans="1:15" ht="15.6">
      <c r="A435" s="94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</row>
    <row r="436" spans="1:15" ht="15.6">
      <c r="A436" s="94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</row>
    <row r="437" spans="1:15" ht="15.6">
      <c r="A437" s="94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</row>
    <row r="438" spans="1:15" ht="15.6">
      <c r="A438" s="94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</row>
    <row r="439" spans="1:15" ht="15.6">
      <c r="A439" s="94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</row>
    <row r="440" spans="1:15" ht="15.6">
      <c r="A440" s="94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</row>
    <row r="441" spans="1:15" ht="15.6">
      <c r="A441" s="94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</row>
    <row r="442" spans="1:15" ht="15.6">
      <c r="A442" s="94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</row>
    <row r="443" spans="1:15" ht="15.6">
      <c r="A443" s="94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</row>
    <row r="444" spans="1:15" ht="15.6">
      <c r="A444" s="94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</row>
    <row r="445" spans="1:15" ht="15.6">
      <c r="A445" s="94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</row>
    <row r="446" spans="1:15" ht="15.6">
      <c r="A446" s="94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</row>
    <row r="447" spans="1:15" ht="15.6">
      <c r="A447" s="94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</row>
    <row r="448" spans="1:15" ht="15.6">
      <c r="A448" s="94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</row>
    <row r="449" spans="1:15" ht="15.6">
      <c r="A449" s="94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</row>
    <row r="450" spans="1:15" ht="15.6">
      <c r="A450" s="94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</row>
    <row r="451" spans="1:15" ht="15.6">
      <c r="A451" s="94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</row>
    <row r="452" spans="1:15" ht="15.6">
      <c r="A452" s="94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</row>
    <row r="453" spans="1:15" ht="15.6">
      <c r="A453" s="94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</row>
    <row r="454" spans="1:15" ht="15.6">
      <c r="A454" s="94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</row>
    <row r="455" spans="1:15" ht="15.6">
      <c r="A455" s="94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</row>
    <row r="456" spans="1:15" ht="15.6">
      <c r="A456" s="94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</row>
    <row r="457" spans="1:15" ht="15.6">
      <c r="A457" s="94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</row>
    <row r="458" spans="1:15" ht="15.6">
      <c r="A458" s="94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</row>
    <row r="459" spans="1:15" ht="15.6">
      <c r="A459" s="94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</row>
    <row r="460" spans="1:15" ht="15.6">
      <c r="A460" s="94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</row>
    <row r="461" spans="1:15" ht="15.6">
      <c r="A461" s="94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</row>
    <row r="462" spans="1:15" ht="15.6">
      <c r="A462" s="94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</row>
    <row r="463" spans="1:15" ht="15.6">
      <c r="A463" s="94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</row>
    <row r="464" spans="1:15" ht="15.6">
      <c r="A464" s="94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</row>
    <row r="465" spans="1:15" ht="15.6">
      <c r="A465" s="942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</row>
    <row r="466" spans="1:15" ht="15.6">
      <c r="A466" s="94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</row>
    <row r="467" spans="1:15" ht="15.6">
      <c r="A467" s="942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</row>
    <row r="468" spans="1:15" ht="15.6">
      <c r="A468" s="94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</row>
    <row r="469" spans="1:15" ht="15.6">
      <c r="A469" s="94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</row>
    <row r="470" spans="1:15" ht="15.6">
      <c r="A470" s="94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</row>
    <row r="471" spans="1:15" ht="15.6">
      <c r="A471" s="942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</row>
    <row r="472" spans="1:15" ht="15.6">
      <c r="A472" s="94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</row>
    <row r="473" spans="1:15" ht="15.6">
      <c r="A473" s="942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</row>
    <row r="474" spans="1:15" ht="15.6">
      <c r="A474" s="94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</row>
    <row r="475" spans="1:15" ht="15.6">
      <c r="A475" s="942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</row>
    <row r="476" spans="1:15" ht="15.6">
      <c r="A476" s="94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</row>
    <row r="477" spans="1:15" ht="15.6">
      <c r="A477" s="94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</row>
    <row r="478" spans="1:15" ht="15.6">
      <c r="A478" s="94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</row>
    <row r="479" spans="1:15" ht="15.6">
      <c r="A479" s="94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</row>
    <row r="480" spans="1:15" ht="15.6">
      <c r="A480" s="94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</row>
    <row r="481" spans="1:15" ht="15.6">
      <c r="A481" s="94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</row>
    <row r="482" spans="1:15" ht="15.6">
      <c r="A482" s="94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</row>
    <row r="483" spans="1:15" ht="15.6">
      <c r="A483" s="94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</row>
    <row r="484" spans="1:15" ht="15.6">
      <c r="A484" s="94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</row>
    <row r="485" spans="1:15" ht="15.6">
      <c r="A485" s="94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</row>
    <row r="486" spans="1:15" ht="15.6">
      <c r="A486" s="94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</row>
    <row r="487" spans="1:15" ht="15.6">
      <c r="A487" s="94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</row>
    <row r="488" spans="1:15" ht="15.6">
      <c r="A488" s="94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</row>
    <row r="489" spans="1:15" ht="15.6">
      <c r="A489" s="94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</row>
    <row r="490" spans="1:15" ht="15.6">
      <c r="A490" s="94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</row>
    <row r="491" spans="1:15" ht="15.6">
      <c r="A491" s="94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</row>
    <row r="492" spans="1:15" ht="15.6">
      <c r="A492" s="94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</row>
    <row r="493" spans="1:15" ht="15.6">
      <c r="A493" s="94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</row>
    <row r="494" spans="1:15" ht="15.6">
      <c r="A494" s="94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</row>
    <row r="495" spans="1:15" ht="15.6">
      <c r="A495" s="94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</row>
    <row r="496" spans="1:15" ht="15.6">
      <c r="A496" s="94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</row>
    <row r="497" spans="1:15" ht="15.6">
      <c r="A497" s="94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</row>
    <row r="498" spans="1:15" ht="15.6">
      <c r="A498" s="94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</row>
    <row r="499" spans="1:15" ht="15.6">
      <c r="A499" s="94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</row>
    <row r="500" spans="1:15" ht="15.6">
      <c r="A500" s="94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</row>
    <row r="501" spans="1:15" ht="15.6">
      <c r="A501" s="94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</row>
    <row r="502" spans="1:15" ht="15.6">
      <c r="A502" s="94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</row>
    <row r="503" spans="1:15" ht="15.6">
      <c r="A503" s="94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</row>
    <row r="504" spans="1:15" ht="15.6">
      <c r="A504" s="94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</row>
    <row r="505" spans="1:15" ht="15.6">
      <c r="A505" s="94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</row>
    <row r="506" spans="1:15" ht="15.6">
      <c r="A506" s="94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</row>
    <row r="507" spans="1:15" ht="15.6">
      <c r="A507" s="94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</row>
    <row r="508" spans="1:15" ht="15.6">
      <c r="A508" s="94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</row>
    <row r="509" spans="1:15" ht="15.6">
      <c r="A509" s="94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</row>
    <row r="510" spans="1:15" ht="15.6">
      <c r="A510" s="94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</row>
    <row r="511" spans="1:15" ht="15.6">
      <c r="A511" s="94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</row>
    <row r="512" spans="1:15" ht="15.6">
      <c r="A512" s="94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</row>
    <row r="513" spans="1:15" ht="15.6">
      <c r="A513" s="94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</row>
    <row r="514" spans="1:15" ht="15.6">
      <c r="A514" s="94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</row>
    <row r="515" spans="1:15" ht="15.6">
      <c r="A515" s="94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</row>
    <row r="516" spans="1:15" ht="15.6">
      <c r="A516" s="94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</row>
    <row r="517" spans="1:15" ht="15.6">
      <c r="A517" s="94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</row>
    <row r="518" spans="1:15" ht="15.6">
      <c r="A518" s="94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</row>
    <row r="519" spans="1:15" ht="15.6">
      <c r="A519" s="94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</row>
    <row r="520" spans="1:15" ht="15.6">
      <c r="A520" s="94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</row>
    <row r="521" spans="1:15" ht="15.6">
      <c r="A521" s="94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</row>
    <row r="522" spans="1:15" ht="15.6">
      <c r="A522" s="94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</row>
    <row r="523" spans="1:15" ht="15.6">
      <c r="A523" s="94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</row>
    <row r="524" spans="1:15" ht="15.6">
      <c r="A524" s="94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</row>
    <row r="525" spans="1:15" ht="15.6">
      <c r="A525" s="94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</row>
    <row r="526" spans="1:15" ht="15.6">
      <c r="A526" s="94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</row>
    <row r="527" spans="1:15" ht="15.6">
      <c r="A527" s="94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</row>
    <row r="528" spans="1:15" ht="15.6">
      <c r="A528" s="94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</row>
    <row r="529" spans="1:15" ht="15.6">
      <c r="A529" s="94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</row>
    <row r="530" spans="1:15" ht="15.6">
      <c r="A530" s="94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</row>
    <row r="531" spans="1:15" ht="15.6">
      <c r="A531" s="94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</row>
    <row r="532" spans="1:15" ht="15.6">
      <c r="A532" s="94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</row>
    <row r="533" spans="1:15" ht="15.6">
      <c r="A533" s="94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</row>
    <row r="534" spans="1:15" ht="15.6">
      <c r="A534" s="94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</row>
    <row r="535" spans="1:15" ht="15.6">
      <c r="A535" s="94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</row>
    <row r="536" spans="1:15" ht="15.6">
      <c r="A536" s="94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</row>
    <row r="537" spans="1:15" ht="15.6">
      <c r="A537" s="94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</row>
    <row r="538" spans="1:15" ht="15.6">
      <c r="A538" s="94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</row>
    <row r="539" spans="1:15" ht="15.6">
      <c r="A539" s="94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</row>
    <row r="540" spans="1:15" ht="15.6">
      <c r="A540" s="94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</row>
    <row r="541" spans="1:15" ht="15.6">
      <c r="A541" s="94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</row>
    <row r="542" spans="1:15" ht="15.6">
      <c r="A542" s="94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</row>
    <row r="543" spans="1:15" ht="15.6">
      <c r="A543" s="94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</row>
    <row r="544" spans="1:15" ht="15.6">
      <c r="A544" s="94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</row>
    <row r="545" spans="1:15" ht="15.6">
      <c r="A545" s="94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</row>
    <row r="546" spans="1:15" ht="15.6">
      <c r="A546" s="94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</row>
    <row r="547" spans="1:15" ht="15.6">
      <c r="A547" s="94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</row>
    <row r="548" spans="1:15" ht="15.6">
      <c r="A548" s="94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</row>
    <row r="549" spans="1:15" ht="15.6">
      <c r="A549" s="94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</row>
    <row r="550" spans="1:15" ht="15.6">
      <c r="A550" s="94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</row>
    <row r="551" spans="1:15" ht="15.6">
      <c r="A551" s="94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</row>
    <row r="552" spans="1:15" ht="15.6">
      <c r="A552" s="94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</row>
    <row r="553" spans="1:15" ht="15.6">
      <c r="A553" s="94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</row>
    <row r="554" spans="1:15" ht="15.6">
      <c r="A554" s="94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</row>
    <row r="555" spans="1:15" ht="15.6">
      <c r="A555" s="94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</row>
    <row r="556" spans="1:15" ht="15.6">
      <c r="A556" s="94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</row>
    <row r="557" spans="1:15" ht="15.6">
      <c r="A557" s="94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</row>
    <row r="558" spans="1:15" ht="15.6">
      <c r="A558" s="94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</row>
    <row r="559" spans="1:15" ht="15.6">
      <c r="A559" s="94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</row>
    <row r="560" spans="1:15" ht="15.6">
      <c r="A560" s="94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</row>
    <row r="561" spans="1:15" ht="15.6">
      <c r="A561" s="94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</row>
    <row r="562" spans="1:15" ht="15.6">
      <c r="A562" s="94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</row>
    <row r="563" spans="1:15" ht="15.6">
      <c r="A563" s="94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</row>
    <row r="564" spans="1:15" ht="15.6">
      <c r="A564" s="94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</row>
    <row r="565" spans="1:15" ht="15.6">
      <c r="A565" s="94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</row>
    <row r="566" spans="1:15" ht="15.6">
      <c r="A566" s="94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</row>
    <row r="567" spans="1:15" ht="15.6">
      <c r="A567" s="94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</row>
    <row r="568" spans="1:15" ht="15.6">
      <c r="A568" s="94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</row>
    <row r="569" spans="1:15" ht="15.6">
      <c r="A569" s="94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</row>
    <row r="570" spans="1:15" ht="15.6">
      <c r="A570" s="94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</row>
    <row r="571" spans="1:15" ht="15.6">
      <c r="A571" s="94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</row>
    <row r="572" spans="1:15" ht="15.6">
      <c r="A572" s="94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</row>
    <row r="573" spans="1:15" ht="15.6">
      <c r="A573" s="94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</row>
    <row r="574" spans="1:15" ht="15.6">
      <c r="A574" s="94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</row>
    <row r="575" spans="1:15" ht="15.6">
      <c r="A575" s="94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</row>
    <row r="576" spans="1:15" ht="15.6">
      <c r="A576" s="94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</row>
    <row r="577" spans="1:15" ht="15.6">
      <c r="A577" s="94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</row>
    <row r="578" spans="1:15" ht="15.6">
      <c r="A578" s="94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</row>
    <row r="579" spans="1:15" ht="15.6">
      <c r="A579" s="94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</row>
    <row r="580" spans="1:15" ht="15.6">
      <c r="A580" s="94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</row>
    <row r="581" spans="1:15" ht="15.6">
      <c r="A581" s="94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</row>
    <row r="582" spans="1:15" ht="15.6">
      <c r="A582" s="94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</row>
    <row r="583" spans="1:15" ht="15.6">
      <c r="A583" s="94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</row>
    <row r="584" spans="1:15" ht="15.6">
      <c r="A584" s="94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</row>
    <row r="585" spans="1:15" ht="15.6">
      <c r="A585" s="94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</row>
    <row r="586" spans="1:15" ht="15.6">
      <c r="A586" s="94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</row>
    <row r="587" spans="1:15" ht="15.6">
      <c r="A587" s="94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</row>
    <row r="588" spans="1:15" ht="15.6">
      <c r="A588" s="94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</row>
    <row r="589" spans="1:15" ht="15.6">
      <c r="A589" s="94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</row>
    <row r="590" spans="1:15" ht="15.6">
      <c r="A590" s="94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</row>
    <row r="591" spans="1:15" ht="15.6">
      <c r="A591" s="94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</row>
    <row r="592" spans="1:15" ht="15.6">
      <c r="A592" s="94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</row>
    <row r="593" spans="1:15" ht="15.6">
      <c r="A593" s="94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</row>
    <row r="594" spans="1:15" ht="15.6">
      <c r="A594" s="94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</row>
    <row r="595" spans="1:15" ht="15.6">
      <c r="A595" s="94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</row>
    <row r="596" spans="1:15" ht="15.6">
      <c r="A596" s="94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</row>
    <row r="597" spans="1:15" ht="15.6">
      <c r="A597" s="94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</row>
    <row r="598" spans="1:15" ht="15.6">
      <c r="A598" s="94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</row>
    <row r="599" spans="1:15" ht="15.6">
      <c r="A599" s="94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</row>
    <row r="600" spans="1:15" ht="15.6">
      <c r="A600" s="94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</row>
    <row r="601" spans="1:15" ht="15.6">
      <c r="A601" s="94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</row>
    <row r="602" spans="1:15" ht="15.6">
      <c r="A602" s="94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</row>
    <row r="603" spans="1:15" ht="15.6">
      <c r="A603" s="94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</row>
    <row r="604" spans="1:15" ht="15.6">
      <c r="A604" s="94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</row>
    <row r="605" spans="1:15" ht="15.6">
      <c r="A605" s="94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</row>
    <row r="606" spans="1:15" ht="15.6">
      <c r="A606" s="94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</row>
    <row r="607" spans="1:15" ht="15.6">
      <c r="A607" s="94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</row>
    <row r="608" spans="1:15" ht="15.6">
      <c r="A608" s="94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</row>
    <row r="609" spans="1:15" ht="15.6">
      <c r="A609" s="94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</row>
    <row r="610" spans="1:15" ht="15.6">
      <c r="A610" s="94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</row>
    <row r="611" spans="1:15" ht="15.6">
      <c r="A611" s="94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</row>
    <row r="612" spans="1:15" ht="15.6">
      <c r="A612" s="94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</row>
    <row r="613" spans="1:15" ht="15.6">
      <c r="A613" s="94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</row>
    <row r="614" spans="1:15" ht="15.6">
      <c r="A614" s="94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</row>
    <row r="615" spans="1:15" ht="15.6">
      <c r="A615" s="94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</row>
    <row r="616" spans="1:15" ht="15.6">
      <c r="A616" s="94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</row>
    <row r="617" spans="1:15" ht="15.6">
      <c r="A617" s="94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</row>
    <row r="618" spans="1:15" ht="15.6">
      <c r="A618" s="94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</row>
    <row r="619" spans="1:15" ht="15.6">
      <c r="A619" s="94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</row>
    <row r="620" spans="1:15" ht="15.6">
      <c r="A620" s="94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</row>
    <row r="621" spans="1:15" ht="15.6">
      <c r="A621" s="94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</row>
    <row r="622" spans="1:15" ht="15.6">
      <c r="A622" s="94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</row>
    <row r="623" spans="1:15" ht="15.6">
      <c r="A623" s="94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</row>
    <row r="624" spans="1:15" ht="15.6">
      <c r="A624" s="94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</row>
    <row r="625" spans="1:15" ht="15.6">
      <c r="A625" s="94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</row>
    <row r="626" spans="1:15" ht="15.6">
      <c r="A626" s="94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</row>
    <row r="627" spans="1:15" ht="15.6">
      <c r="A627" s="94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</row>
    <row r="628" spans="1:15" ht="15.6">
      <c r="A628" s="94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</row>
    <row r="629" spans="1:15" ht="15.6">
      <c r="A629" s="94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</row>
    <row r="630" spans="1:15" ht="15.6">
      <c r="A630" s="94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</row>
    <row r="631" spans="1:15" ht="15.6">
      <c r="A631" s="94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</row>
    <row r="632" spans="1:15" ht="15.6">
      <c r="A632" s="94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</row>
    <row r="633" spans="1:15" ht="15.6">
      <c r="A633" s="94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</row>
    <row r="634" spans="1:15" ht="15.6">
      <c r="A634" s="94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</row>
    <row r="635" spans="1:15" ht="15.6">
      <c r="A635" s="942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</row>
    <row r="636" spans="1:15" ht="15.6">
      <c r="A636" s="94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</row>
    <row r="637" spans="1:15" ht="15.6">
      <c r="A637" s="94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</row>
    <row r="638" spans="1:15" ht="15.6">
      <c r="A638" s="94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</row>
    <row r="639" spans="1:15" ht="15.6">
      <c r="A639" s="942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</row>
    <row r="640" spans="1:15" ht="15.6">
      <c r="A640" s="942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</row>
    <row r="641" spans="1:15" ht="15.6">
      <c r="A641" s="94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</row>
    <row r="642" spans="1:15" ht="15.6">
      <c r="A642" s="94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</row>
    <row r="643" spans="1:15" ht="15.6">
      <c r="A643" s="942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</row>
    <row r="644" spans="1:15" ht="15.6">
      <c r="A644" s="94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</row>
    <row r="645" spans="1:15" ht="15.6">
      <c r="A645" s="942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</row>
    <row r="646" spans="1:15" ht="15.6">
      <c r="A646" s="94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</row>
    <row r="647" spans="1:15" ht="15.6">
      <c r="A647" s="94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</row>
    <row r="648" spans="1:15" ht="15.6">
      <c r="A648" s="94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</row>
    <row r="649" spans="1:15" ht="15.6">
      <c r="A649" s="942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</row>
    <row r="650" spans="1:15" ht="15.6">
      <c r="A650" s="94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</row>
    <row r="651" spans="1:15" ht="15.6">
      <c r="A651" s="942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</row>
    <row r="652" spans="1:15" ht="15.6">
      <c r="A652" s="94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</row>
    <row r="653" spans="1:15" ht="15.6">
      <c r="A653" s="942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</row>
    <row r="654" spans="1:15" ht="15.6">
      <c r="A654" s="94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</row>
    <row r="655" spans="1:15" ht="15.6">
      <c r="A655" s="942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</row>
    <row r="656" spans="1:15" ht="15.6">
      <c r="A656" s="94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</row>
    <row r="657" spans="1:15" ht="15.6">
      <c r="A657" s="94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</row>
    <row r="658" spans="1:15" ht="15.6">
      <c r="A658" s="94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</row>
    <row r="659" spans="1:15" ht="15.6">
      <c r="A659" s="94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</row>
    <row r="660" spans="1:15" ht="15.6">
      <c r="A660" s="94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</row>
    <row r="661" spans="1:15" ht="15.6">
      <c r="A661" s="942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</row>
    <row r="662" spans="1:15" ht="15.6">
      <c r="A662" s="94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</row>
    <row r="663" spans="1:15" ht="15.6">
      <c r="A663" s="942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</row>
    <row r="664" spans="1:15" ht="15.6">
      <c r="A664" s="94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</row>
    <row r="665" spans="1:15" ht="15.6">
      <c r="A665" s="942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</row>
    <row r="666" spans="1:15" ht="15.6">
      <c r="A666" s="94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</row>
    <row r="667" spans="1:15" ht="15.6">
      <c r="A667" s="942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</row>
    <row r="668" spans="1:15" ht="15.6">
      <c r="A668" s="94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</row>
    <row r="669" spans="1:15" ht="15.6">
      <c r="A669" s="94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</row>
    <row r="670" spans="1:15" ht="15.6">
      <c r="A670" s="94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</row>
    <row r="671" spans="1:15" ht="15.6">
      <c r="A671" s="942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</row>
    <row r="672" spans="1:15" ht="15.6">
      <c r="A672" s="94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</row>
    <row r="673" spans="1:15" ht="15.6">
      <c r="A673" s="942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</row>
    <row r="674" spans="1:15" ht="15.6">
      <c r="A674" s="94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</row>
    <row r="675" spans="1:15" ht="15.6">
      <c r="A675" s="942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</row>
    <row r="676" spans="1:15" ht="15.6">
      <c r="A676" s="942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</row>
    <row r="677" spans="1:15" ht="15.6">
      <c r="A677" s="942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</row>
    <row r="678" spans="1:15" ht="15.6">
      <c r="A678" s="94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</row>
    <row r="679" spans="1:15" ht="15.6">
      <c r="A679" s="942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</row>
    <row r="680" spans="1:15" ht="15.6">
      <c r="A680" s="94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</row>
    <row r="681" spans="1:15" ht="15.6">
      <c r="A681" s="942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</row>
    <row r="682" spans="1:15" ht="15.6">
      <c r="A682" s="942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</row>
    <row r="683" spans="1:15" ht="15.6">
      <c r="A683" s="942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</row>
    <row r="684" spans="1:15" ht="15.6">
      <c r="A684" s="942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</row>
    <row r="685" spans="1:15" ht="15.6">
      <c r="A685" s="942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</row>
    <row r="686" spans="1:15" ht="15.6">
      <c r="A686" s="942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</row>
    <row r="687" spans="1:15" ht="15.6">
      <c r="A687" s="942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</row>
    <row r="688" spans="1:15" ht="15.6">
      <c r="A688" s="942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</row>
    <row r="689" spans="1:15" ht="15.6">
      <c r="A689" s="942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</row>
    <row r="690" spans="1:15" ht="15.6">
      <c r="A690" s="94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</row>
    <row r="691" spans="1:15" ht="15.6">
      <c r="A691" s="942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</row>
    <row r="692" spans="1:15" ht="15.6">
      <c r="A692" s="942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</row>
    <row r="693" spans="1:15" ht="15.6">
      <c r="A693" s="942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</row>
    <row r="694" spans="1:15" ht="15.6">
      <c r="A694" s="942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</row>
    <row r="695" spans="1:15" ht="15.6">
      <c r="A695" s="942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</row>
    <row r="696" spans="1:15" ht="15.6">
      <c r="A696" s="942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</row>
    <row r="697" spans="1:15" ht="15.6">
      <c r="A697" s="942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</row>
    <row r="698" spans="1:15" ht="15.6">
      <c r="A698" s="942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</row>
    <row r="699" spans="1:15" ht="15.6">
      <c r="A699" s="942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</row>
    <row r="700" spans="1:15" ht="15.6">
      <c r="A700" s="94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</row>
    <row r="701" spans="1:15" ht="15.6">
      <c r="A701" s="942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</row>
    <row r="702" spans="1:15" ht="15.6">
      <c r="A702" s="94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</row>
    <row r="703" spans="1:15" ht="15.6">
      <c r="A703" s="942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</row>
    <row r="704" spans="1:15" ht="15.6">
      <c r="A704" s="94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</row>
    <row r="705" spans="1:15" ht="15.6">
      <c r="A705" s="942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</row>
    <row r="706" spans="1:15" ht="15.6">
      <c r="A706" s="942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</row>
    <row r="707" spans="1:15" ht="15.6">
      <c r="A707" s="942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</row>
    <row r="708" spans="1:15" ht="15.6">
      <c r="A708" s="942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</row>
    <row r="709" spans="1:15" ht="15.6">
      <c r="A709" s="942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</row>
    <row r="710" spans="1:15" ht="15.6">
      <c r="A710" s="942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</row>
    <row r="711" spans="1:15" ht="15.6">
      <c r="A711" s="942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</row>
    <row r="712" spans="1:15" ht="15.6">
      <c r="A712" s="94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</row>
    <row r="713" spans="1:15" ht="15.6">
      <c r="A713" s="942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</row>
    <row r="714" spans="1:15" ht="15.6">
      <c r="A714" s="942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</row>
    <row r="715" spans="1:15" ht="15.6">
      <c r="A715" s="942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</row>
    <row r="716" spans="1:15" ht="15.6">
      <c r="A716" s="942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</row>
    <row r="717" spans="1:15" ht="15.6">
      <c r="A717" s="942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</row>
    <row r="718" spans="1:15" ht="15.6">
      <c r="A718" s="942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</row>
    <row r="719" spans="1:15" ht="15.6">
      <c r="A719" s="942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</row>
    <row r="720" spans="1:15" ht="15.6">
      <c r="A720" s="94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</row>
    <row r="721" spans="1:15" ht="15.6">
      <c r="A721" s="942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</row>
    <row r="722" spans="1:15" ht="15.6">
      <c r="A722" s="942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</row>
    <row r="723" spans="1:15" ht="15.6">
      <c r="A723" s="942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</row>
    <row r="724" spans="1:15" ht="15.6">
      <c r="A724" s="942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</row>
    <row r="725" spans="1:15" ht="15.6">
      <c r="A725" s="942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</row>
    <row r="726" spans="1:15" ht="15.6">
      <c r="A726" s="942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</row>
    <row r="727" spans="1:15" ht="15.6">
      <c r="A727" s="942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</row>
    <row r="728" spans="1:15" ht="15.6">
      <c r="A728" s="942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</row>
    <row r="729" spans="1:15" ht="15.6">
      <c r="A729" s="942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</row>
    <row r="730" spans="1:15" ht="15.6">
      <c r="A730" s="94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</row>
    <row r="731" spans="1:15" ht="15.6">
      <c r="A731" s="942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</row>
    <row r="732" spans="1:15" ht="15.6">
      <c r="A732" s="942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</row>
    <row r="733" spans="1:15" ht="15.6">
      <c r="A733" s="942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</row>
    <row r="734" spans="1:15" ht="15.6">
      <c r="A734" s="942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</row>
    <row r="735" spans="1:15" ht="15.6">
      <c r="A735" s="942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</row>
    <row r="736" spans="1:15" ht="15.6">
      <c r="A736" s="942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</row>
    <row r="737" spans="1:15" ht="15.6">
      <c r="A737" s="942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</row>
    <row r="738" spans="1:15" ht="15.6">
      <c r="A738" s="942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</row>
    <row r="739" spans="1:15" ht="15.6">
      <c r="A739" s="942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</row>
    <row r="740" spans="1:15" ht="15.6">
      <c r="A740" s="94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</row>
    <row r="741" spans="1:15" ht="15.6">
      <c r="A741" s="942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</row>
    <row r="742" spans="1:15" ht="15.6">
      <c r="A742" s="94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</row>
    <row r="743" spans="1:15" ht="15.6">
      <c r="A743" s="942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</row>
    <row r="744" spans="1:15" ht="15.6">
      <c r="A744" s="942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</row>
    <row r="745" spans="1:15" ht="15.6">
      <c r="A745" s="942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</row>
    <row r="746" spans="1:15" ht="15.6">
      <c r="A746" s="942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</row>
    <row r="747" spans="1:15" ht="15.6">
      <c r="A747" s="942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</row>
    <row r="748" spans="1:15" ht="15.6">
      <c r="A748" s="942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</row>
    <row r="749" spans="1:15" ht="15.6">
      <c r="A749" s="942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</row>
    <row r="750" spans="1:15" ht="15.6">
      <c r="A750" s="942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</row>
    <row r="751" spans="1:15" ht="15.6">
      <c r="A751" s="942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</row>
    <row r="752" spans="1:15" ht="15.6">
      <c r="A752" s="94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</row>
    <row r="753" spans="1:15" ht="15.6">
      <c r="A753" s="942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</row>
    <row r="754" spans="1:15" ht="15.6">
      <c r="A754" s="942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</row>
    <row r="755" spans="1:15" ht="15.6">
      <c r="A755" s="942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</row>
    <row r="756" spans="1:15" ht="15.6">
      <c r="A756" s="942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</row>
    <row r="757" spans="1:15" ht="15.6">
      <c r="A757" s="942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</row>
    <row r="758" spans="1:15" ht="15.6">
      <c r="A758" s="942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</row>
    <row r="759" spans="1:15" ht="15.6">
      <c r="A759" s="942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</row>
    <row r="760" spans="1:15" ht="15.6">
      <c r="A760" s="942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</row>
    <row r="761" spans="1:15" ht="15.6">
      <c r="A761" s="942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</row>
    <row r="762" spans="1:15" ht="15.6">
      <c r="A762" s="94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</row>
    <row r="763" spans="1:15" ht="15.6">
      <c r="A763" s="942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</row>
    <row r="764" spans="1:15" ht="15.6">
      <c r="A764" s="942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</row>
    <row r="765" spans="1:15" ht="15.6">
      <c r="A765" s="942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</row>
    <row r="766" spans="1:15" ht="15.6">
      <c r="A766" s="942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</row>
    <row r="767" spans="1:15" ht="15.6">
      <c r="A767" s="942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</row>
    <row r="768" spans="1:15" ht="15.6">
      <c r="A768" s="942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</row>
    <row r="769" spans="1:15" ht="15.6">
      <c r="A769" s="942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</row>
    <row r="770" spans="1:15" ht="15.6">
      <c r="A770" s="942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</row>
    <row r="771" spans="1:15" ht="15.6">
      <c r="A771" s="942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</row>
    <row r="772" spans="1:15" ht="15.6">
      <c r="A772" s="94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</row>
    <row r="773" spans="1:15" ht="15.6">
      <c r="A773" s="942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</row>
    <row r="774" spans="1:15" ht="15.6">
      <c r="A774" s="942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</row>
    <row r="775" spans="1:15" ht="15.6">
      <c r="A775" s="942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</row>
    <row r="776" spans="1:15" ht="15.6">
      <c r="A776" s="942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</row>
    <row r="777" spans="1:15" ht="15.6">
      <c r="A777" s="942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</row>
    <row r="778" spans="1:15" ht="15.6">
      <c r="A778" s="942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</row>
    <row r="779" spans="1:15" ht="15.6">
      <c r="A779" s="942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</row>
    <row r="780" spans="1:15" ht="15.6">
      <c r="A780" s="94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</row>
    <row r="781" spans="1:15" ht="15.6">
      <c r="A781" s="942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</row>
    <row r="782" spans="1:15" ht="15.6">
      <c r="A782" s="94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</row>
    <row r="783" spans="1:15" ht="15.6">
      <c r="A783" s="942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</row>
    <row r="784" spans="1:15" ht="15.6">
      <c r="A784" s="942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</row>
    <row r="785" spans="1:15" ht="15.6">
      <c r="A785" s="942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</row>
    <row r="786" spans="1:15" ht="15.6">
      <c r="A786" s="942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</row>
    <row r="787" spans="1:15" ht="15.6">
      <c r="A787" s="942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</row>
    <row r="788" spans="1:15" ht="15.6">
      <c r="A788" s="942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</row>
    <row r="789" spans="1:15" ht="15.6">
      <c r="A789" s="942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</row>
    <row r="790" spans="1:15" ht="15.6">
      <c r="A790" s="942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</row>
    <row r="791" spans="1:15" ht="15.6">
      <c r="A791" s="942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</row>
    <row r="792" spans="1:15" ht="15.6">
      <c r="A792" s="942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</row>
    <row r="793" spans="1:15" ht="15.6">
      <c r="A793" s="942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</row>
    <row r="794" spans="1:15" ht="15.6">
      <c r="A794" s="94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</row>
    <row r="795" spans="1:15" ht="15.6">
      <c r="A795" s="942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</row>
    <row r="796" spans="1:15" ht="15.6">
      <c r="A796" s="942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</row>
    <row r="797" spans="1:15" ht="15.6">
      <c r="A797" s="942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</row>
    <row r="798" spans="1:15" ht="15.6">
      <c r="A798" s="942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</row>
    <row r="799" spans="1:15" ht="15.6">
      <c r="A799" s="942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</row>
    <row r="800" spans="1:15" ht="15.6">
      <c r="A800" s="942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</row>
    <row r="801" spans="1:15" ht="15.6">
      <c r="A801" s="942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</row>
    <row r="802" spans="1:15" ht="15.6">
      <c r="A802" s="942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</row>
    <row r="803" spans="1:15" ht="15.6">
      <c r="A803" s="942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</row>
    <row r="804" spans="1:15" ht="15.6">
      <c r="A804" s="94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</row>
    <row r="805" spans="1:15" ht="15.6">
      <c r="A805" s="942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</row>
    <row r="806" spans="1:15" ht="15.6">
      <c r="A806" s="942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</row>
    <row r="807" spans="1:15" ht="15.6">
      <c r="A807" s="942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</row>
    <row r="808" spans="1:15" ht="15.6">
      <c r="A808" s="942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</row>
    <row r="809" spans="1:15" ht="15.6">
      <c r="A809" s="942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</row>
    <row r="810" spans="1:15" ht="15.6">
      <c r="A810" s="942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</row>
    <row r="811" spans="1:15" ht="15.6">
      <c r="A811" s="942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</row>
    <row r="812" spans="1:15" ht="15.6">
      <c r="A812" s="94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</row>
    <row r="813" spans="1:15" ht="15.6">
      <c r="A813" s="942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</row>
    <row r="814" spans="1:15" ht="15.6">
      <c r="A814" s="942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</row>
    <row r="815" spans="1:15" ht="15.6">
      <c r="A815" s="942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</row>
    <row r="816" spans="1:15" ht="15.6">
      <c r="A816" s="942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</row>
    <row r="817" spans="1:15" ht="15.6">
      <c r="A817" s="942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</row>
    <row r="818" spans="1:15" ht="15.6">
      <c r="A818" s="94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</row>
    <row r="819" spans="1:15" ht="15.6">
      <c r="A819" s="942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</row>
    <row r="820" spans="1:15" ht="15.6">
      <c r="A820" s="94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</row>
    <row r="821" spans="1:15" ht="15.6">
      <c r="A821" s="942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</row>
    <row r="822" spans="1:15" ht="15.6">
      <c r="A822" s="942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</row>
    <row r="823" spans="1:15" ht="15.6">
      <c r="A823" s="942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</row>
    <row r="824" spans="1:15" ht="15.6">
      <c r="A824" s="942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</row>
    <row r="825" spans="1:15" ht="15.6">
      <c r="A825" s="942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</row>
    <row r="826" spans="1:15" ht="15.6">
      <c r="A826" s="942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</row>
    <row r="827" spans="1:15" ht="15.6">
      <c r="A827" s="942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</row>
    <row r="828" spans="1:15" ht="15.6">
      <c r="A828" s="942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</row>
    <row r="829" spans="1:15" ht="15.6">
      <c r="A829" s="942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</row>
    <row r="830" spans="1:15" ht="15.6">
      <c r="A830" s="942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</row>
    <row r="831" spans="1:15" ht="15.6">
      <c r="A831" s="942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</row>
    <row r="832" spans="1:15" ht="15.6">
      <c r="A832" s="94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</row>
    <row r="833" spans="1:15" ht="15.6">
      <c r="A833" s="942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</row>
    <row r="834" spans="1:15" ht="15.6">
      <c r="A834" s="942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</row>
    <row r="835" spans="1:15" ht="15.6">
      <c r="A835" s="942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</row>
    <row r="836" spans="1:15" ht="15.6">
      <c r="A836" s="94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</row>
    <row r="837" spans="1:15" ht="15.6">
      <c r="A837" s="94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</row>
    <row r="838" spans="1:15" ht="15.6">
      <c r="A838" s="94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</row>
    <row r="839" spans="1:15" ht="15.6">
      <c r="A839" s="94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</row>
    <row r="840" spans="1:15" ht="15.6">
      <c r="A840" s="94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</row>
    <row r="841" spans="1:15" ht="15.6">
      <c r="A841" s="94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</row>
    <row r="842" spans="1:15" ht="15.6">
      <c r="A842" s="94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</row>
    <row r="843" spans="1:15" ht="15.6">
      <c r="A843" s="94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</row>
    <row r="844" spans="1:15" ht="15.6">
      <c r="A844" s="94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</row>
    <row r="845" spans="1:15" ht="15.6">
      <c r="A845" s="94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</row>
    <row r="846" spans="1:15" ht="15.6">
      <c r="A846" s="94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</row>
    <row r="847" spans="1:15" ht="15.6">
      <c r="A847" s="94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</row>
    <row r="848" spans="1:15" ht="15.6">
      <c r="A848" s="94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</row>
    <row r="849" spans="1:15" ht="15.6">
      <c r="A849" s="94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</row>
    <row r="850" spans="1:15" ht="15.6">
      <c r="A850" s="94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</row>
    <row r="851" spans="1:15" ht="15.6">
      <c r="A851" s="94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</row>
    <row r="852" spans="1:15" ht="15.6">
      <c r="A852" s="94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</row>
    <row r="853" spans="1:15" ht="15.6">
      <c r="A853" s="94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</row>
    <row r="854" spans="1:15" ht="15.6">
      <c r="A854" s="94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</row>
    <row r="855" spans="1:15" ht="15.6">
      <c r="A855" s="94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</row>
    <row r="856" spans="1:15" ht="15.6">
      <c r="A856" s="94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</row>
    <row r="857" spans="1:15" ht="15.6">
      <c r="A857" s="94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</row>
    <row r="858" spans="1:15" ht="15.6">
      <c r="A858" s="94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</row>
    <row r="859" spans="1:15" ht="15.6">
      <c r="A859" s="94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</row>
    <row r="860" spans="1:15" ht="15.6">
      <c r="A860" s="94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</row>
    <row r="861" spans="1:15" ht="15.6">
      <c r="A861" s="94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</row>
    <row r="862" spans="1:15" ht="15.6">
      <c r="A862" s="94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</row>
    <row r="863" spans="1:15" ht="15.6">
      <c r="A863" s="94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</row>
    <row r="864" spans="1:15" ht="15.6">
      <c r="A864" s="94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</row>
    <row r="865" spans="1:15" ht="15.6">
      <c r="A865" s="94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</row>
    <row r="866" spans="1:15" ht="15.6">
      <c r="A866" s="94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</row>
    <row r="867" spans="1:15" ht="15.6">
      <c r="A867" s="94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</row>
    <row r="868" spans="1:15" ht="15.6">
      <c r="A868" s="94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</row>
    <row r="869" spans="1:15" ht="15.6">
      <c r="A869" s="94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</row>
    <row r="870" spans="1:15" ht="15.6">
      <c r="A870" s="94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</row>
    <row r="871" spans="1:15" ht="15.6">
      <c r="A871" s="94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</row>
    <row r="872" spans="1:15" ht="15.6">
      <c r="A872" s="94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</row>
    <row r="873" spans="1:15" ht="15.6">
      <c r="A873" s="94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</row>
    <row r="874" spans="1:15" ht="15.6">
      <c r="A874" s="94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</row>
    <row r="875" spans="1:15" ht="15.6">
      <c r="A875" s="94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</row>
    <row r="876" spans="1:15" ht="15.6">
      <c r="A876" s="94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</row>
    <row r="877" spans="1:15" ht="15.6">
      <c r="A877" s="94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</row>
    <row r="878" spans="1:15" ht="15.6">
      <c r="A878" s="94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</row>
    <row r="879" spans="1:15" ht="15.6">
      <c r="A879" s="94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</row>
    <row r="880" spans="1:15" ht="15.6">
      <c r="A880" s="94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</row>
    <row r="881" spans="1:15" ht="15.6">
      <c r="A881" s="94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</row>
    <row r="882" spans="1:15" ht="15.6">
      <c r="A882" s="94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</row>
    <row r="883" spans="1:15" ht="15.6">
      <c r="A883" s="94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</row>
    <row r="884" spans="1:15" ht="15.6">
      <c r="A884" s="94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</row>
    <row r="885" spans="1:15" ht="15.6">
      <c r="A885" s="94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</row>
    <row r="886" spans="1:15" ht="15.6">
      <c r="A886" s="94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</row>
    <row r="887" spans="1:15" ht="15.6">
      <c r="A887" s="94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</row>
    <row r="888" spans="1:15" ht="15.6">
      <c r="A888" s="94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</row>
    <row r="889" spans="1:15" ht="15.6">
      <c r="A889" s="94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</row>
    <row r="890" spans="1:15" ht="15.6">
      <c r="A890" s="94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</row>
    <row r="891" spans="1:15" ht="15.6">
      <c r="A891" s="94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</row>
    <row r="892" spans="1:15" ht="15.6">
      <c r="A892" s="94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</row>
    <row r="893" spans="1:15" ht="15.6">
      <c r="A893" s="94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</row>
    <row r="894" spans="1:15" ht="15.6">
      <c r="A894" s="94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</row>
    <row r="895" spans="1:15" ht="15.6">
      <c r="A895" s="94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</row>
    <row r="896" spans="1:15" ht="15.6">
      <c r="A896" s="94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</row>
    <row r="897" spans="1:15" ht="15.6">
      <c r="A897" s="94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</row>
    <row r="898" spans="1:15" ht="15.6">
      <c r="A898" s="94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</row>
    <row r="899" spans="1:15" ht="15.6">
      <c r="A899" s="94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</row>
    <row r="900" spans="1:15" ht="15.6">
      <c r="A900" s="94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</row>
    <row r="901" spans="1:15" ht="15.6">
      <c r="A901" s="94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</row>
    <row r="902" spans="1:15" ht="15.6">
      <c r="A902" s="94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</row>
    <row r="903" spans="1:15" ht="15.6">
      <c r="A903" s="94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</row>
    <row r="904" spans="1:15" ht="15.6">
      <c r="A904" s="94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</row>
    <row r="905" spans="1:15" ht="15.6">
      <c r="A905" s="94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</row>
    <row r="906" spans="1:15" ht="15.6">
      <c r="A906" s="94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</row>
    <row r="907" spans="1:15" ht="15.6">
      <c r="A907" s="94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</row>
    <row r="908" spans="1:15" ht="15.6">
      <c r="A908" s="94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</row>
    <row r="909" spans="1:15" ht="15.6">
      <c r="A909" s="94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</row>
    <row r="910" spans="1:15" ht="15.6">
      <c r="A910" s="94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</row>
    <row r="911" spans="1:15" ht="15.6">
      <c r="A911" s="94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</row>
    <row r="912" spans="1:15" ht="15.6">
      <c r="A912" s="94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</row>
    <row r="913" spans="1:15" ht="15.6">
      <c r="A913" s="94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</row>
    <row r="914" spans="1:15" ht="15.6">
      <c r="A914" s="94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</row>
    <row r="915" spans="1:15" ht="15.6">
      <c r="A915" s="94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</row>
    <row r="916" spans="1:15" ht="15.6">
      <c r="A916" s="94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</row>
    <row r="917" spans="1:15" ht="15.6">
      <c r="A917" s="94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</row>
    <row r="918" spans="1:15" ht="15.6">
      <c r="A918" s="94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</row>
    <row r="919" spans="1:15" ht="15.6">
      <c r="A919" s="94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</row>
    <row r="920" spans="1:15" ht="15.6">
      <c r="A920" s="94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</row>
    <row r="921" spans="1:15" ht="15.6">
      <c r="A921" s="94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</row>
    <row r="922" spans="1:15" ht="15.6">
      <c r="A922" s="94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</row>
    <row r="923" spans="1:15" ht="15.6">
      <c r="A923" s="94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</row>
    <row r="924" spans="1:15" ht="15.6">
      <c r="A924" s="94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</row>
    <row r="925" spans="1:15" ht="15.6">
      <c r="A925" s="94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</row>
    <row r="926" spans="1:15" ht="15.6">
      <c r="A926" s="94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</row>
    <row r="927" spans="1:15" ht="15.6">
      <c r="A927" s="94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</row>
    <row r="928" spans="1:15" ht="15.6">
      <c r="A928" s="94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</row>
    <row r="929" spans="1:15" ht="15.6">
      <c r="A929" s="94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</row>
    <row r="930" spans="1:15" ht="15.6">
      <c r="A930" s="94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</row>
    <row r="931" spans="1:15" ht="15.6">
      <c r="A931" s="94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</row>
    <row r="932" spans="1:15" ht="15.6">
      <c r="A932" s="94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</row>
    <row r="933" spans="1:15" ht="15.6">
      <c r="A933" s="94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</row>
    <row r="934" spans="1:15" ht="15.6">
      <c r="A934" s="94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</row>
    <row r="935" spans="1:15" ht="15.6">
      <c r="A935" s="94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</row>
    <row r="936" spans="1:15" ht="15.6">
      <c r="A936" s="94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</row>
    <row r="937" spans="1:15" ht="15.6">
      <c r="A937" s="94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</row>
    <row r="938" spans="1:15" ht="15.6">
      <c r="A938" s="94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</row>
    <row r="939" spans="1:15" ht="15.6">
      <c r="A939" s="94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</row>
    <row r="940" spans="1:15" ht="15.6">
      <c r="A940" s="94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</row>
    <row r="941" spans="1:15" ht="15.6">
      <c r="A941" s="94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</row>
    <row r="942" spans="1:15" ht="15.6">
      <c r="A942" s="94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</row>
    <row r="943" spans="1:15" ht="15.6">
      <c r="A943" s="94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</row>
    <row r="944" spans="1:15" ht="15.6">
      <c r="A944" s="94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</row>
    <row r="945" spans="1:15" ht="15.6">
      <c r="A945" s="942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</row>
    <row r="946" spans="1:15" ht="15.6">
      <c r="A946" s="94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</row>
    <row r="947" spans="1:15" ht="15.6">
      <c r="A947" s="94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</row>
    <row r="948" spans="1:15" ht="15.6">
      <c r="A948" s="94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</row>
    <row r="949" spans="1:15" ht="15.6">
      <c r="A949" s="942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</row>
    <row r="950" spans="1:15" ht="15.6">
      <c r="A950" s="94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</row>
    <row r="951" spans="1:15" ht="15.6">
      <c r="A951" s="94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</row>
    <row r="952" spans="1:15" ht="15.6">
      <c r="A952" s="94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</row>
    <row r="953" spans="1:15" ht="15.6">
      <c r="A953" s="94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</row>
    <row r="954" spans="1:15" ht="15.6">
      <c r="A954" s="94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</row>
    <row r="955" spans="1:15" ht="15.6">
      <c r="A955" s="94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</row>
    <row r="956" spans="1:15" ht="15.6">
      <c r="A956" s="94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</row>
    <row r="957" spans="1:15" ht="15.6">
      <c r="A957" s="94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</row>
    <row r="958" spans="1:15" ht="15.6">
      <c r="A958" s="94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</row>
    <row r="959" spans="1:15" ht="15.6">
      <c r="A959" s="94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</row>
    <row r="960" spans="1:15" ht="15.6">
      <c r="A960" s="94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</row>
    <row r="961" spans="1:15" ht="15.6">
      <c r="A961" s="94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</row>
    <row r="962" spans="1:15" ht="15.6">
      <c r="A962" s="94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</row>
    <row r="963" spans="1:15" ht="15.6">
      <c r="A963" s="94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</row>
    <row r="964" spans="1:15" ht="15.6">
      <c r="A964" s="94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</row>
    <row r="965" spans="1:15" ht="15.6">
      <c r="A965" s="94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</row>
    <row r="966" spans="1:15" ht="15.6">
      <c r="A966" s="94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</row>
    <row r="967" spans="1:15" ht="15.6">
      <c r="A967" s="942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</row>
    <row r="968" spans="1:15" ht="15.6">
      <c r="A968" s="94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</row>
    <row r="969" spans="1:15" ht="15.6">
      <c r="A969" s="94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</row>
    <row r="970" spans="1:15" ht="15.6">
      <c r="A970" s="94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</row>
    <row r="971" spans="1:15" ht="15.6">
      <c r="A971" s="942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</row>
    <row r="972" spans="1:15" ht="15.6">
      <c r="A972" s="94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</row>
    <row r="973" spans="1:15" ht="15.6">
      <c r="A973" s="942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</row>
    <row r="974" spans="1:15" ht="15.6">
      <c r="A974" s="94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</row>
    <row r="975" spans="1:15" ht="15.6">
      <c r="A975" s="942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</row>
    <row r="976" spans="1:15" ht="15.6">
      <c r="A976" s="94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</row>
    <row r="977" spans="1:15" ht="15.6">
      <c r="A977" s="942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</row>
    <row r="978" spans="1:15" ht="15.6">
      <c r="A978" s="94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</row>
    <row r="979" spans="1:15" ht="15.6">
      <c r="A979" s="94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</row>
    <row r="980" spans="1:15" ht="15.6">
      <c r="A980" s="94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</row>
    <row r="981" spans="1:15" ht="15.6">
      <c r="A981" s="942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</row>
    <row r="982" spans="1:15" ht="15.6">
      <c r="A982" s="942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</row>
    <row r="983" spans="1:15" ht="15.6">
      <c r="A983" s="942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</row>
    <row r="984" spans="1:15" ht="15.6">
      <c r="A984" s="942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</row>
    <row r="985" spans="1:15" ht="15.6">
      <c r="A985" s="942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</row>
    <row r="986" spans="1:15" ht="15.6">
      <c r="A986" s="94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</row>
    <row r="987" spans="1:15" ht="15.6">
      <c r="A987" s="942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</row>
    <row r="988" spans="1:15" ht="15.6">
      <c r="A988" s="942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</row>
    <row r="989" spans="1:15" ht="15.6">
      <c r="A989" s="942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</row>
    <row r="990" spans="1:15" ht="15.6">
      <c r="A990" s="942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</row>
    <row r="991" spans="1:15" ht="15.6">
      <c r="A991" s="942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</row>
    <row r="992" spans="1:15" ht="15.6">
      <c r="A992" s="942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</row>
    <row r="993" spans="1:15" ht="15.6">
      <c r="A993" s="942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</row>
    <row r="994" spans="1:15" ht="15.6">
      <c r="A994" s="942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</row>
    <row r="995" spans="1:15" ht="15.6">
      <c r="A995" s="942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</row>
    <row r="996" spans="1:15" ht="15.6">
      <c r="A996" s="942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</row>
    <row r="997" spans="1:15" ht="15.6">
      <c r="A997" s="942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</row>
    <row r="998" spans="1:15" ht="15.6">
      <c r="A998" s="942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</row>
    <row r="999" spans="1:15" ht="15.6">
      <c r="A999" s="942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</row>
    <row r="1000" spans="1:15" ht="15.6">
      <c r="A1000" s="942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</row>
    <row r="1001" spans="1:15" ht="15.6">
      <c r="A1001" s="942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</row>
    <row r="1002" spans="1:15" ht="15.6">
      <c r="A1002" s="942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</row>
  </sheetData>
  <mergeCells count="4">
    <mergeCell ref="B2:C2"/>
    <mergeCell ref="B3:C3"/>
    <mergeCell ref="D2:E2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80"/>
  <sheetViews>
    <sheetView workbookViewId="0">
      <selection activeCell="D95" sqref="D95"/>
    </sheetView>
  </sheetViews>
  <sheetFormatPr defaultColWidth="12.5546875" defaultRowHeight="15.75" customHeight="1"/>
  <cols>
    <col min="4" max="4" width="26.44140625" customWidth="1"/>
    <col min="8" max="8" width="51.88671875" customWidth="1"/>
    <col min="10" max="10" width="52.44140625" customWidth="1"/>
  </cols>
  <sheetData>
    <row r="1" spans="1:27" s="756" customFormat="1" ht="29.4" thickBot="1">
      <c r="A1" s="757" t="s">
        <v>10</v>
      </c>
      <c r="B1" s="767" t="s">
        <v>11</v>
      </c>
      <c r="C1" s="763" t="s">
        <v>12</v>
      </c>
      <c r="D1" s="764" t="s">
        <v>13</v>
      </c>
      <c r="E1" s="764" t="s">
        <v>14</v>
      </c>
      <c r="F1" s="765" t="s">
        <v>15</v>
      </c>
      <c r="G1" s="766" t="s">
        <v>16</v>
      </c>
      <c r="H1" s="764" t="s">
        <v>532</v>
      </c>
      <c r="I1" s="762" t="s">
        <v>17</v>
      </c>
      <c r="J1" s="755"/>
      <c r="K1" s="755"/>
      <c r="L1" s="755"/>
      <c r="M1" s="755"/>
      <c r="N1" s="755"/>
      <c r="O1" s="755"/>
      <c r="P1" s="755"/>
      <c r="Q1" s="755"/>
      <c r="R1" s="755"/>
      <c r="S1" s="755"/>
      <c r="T1" s="755"/>
      <c r="U1" s="755"/>
      <c r="V1" s="755"/>
      <c r="W1" s="755"/>
      <c r="X1" s="755"/>
      <c r="Y1" s="755"/>
      <c r="Z1" s="755"/>
      <c r="AA1" s="755"/>
    </row>
    <row r="2" spans="1:27" ht="15.75" customHeight="1">
      <c r="A2" s="15"/>
      <c r="B2" s="15"/>
      <c r="C2" s="15"/>
      <c r="D2" s="16"/>
      <c r="E2" s="17"/>
      <c r="F2" s="18"/>
      <c r="G2" s="19"/>
      <c r="H2" s="16"/>
      <c r="I2" s="15"/>
      <c r="J2" s="16"/>
    </row>
    <row r="3" spans="1:27" ht="15.75" customHeight="1">
      <c r="A3" s="20"/>
      <c r="B3" s="20"/>
      <c r="C3" s="20"/>
      <c r="D3" s="21"/>
      <c r="E3" s="22"/>
      <c r="F3" s="22"/>
      <c r="G3" s="22"/>
      <c r="H3" s="21"/>
      <c r="I3" s="20"/>
      <c r="J3" s="21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7" ht="15.75" customHeight="1">
      <c r="A4" s="15"/>
      <c r="B4" s="15"/>
      <c r="C4" s="15"/>
      <c r="D4" s="16"/>
      <c r="E4" s="17"/>
      <c r="F4" s="18"/>
      <c r="G4" s="19"/>
      <c r="H4" s="16"/>
      <c r="I4" s="15"/>
      <c r="J4" s="16"/>
    </row>
    <row r="5" spans="1:27" ht="15.75" customHeight="1">
      <c r="A5" s="15"/>
      <c r="B5" s="15"/>
      <c r="C5" s="15"/>
      <c r="D5" s="16"/>
      <c r="E5" s="17"/>
      <c r="F5" s="18"/>
      <c r="G5" s="19"/>
      <c r="H5" s="16"/>
      <c r="I5" s="15"/>
      <c r="J5" s="16"/>
    </row>
    <row r="6" spans="1:27" ht="15.75" customHeight="1">
      <c r="A6" s="15"/>
      <c r="B6" s="15"/>
      <c r="C6" s="15"/>
      <c r="D6" s="16"/>
      <c r="E6" s="17"/>
      <c r="F6" s="18"/>
      <c r="G6" s="19"/>
      <c r="H6" s="16"/>
      <c r="I6" s="15"/>
      <c r="J6" s="16"/>
    </row>
    <row r="7" spans="1:27" ht="15.75" customHeight="1">
      <c r="A7" s="24"/>
      <c r="B7" s="24"/>
      <c r="C7" s="24"/>
      <c r="D7" s="25"/>
      <c r="E7" s="19"/>
      <c r="F7" s="18"/>
      <c r="G7" s="19"/>
      <c r="H7" s="25"/>
      <c r="I7" s="24"/>
      <c r="J7" s="25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7" ht="15.75" customHeight="1">
      <c r="A8" s="24"/>
      <c r="B8" s="24"/>
      <c r="C8" s="24"/>
      <c r="D8" s="25"/>
      <c r="E8" s="19"/>
      <c r="F8" s="18"/>
      <c r="G8" s="19"/>
      <c r="H8" s="25"/>
      <c r="I8" s="24"/>
      <c r="J8" s="25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7" ht="15.75" customHeight="1">
      <c r="A9" s="24"/>
      <c r="B9" s="24"/>
      <c r="C9" s="24"/>
      <c r="D9" s="25"/>
      <c r="E9" s="19"/>
      <c r="F9" s="18"/>
      <c r="G9" s="19"/>
      <c r="H9" s="25"/>
      <c r="I9" s="24"/>
      <c r="J9" s="25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7" ht="15.75" customHeight="1">
      <c r="A10" s="15"/>
      <c r="B10" s="15"/>
      <c r="C10" s="15"/>
      <c r="D10" s="16"/>
      <c r="E10" s="17"/>
      <c r="F10" s="18"/>
      <c r="G10" s="19"/>
      <c r="H10" s="16"/>
      <c r="I10" s="15"/>
      <c r="J10" s="16"/>
    </row>
    <row r="11" spans="1:27" ht="15.75" customHeight="1">
      <c r="A11" s="15"/>
      <c r="B11" s="15"/>
      <c r="C11" s="15"/>
      <c r="D11" s="16"/>
      <c r="E11" s="17"/>
      <c r="F11" s="18"/>
      <c r="G11" s="19"/>
      <c r="H11" s="16"/>
      <c r="I11" s="15"/>
      <c r="J11" s="16"/>
    </row>
    <row r="12" spans="1:27" ht="15.75" customHeight="1">
      <c r="A12" s="15"/>
      <c r="B12" s="15"/>
      <c r="C12" s="15"/>
      <c r="D12" s="16"/>
      <c r="E12" s="17"/>
      <c r="F12" s="18"/>
      <c r="G12" s="19"/>
      <c r="H12" s="16"/>
      <c r="I12" s="15"/>
      <c r="J12" s="16"/>
    </row>
    <row r="13" spans="1:27" ht="15.75" customHeight="1">
      <c r="A13" s="20"/>
      <c r="B13" s="20"/>
      <c r="C13" s="20"/>
      <c r="D13" s="21"/>
      <c r="E13" s="22"/>
      <c r="F13" s="22"/>
      <c r="G13" s="22"/>
      <c r="H13" s="21"/>
      <c r="I13" s="20"/>
      <c r="J13" s="21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7" ht="15.75" customHeight="1">
      <c r="A14" s="15"/>
      <c r="B14" s="15"/>
      <c r="C14" s="15"/>
      <c r="D14" s="16"/>
      <c r="E14" s="17"/>
      <c r="F14" s="18"/>
      <c r="G14" s="19"/>
      <c r="H14" s="16"/>
      <c r="I14" s="15"/>
      <c r="J14" s="16"/>
    </row>
    <row r="15" spans="1:27" ht="15.75" customHeight="1">
      <c r="A15" s="15"/>
      <c r="B15" s="15"/>
      <c r="C15" s="15"/>
      <c r="D15" s="16"/>
      <c r="E15" s="17"/>
      <c r="F15" s="18"/>
      <c r="G15" s="19"/>
      <c r="H15" s="16"/>
      <c r="I15" s="15"/>
      <c r="J15" s="16"/>
    </row>
    <row r="16" spans="1:27" ht="15.75" customHeight="1">
      <c r="A16" s="15"/>
      <c r="B16" s="15"/>
      <c r="C16" s="15"/>
      <c r="D16" s="16"/>
      <c r="E16" s="17"/>
      <c r="F16" s="18"/>
      <c r="G16" s="19"/>
      <c r="H16" s="16"/>
      <c r="I16" s="15"/>
      <c r="J16" s="16"/>
    </row>
    <row r="17" spans="1:26" ht="15.75" customHeight="1">
      <c r="A17" s="15"/>
      <c r="B17" s="15"/>
      <c r="C17" s="15"/>
      <c r="D17" s="16"/>
      <c r="E17" s="17"/>
      <c r="F17" s="18"/>
      <c r="G17" s="19"/>
      <c r="H17" s="16"/>
      <c r="I17" s="15"/>
      <c r="J17" s="16"/>
    </row>
    <row r="18" spans="1:26" ht="15.75" customHeight="1">
      <c r="A18" s="15"/>
      <c r="B18" s="15"/>
      <c r="C18" s="15"/>
      <c r="D18" s="16"/>
      <c r="E18" s="17"/>
      <c r="F18" s="18"/>
      <c r="G18" s="19"/>
      <c r="H18" s="16"/>
      <c r="I18" s="15"/>
      <c r="J18" s="16"/>
    </row>
    <row r="19" spans="1:26" ht="15.75" customHeight="1">
      <c r="A19" s="15"/>
      <c r="B19" s="15"/>
      <c r="C19" s="15"/>
      <c r="D19" s="16"/>
      <c r="E19" s="17"/>
      <c r="F19" s="18"/>
      <c r="G19" s="19"/>
      <c r="H19" s="16"/>
      <c r="I19" s="15"/>
      <c r="J19" s="16"/>
    </row>
    <row r="20" spans="1:26" ht="15.75" customHeight="1">
      <c r="A20" s="15"/>
      <c r="B20" s="15"/>
      <c r="C20" s="15"/>
      <c r="D20" s="16"/>
      <c r="E20" s="17"/>
      <c r="F20" s="18"/>
      <c r="G20" s="19"/>
      <c r="H20" s="16"/>
      <c r="I20" s="15"/>
      <c r="J20" s="16"/>
    </row>
    <row r="21" spans="1:26" ht="15.75" customHeight="1">
      <c r="A21" s="15"/>
      <c r="B21" s="15"/>
      <c r="C21" s="15"/>
      <c r="D21" s="16"/>
      <c r="E21" s="17"/>
      <c r="F21" s="18"/>
      <c r="G21" s="19"/>
      <c r="H21" s="16"/>
      <c r="I21" s="15"/>
      <c r="J21" s="16"/>
    </row>
    <row r="22" spans="1:26" ht="15.75" customHeight="1">
      <c r="A22" s="20"/>
      <c r="B22" s="20"/>
      <c r="C22" s="20"/>
      <c r="D22" s="21"/>
      <c r="E22" s="22"/>
      <c r="F22" s="22"/>
      <c r="G22" s="22"/>
      <c r="H22" s="21"/>
      <c r="I22" s="20"/>
      <c r="J22" s="21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4.4">
      <c r="A23" s="24"/>
      <c r="B23" s="24"/>
      <c r="C23" s="24"/>
      <c r="D23" s="25"/>
      <c r="E23" s="19"/>
      <c r="F23" s="18"/>
      <c r="G23" s="19"/>
      <c r="H23" s="25"/>
      <c r="I23" s="24"/>
      <c r="J23" s="25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4.4">
      <c r="A24" s="15"/>
      <c r="B24" s="15"/>
      <c r="C24" s="15"/>
      <c r="D24" s="16"/>
      <c r="E24" s="17"/>
      <c r="F24" s="18"/>
      <c r="G24" s="19"/>
      <c r="H24" s="16"/>
      <c r="I24" s="15"/>
      <c r="J24" s="16"/>
    </row>
    <row r="25" spans="1:26" ht="14.4">
      <c r="A25" s="24"/>
      <c r="B25" s="24"/>
      <c r="C25" s="24"/>
      <c r="D25" s="25"/>
      <c r="E25" s="19"/>
      <c r="F25" s="18"/>
      <c r="G25" s="19"/>
      <c r="H25" s="25"/>
      <c r="I25" s="24"/>
      <c r="J25" s="25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4.4">
      <c r="A26" s="20"/>
      <c r="B26" s="20"/>
      <c r="C26" s="20"/>
      <c r="D26" s="21"/>
      <c r="E26" s="22"/>
      <c r="F26" s="27"/>
      <c r="G26" s="22"/>
      <c r="H26" s="21"/>
      <c r="I26" s="20"/>
      <c r="J26" s="21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4.4">
      <c r="A27" s="15"/>
      <c r="B27" s="15"/>
      <c r="C27" s="15"/>
      <c r="D27" s="16"/>
      <c r="E27" s="17"/>
      <c r="F27" s="18"/>
      <c r="G27" s="19"/>
      <c r="H27" s="16"/>
      <c r="I27" s="15"/>
      <c r="J27" s="16"/>
    </row>
    <row r="28" spans="1:26" ht="14.4">
      <c r="A28" s="24"/>
      <c r="B28" s="24"/>
      <c r="C28" s="24"/>
      <c r="D28" s="25"/>
      <c r="E28" s="19"/>
      <c r="F28" s="18"/>
      <c r="G28" s="19"/>
      <c r="H28" s="25"/>
      <c r="I28" s="24"/>
      <c r="J28" s="25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4.4">
      <c r="A29" s="15"/>
      <c r="B29" s="15"/>
      <c r="C29" s="15"/>
      <c r="D29" s="16"/>
      <c r="E29" s="17"/>
      <c r="F29" s="18"/>
      <c r="G29" s="19"/>
      <c r="H29" s="16"/>
      <c r="I29" s="15"/>
      <c r="J29" s="16"/>
    </row>
    <row r="30" spans="1:26" ht="14.4">
      <c r="A30" s="15"/>
      <c r="B30" s="15"/>
      <c r="C30" s="15"/>
      <c r="D30" s="16"/>
      <c r="E30" s="17"/>
      <c r="F30" s="18"/>
      <c r="G30" s="19"/>
      <c r="H30" s="16"/>
      <c r="I30" s="15"/>
      <c r="J30" s="16"/>
    </row>
    <row r="31" spans="1:26" ht="14.4">
      <c r="A31" s="15"/>
      <c r="B31" s="15"/>
      <c r="C31" s="15"/>
      <c r="D31" s="16"/>
      <c r="E31" s="17"/>
      <c r="F31" s="18"/>
      <c r="G31" s="19"/>
      <c r="H31" s="16"/>
      <c r="I31" s="15"/>
      <c r="J31" s="16"/>
    </row>
    <row r="32" spans="1:26" ht="14.4">
      <c r="A32" s="15"/>
      <c r="B32" s="15"/>
      <c r="C32" s="15"/>
      <c r="D32" s="16"/>
      <c r="E32" s="17"/>
      <c r="F32" s="18"/>
      <c r="G32" s="19"/>
      <c r="H32" s="16"/>
      <c r="I32" s="15"/>
      <c r="J32" s="16"/>
    </row>
    <row r="33" spans="1:26" ht="14.4">
      <c r="A33" s="15"/>
      <c r="B33" s="15"/>
      <c r="C33" s="15"/>
      <c r="D33" s="16"/>
      <c r="E33" s="17"/>
      <c r="F33" s="18"/>
      <c r="G33" s="19"/>
      <c r="H33" s="16"/>
      <c r="I33" s="15"/>
      <c r="J33" s="16"/>
    </row>
    <row r="34" spans="1:26" ht="14.4">
      <c r="A34" s="20"/>
      <c r="B34" s="20"/>
      <c r="C34" s="20"/>
      <c r="D34" s="21"/>
      <c r="E34" s="22"/>
      <c r="F34" s="22"/>
      <c r="G34" s="22"/>
      <c r="H34" s="21"/>
      <c r="I34" s="20"/>
      <c r="J34" s="21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4.4">
      <c r="A35" s="20"/>
      <c r="B35" s="20"/>
      <c r="C35" s="20"/>
      <c r="D35" s="21"/>
      <c r="E35" s="22"/>
      <c r="F35" s="22"/>
      <c r="G35" s="22"/>
      <c r="H35" s="21"/>
      <c r="I35" s="20"/>
      <c r="J35" s="21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4.4">
      <c r="A36" s="15"/>
      <c r="B36" s="15"/>
      <c r="C36" s="15"/>
      <c r="D36" s="16"/>
      <c r="E36" s="17"/>
      <c r="F36" s="18"/>
      <c r="G36" s="19"/>
      <c r="H36" s="16"/>
      <c r="I36" s="15"/>
      <c r="J36" s="16"/>
    </row>
    <row r="37" spans="1:26" ht="14.4">
      <c r="A37" s="15"/>
      <c r="B37" s="15"/>
      <c r="C37" s="15"/>
      <c r="D37" s="16"/>
      <c r="E37" s="17"/>
      <c r="F37" s="18"/>
      <c r="G37" s="19"/>
      <c r="H37" s="16"/>
      <c r="I37" s="15"/>
      <c r="J37" s="16"/>
    </row>
    <row r="38" spans="1:26" ht="14.4">
      <c r="A38" s="15"/>
      <c r="B38" s="15"/>
      <c r="C38" s="15"/>
      <c r="D38" s="16"/>
      <c r="E38" s="17"/>
      <c r="F38" s="18"/>
      <c r="G38" s="19"/>
      <c r="H38" s="16"/>
      <c r="I38" s="15"/>
      <c r="J38" s="16"/>
    </row>
    <row r="39" spans="1:26" ht="14.4">
      <c r="A39" s="20"/>
      <c r="B39" s="20"/>
      <c r="C39" s="20"/>
      <c r="D39" s="21"/>
      <c r="E39" s="22"/>
      <c r="F39" s="22"/>
      <c r="G39" s="22"/>
      <c r="H39" s="21"/>
      <c r="I39" s="20"/>
      <c r="J39" s="21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4.4">
      <c r="A40" s="24"/>
      <c r="B40" s="24"/>
      <c r="C40" s="24"/>
      <c r="D40" s="25"/>
      <c r="E40" s="19"/>
      <c r="F40" s="18"/>
      <c r="G40" s="19"/>
      <c r="H40" s="25"/>
      <c r="I40" s="24"/>
      <c r="J40" s="25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4.4">
      <c r="A41" s="15"/>
      <c r="B41" s="15"/>
      <c r="C41" s="15"/>
      <c r="D41" s="16"/>
      <c r="E41" s="17"/>
      <c r="F41" s="18"/>
      <c r="G41" s="19"/>
      <c r="H41" s="16"/>
      <c r="I41" s="15"/>
      <c r="J41" s="16"/>
    </row>
    <row r="42" spans="1:26" ht="14.4">
      <c r="A42" s="20"/>
      <c r="B42" s="20"/>
      <c r="C42" s="20"/>
      <c r="D42" s="21"/>
      <c r="E42" s="22"/>
      <c r="F42" s="22"/>
      <c r="G42" s="22"/>
      <c r="H42" s="21"/>
      <c r="I42" s="20"/>
      <c r="J42" s="21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4.4">
      <c r="A43" s="24"/>
      <c r="B43" s="24"/>
      <c r="C43" s="24"/>
      <c r="D43" s="25"/>
      <c r="E43" s="19"/>
      <c r="F43" s="18"/>
      <c r="G43" s="19"/>
      <c r="H43" s="25"/>
      <c r="I43" s="24"/>
      <c r="J43" s="25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4.4">
      <c r="A44" s="24"/>
      <c r="B44" s="24"/>
      <c r="C44" s="24"/>
      <c r="D44" s="25"/>
      <c r="E44" s="19"/>
      <c r="F44" s="18"/>
      <c r="G44" s="19"/>
      <c r="H44" s="25"/>
      <c r="I44" s="24"/>
      <c r="J44" s="25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4.4">
      <c r="A45" s="24"/>
      <c r="B45" s="24"/>
      <c r="C45" s="24"/>
      <c r="D45" s="25"/>
      <c r="E45" s="19"/>
      <c r="F45" s="18"/>
      <c r="G45" s="19"/>
      <c r="H45" s="25"/>
      <c r="I45" s="24"/>
      <c r="J45" s="25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4.4">
      <c r="A46" s="24"/>
      <c r="B46" s="24"/>
      <c r="C46" s="24"/>
      <c r="D46" s="25"/>
      <c r="E46" s="19"/>
      <c r="F46" s="18"/>
      <c r="G46" s="19"/>
      <c r="H46" s="25"/>
      <c r="I46" s="24"/>
      <c r="J46" s="25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4.4">
      <c r="A47" s="24"/>
      <c r="B47" s="24"/>
      <c r="C47" s="24"/>
      <c r="D47" s="25"/>
      <c r="E47" s="19"/>
      <c r="F47" s="18"/>
      <c r="G47" s="19"/>
      <c r="H47" s="25"/>
      <c r="I47" s="24"/>
      <c r="J47" s="25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4.4">
      <c r="A48" s="15"/>
      <c r="B48" s="15"/>
      <c r="C48" s="15"/>
      <c r="D48" s="16"/>
      <c r="E48" s="17"/>
      <c r="F48" s="18"/>
      <c r="G48" s="19"/>
      <c r="H48" s="16"/>
      <c r="I48" s="15"/>
      <c r="J48" s="16"/>
    </row>
    <row r="49" spans="1:26" ht="14.4">
      <c r="A49" s="15"/>
      <c r="B49" s="15"/>
      <c r="C49" s="15"/>
      <c r="D49" s="16"/>
      <c r="E49" s="17"/>
      <c r="F49" s="18"/>
      <c r="G49" s="19"/>
      <c r="H49" s="16"/>
      <c r="I49" s="15"/>
      <c r="J49" s="16"/>
    </row>
    <row r="50" spans="1:26" ht="14.4">
      <c r="A50" s="15"/>
      <c r="B50" s="15"/>
      <c r="C50" s="15"/>
      <c r="D50" s="16"/>
      <c r="E50" s="17"/>
      <c r="F50" s="18"/>
      <c r="G50" s="19"/>
      <c r="H50" s="16"/>
      <c r="I50" s="15"/>
      <c r="J50" s="16"/>
    </row>
    <row r="51" spans="1:26" ht="14.4">
      <c r="A51" s="15"/>
      <c r="B51" s="15"/>
      <c r="C51" s="15"/>
      <c r="D51" s="16"/>
      <c r="E51" s="17"/>
      <c r="F51" s="18"/>
      <c r="G51" s="19"/>
      <c r="H51" s="16"/>
      <c r="I51" s="15"/>
      <c r="J51" s="16"/>
    </row>
    <row r="52" spans="1:26" ht="14.4">
      <c r="A52" s="24"/>
      <c r="B52" s="24"/>
      <c r="C52" s="24"/>
      <c r="D52" s="25"/>
      <c r="E52" s="19"/>
      <c r="F52" s="18"/>
      <c r="G52" s="19"/>
      <c r="H52" s="25"/>
      <c r="I52" s="24"/>
      <c r="J52" s="25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4.4">
      <c r="A53" s="15"/>
      <c r="B53" s="15"/>
      <c r="C53" s="15"/>
      <c r="D53" s="16"/>
      <c r="E53" s="17"/>
      <c r="F53" s="28"/>
      <c r="G53" s="17"/>
      <c r="H53" s="16"/>
      <c r="I53" s="15"/>
      <c r="J53" s="16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14.4">
      <c r="A54" s="15"/>
      <c r="B54" s="15"/>
      <c r="C54" s="15"/>
      <c r="D54" s="16"/>
      <c r="E54" s="17"/>
      <c r="F54" s="18"/>
      <c r="G54" s="19"/>
      <c r="H54" s="16"/>
      <c r="I54" s="15"/>
      <c r="J54" s="16"/>
    </row>
    <row r="55" spans="1:26" ht="14.4">
      <c r="A55" s="24"/>
      <c r="B55" s="24"/>
      <c r="C55" s="24"/>
      <c r="D55" s="25"/>
      <c r="E55" s="19"/>
      <c r="F55" s="18"/>
      <c r="G55" s="19"/>
      <c r="H55" s="25"/>
      <c r="I55" s="24"/>
      <c r="J55" s="25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4.4">
      <c r="A56" s="15"/>
      <c r="B56" s="15"/>
      <c r="C56" s="15"/>
      <c r="D56" s="16"/>
      <c r="E56" s="17"/>
      <c r="F56" s="18"/>
      <c r="G56" s="19"/>
      <c r="H56" s="16"/>
      <c r="I56" s="15"/>
      <c r="J56" s="16"/>
    </row>
    <row r="57" spans="1:26" ht="14.4">
      <c r="A57" s="15"/>
      <c r="B57" s="15"/>
      <c r="C57" s="15"/>
      <c r="D57" s="16"/>
      <c r="E57" s="17"/>
      <c r="F57" s="18"/>
      <c r="G57" s="19"/>
      <c r="H57" s="16"/>
      <c r="I57" s="15"/>
      <c r="J57" s="16"/>
    </row>
    <row r="58" spans="1:26" ht="14.4">
      <c r="A58" s="15"/>
      <c r="B58" s="15"/>
      <c r="C58" s="15"/>
      <c r="D58" s="16"/>
      <c r="E58" s="17"/>
      <c r="F58" s="18"/>
      <c r="G58" s="19"/>
      <c r="H58" s="16"/>
      <c r="I58" s="15"/>
      <c r="J58" s="16"/>
    </row>
    <row r="59" spans="1:26" ht="14.4">
      <c r="A59" s="15"/>
      <c r="B59" s="15"/>
      <c r="C59" s="15"/>
      <c r="D59" s="16"/>
      <c r="E59" s="17"/>
      <c r="F59" s="18"/>
      <c r="G59" s="19"/>
      <c r="H59" s="16"/>
      <c r="I59" s="15"/>
      <c r="J59" s="16"/>
    </row>
    <row r="60" spans="1:26" ht="14.4">
      <c r="A60" s="15"/>
      <c r="B60" s="15"/>
      <c r="C60" s="15"/>
      <c r="D60" s="16"/>
      <c r="E60" s="17"/>
      <c r="F60" s="18"/>
      <c r="G60" s="19"/>
      <c r="H60" s="16"/>
      <c r="I60" s="15"/>
      <c r="J60" s="16"/>
    </row>
    <row r="61" spans="1:26" ht="14.4">
      <c r="A61" s="15"/>
      <c r="B61" s="15"/>
      <c r="C61" s="15"/>
      <c r="D61" s="16"/>
      <c r="E61" s="17"/>
      <c r="F61" s="18"/>
      <c r="G61" s="19"/>
      <c r="H61" s="16"/>
      <c r="I61" s="15"/>
      <c r="J61" s="16"/>
    </row>
    <row r="62" spans="1:26" ht="14.4">
      <c r="A62" s="15"/>
      <c r="B62" s="15"/>
      <c r="C62" s="15"/>
      <c r="D62" s="16"/>
      <c r="E62" s="17"/>
      <c r="F62" s="18"/>
      <c r="G62" s="19"/>
      <c r="H62" s="16"/>
      <c r="I62" s="15"/>
      <c r="J62" s="16"/>
    </row>
    <row r="63" spans="1:26" ht="14.4">
      <c r="A63" s="15"/>
      <c r="B63" s="15"/>
      <c r="C63" s="15"/>
      <c r="D63" s="16"/>
      <c r="E63" s="17"/>
      <c r="F63" s="18"/>
      <c r="G63" s="19"/>
      <c r="H63" s="16"/>
      <c r="I63" s="15"/>
      <c r="J63" s="16"/>
    </row>
    <row r="64" spans="1:26" ht="14.4">
      <c r="A64" s="20"/>
      <c r="B64" s="20"/>
      <c r="C64" s="20"/>
      <c r="D64" s="21"/>
      <c r="E64" s="22"/>
      <c r="F64" s="22"/>
      <c r="G64" s="22"/>
      <c r="H64" s="21"/>
      <c r="I64" s="20"/>
      <c r="J64" s="21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10" ht="14.4">
      <c r="A65" s="15"/>
      <c r="B65" s="15"/>
      <c r="C65" s="15"/>
      <c r="D65" s="16"/>
      <c r="E65" s="17"/>
      <c r="F65" s="18"/>
      <c r="G65" s="19"/>
      <c r="H65" s="16"/>
      <c r="I65" s="15"/>
      <c r="J65" s="16"/>
    </row>
    <row r="66" spans="1:10" ht="14.4">
      <c r="A66" s="15"/>
      <c r="B66" s="15"/>
      <c r="C66" s="15"/>
      <c r="D66" s="16"/>
      <c r="E66" s="17"/>
      <c r="F66" s="18"/>
      <c r="G66" s="19"/>
      <c r="H66" s="16"/>
      <c r="I66" s="15"/>
      <c r="J66" s="16"/>
    </row>
    <row r="67" spans="1:10" ht="14.4">
      <c r="A67" s="15"/>
      <c r="B67" s="15"/>
      <c r="C67" s="15"/>
      <c r="D67" s="16"/>
      <c r="E67" s="17"/>
      <c r="F67" s="18"/>
      <c r="G67" s="19"/>
      <c r="H67" s="16"/>
      <c r="I67" s="15"/>
      <c r="J67" s="16"/>
    </row>
    <row r="68" spans="1:10" ht="14.4">
      <c r="A68" s="15"/>
      <c r="B68" s="15"/>
      <c r="C68" s="15"/>
      <c r="D68" s="16"/>
      <c r="E68" s="17"/>
      <c r="F68" s="18"/>
      <c r="G68" s="19"/>
      <c r="H68" s="16"/>
      <c r="I68" s="15"/>
      <c r="J68" s="16"/>
    </row>
    <row r="69" spans="1:10" ht="14.4">
      <c r="A69" s="15"/>
      <c r="B69" s="15"/>
      <c r="C69" s="15"/>
      <c r="D69" s="16"/>
      <c r="E69" s="17"/>
      <c r="F69" s="18"/>
      <c r="G69" s="19"/>
      <c r="H69" s="16"/>
      <c r="I69" s="15"/>
      <c r="J69" s="16"/>
    </row>
    <row r="70" spans="1:10" ht="14.4">
      <c r="A70" s="15"/>
      <c r="B70" s="15"/>
      <c r="C70" s="15"/>
      <c r="D70" s="16"/>
      <c r="E70" s="17"/>
      <c r="F70" s="18"/>
      <c r="G70" s="19"/>
      <c r="H70" s="16"/>
      <c r="I70" s="15"/>
      <c r="J70" s="16"/>
    </row>
    <row r="71" spans="1:10" ht="14.4">
      <c r="A71" s="15"/>
      <c r="B71" s="15"/>
      <c r="C71" s="15"/>
      <c r="D71" s="16"/>
      <c r="E71" s="17"/>
      <c r="F71" s="18"/>
      <c r="G71" s="19"/>
      <c r="H71" s="16"/>
      <c r="I71" s="15"/>
      <c r="J71" s="16"/>
    </row>
    <row r="72" spans="1:10" ht="14.4">
      <c r="A72" s="15"/>
      <c r="B72" s="15"/>
      <c r="C72" s="15"/>
      <c r="D72" s="16"/>
      <c r="E72" s="17"/>
      <c r="F72" s="18"/>
      <c r="G72" s="19"/>
      <c r="H72" s="16"/>
      <c r="I72" s="15"/>
      <c r="J72" s="16"/>
    </row>
    <row r="74" spans="1:10" ht="15.6">
      <c r="D74" s="30" t="s">
        <v>18</v>
      </c>
      <c r="E74" s="31">
        <f>SUM(E2:E72)</f>
        <v>0</v>
      </c>
      <c r="F74" s="32">
        <f>SUM(F2:F72)</f>
        <v>0</v>
      </c>
      <c r="G74" s="33">
        <f>SUM(G2:G72)</f>
        <v>0</v>
      </c>
    </row>
    <row r="76" spans="1:10" ht="14.4">
      <c r="D76" s="16"/>
      <c r="E76" s="34" t="s">
        <v>19</v>
      </c>
      <c r="F76" s="34" t="s">
        <v>20</v>
      </c>
    </row>
    <row r="77" spans="1:10" ht="14.4">
      <c r="D77" s="16" t="s">
        <v>21</v>
      </c>
      <c r="E77" s="35"/>
      <c r="F77" s="17"/>
    </row>
    <row r="78" spans="1:10" ht="14.4">
      <c r="D78" s="25" t="s">
        <v>22</v>
      </c>
      <c r="E78" s="36"/>
      <c r="F78" s="19"/>
    </row>
    <row r="79" spans="1:10" ht="14.4">
      <c r="D79" s="37" t="s">
        <v>23</v>
      </c>
      <c r="E79" s="38"/>
      <c r="F79" s="39"/>
    </row>
    <row r="80" spans="1:10" ht="14.4">
      <c r="D80" s="21" t="s">
        <v>24</v>
      </c>
      <c r="E80" s="40"/>
      <c r="F80" s="22"/>
      <c r="G80" s="41"/>
      <c r="H80" s="4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80"/>
  <sheetViews>
    <sheetView workbookViewId="0">
      <selection sqref="A1:XFD1"/>
    </sheetView>
  </sheetViews>
  <sheetFormatPr defaultColWidth="12.5546875" defaultRowHeight="15.75" customHeight="1"/>
  <cols>
    <col min="4" max="4" width="26.44140625" customWidth="1"/>
    <col min="8" max="8" width="51.88671875" customWidth="1"/>
    <col min="10" max="10" width="52.44140625" customWidth="1"/>
  </cols>
  <sheetData>
    <row r="1" spans="1:27" s="756" customFormat="1" ht="29.4" thickBot="1">
      <c r="A1" s="757" t="s">
        <v>10</v>
      </c>
      <c r="B1" s="767" t="s">
        <v>11</v>
      </c>
      <c r="C1" s="763" t="s">
        <v>12</v>
      </c>
      <c r="D1" s="764" t="s">
        <v>13</v>
      </c>
      <c r="E1" s="764" t="s">
        <v>14</v>
      </c>
      <c r="F1" s="765" t="s">
        <v>15</v>
      </c>
      <c r="G1" s="766" t="s">
        <v>16</v>
      </c>
      <c r="H1" s="764" t="s">
        <v>532</v>
      </c>
      <c r="I1" s="762" t="s">
        <v>17</v>
      </c>
      <c r="J1" s="755"/>
      <c r="K1" s="755"/>
      <c r="L1" s="755"/>
      <c r="M1" s="755"/>
      <c r="N1" s="755"/>
      <c r="O1" s="755"/>
      <c r="P1" s="755"/>
      <c r="Q1" s="755"/>
      <c r="R1" s="755"/>
      <c r="S1" s="755"/>
      <c r="T1" s="755"/>
      <c r="U1" s="755"/>
      <c r="V1" s="755"/>
      <c r="W1" s="755"/>
      <c r="X1" s="755"/>
      <c r="Y1" s="755"/>
      <c r="Z1" s="755"/>
      <c r="AA1" s="755"/>
    </row>
    <row r="2" spans="1:27" ht="15.75" customHeight="1">
      <c r="A2" s="24"/>
      <c r="B2" s="24"/>
      <c r="C2" s="24"/>
      <c r="D2" s="25"/>
      <c r="E2" s="19"/>
      <c r="F2" s="18"/>
      <c r="G2" s="19"/>
      <c r="H2" s="25"/>
      <c r="I2" s="24"/>
      <c r="J2" s="25"/>
    </row>
    <row r="3" spans="1:27" ht="15.75" customHeight="1">
      <c r="A3" s="15"/>
      <c r="B3" s="15"/>
      <c r="C3" s="15"/>
      <c r="D3" s="16"/>
      <c r="E3" s="17"/>
      <c r="F3" s="18"/>
      <c r="G3" s="19"/>
      <c r="H3" s="16"/>
      <c r="I3" s="15"/>
      <c r="J3" s="16"/>
    </row>
    <row r="4" spans="1:27" ht="15.75" customHeight="1">
      <c r="A4" s="20"/>
      <c r="B4" s="20"/>
      <c r="C4" s="20"/>
      <c r="D4" s="21"/>
      <c r="E4" s="22"/>
      <c r="F4" s="22"/>
      <c r="G4" s="22"/>
      <c r="H4" s="21"/>
      <c r="I4" s="20"/>
      <c r="J4" s="21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7" ht="15.75" customHeight="1">
      <c r="A5" s="20"/>
      <c r="B5" s="20"/>
      <c r="C5" s="20"/>
      <c r="D5" s="21"/>
      <c r="E5" s="22"/>
      <c r="F5" s="22"/>
      <c r="G5" s="22"/>
      <c r="H5" s="21"/>
      <c r="I5" s="20"/>
      <c r="J5" s="21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7" ht="15.75" customHeight="1">
      <c r="A6" s="15"/>
      <c r="B6" s="15"/>
      <c r="C6" s="15"/>
      <c r="D6" s="16"/>
      <c r="E6" s="17"/>
      <c r="F6" s="18"/>
      <c r="G6" s="19"/>
      <c r="H6" s="16"/>
      <c r="I6" s="15"/>
      <c r="J6" s="16"/>
    </row>
    <row r="7" spans="1:27" ht="15.75" customHeight="1">
      <c r="A7" s="15"/>
      <c r="B7" s="15"/>
      <c r="C7" s="15"/>
      <c r="D7" s="16"/>
      <c r="E7" s="17"/>
      <c r="F7" s="18"/>
      <c r="G7" s="19"/>
      <c r="H7" s="16"/>
      <c r="I7" s="15"/>
      <c r="J7" s="16"/>
    </row>
    <row r="8" spans="1:27" ht="15.75" customHeight="1">
      <c r="A8" s="20"/>
      <c r="B8" s="20"/>
      <c r="C8" s="20"/>
      <c r="D8" s="21"/>
      <c r="E8" s="22"/>
      <c r="F8" s="22"/>
      <c r="G8" s="22"/>
      <c r="H8" s="21"/>
      <c r="I8" s="20"/>
      <c r="J8" s="21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7" ht="15.75" customHeight="1">
      <c r="A9" s="20"/>
      <c r="B9" s="20"/>
      <c r="C9" s="20"/>
      <c r="D9" s="21"/>
      <c r="E9" s="22"/>
      <c r="F9" s="22"/>
      <c r="G9" s="22"/>
      <c r="H9" s="21"/>
      <c r="I9" s="20"/>
      <c r="J9" s="21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7" ht="15.75" customHeight="1">
      <c r="A10" s="20"/>
      <c r="B10" s="20"/>
      <c r="C10" s="20"/>
      <c r="D10" s="21"/>
      <c r="E10" s="22"/>
      <c r="F10" s="22"/>
      <c r="G10" s="22"/>
      <c r="H10" s="21"/>
      <c r="I10" s="20"/>
      <c r="J10" s="21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7" ht="15.75" customHeight="1">
      <c r="A11" s="15"/>
      <c r="B11" s="15"/>
      <c r="C11" s="15"/>
      <c r="D11" s="16"/>
      <c r="E11" s="17"/>
      <c r="F11" s="18"/>
      <c r="G11" s="19"/>
      <c r="H11" s="16"/>
      <c r="I11" s="15"/>
      <c r="J11" s="16"/>
    </row>
    <row r="12" spans="1:27" ht="15.75" customHeight="1">
      <c r="A12" s="15"/>
      <c r="B12" s="15"/>
      <c r="C12" s="15"/>
      <c r="D12" s="16"/>
      <c r="E12" s="17"/>
      <c r="F12" s="18"/>
      <c r="G12" s="19"/>
      <c r="H12" s="16"/>
      <c r="I12" s="15"/>
      <c r="J12" s="16"/>
    </row>
    <row r="13" spans="1:27" ht="15.75" customHeight="1">
      <c r="A13" s="15"/>
      <c r="B13" s="15"/>
      <c r="C13" s="15"/>
      <c r="D13" s="16"/>
      <c r="E13" s="17"/>
      <c r="F13" s="18"/>
      <c r="G13" s="19"/>
      <c r="H13" s="16"/>
      <c r="I13" s="15"/>
      <c r="J13" s="16"/>
    </row>
    <row r="14" spans="1:27" ht="15.75" customHeight="1">
      <c r="A14" s="15"/>
      <c r="B14" s="15"/>
      <c r="C14" s="15"/>
      <c r="D14" s="16"/>
      <c r="E14" s="17"/>
      <c r="F14" s="18"/>
      <c r="G14" s="19"/>
      <c r="H14" s="16"/>
      <c r="I14" s="15"/>
      <c r="J14" s="16"/>
    </row>
    <row r="15" spans="1:27" ht="15.75" customHeight="1">
      <c r="A15" s="15"/>
      <c r="B15" s="15"/>
      <c r="C15" s="15"/>
      <c r="D15" s="16"/>
      <c r="E15" s="17"/>
      <c r="F15" s="18"/>
      <c r="G15" s="19"/>
      <c r="H15" s="16"/>
      <c r="I15" s="15"/>
      <c r="J15" s="16"/>
    </row>
    <row r="16" spans="1:27" ht="15.75" customHeight="1">
      <c r="A16" s="20"/>
      <c r="B16" s="20"/>
      <c r="C16" s="20"/>
      <c r="D16" s="21"/>
      <c r="E16" s="22"/>
      <c r="F16" s="22"/>
      <c r="G16" s="22"/>
      <c r="H16" s="21"/>
      <c r="I16" s="20"/>
      <c r="J16" s="21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5.75" customHeight="1">
      <c r="A17" s="24"/>
      <c r="B17" s="24"/>
      <c r="C17" s="24"/>
      <c r="D17" s="25"/>
      <c r="E17" s="19"/>
      <c r="F17" s="18"/>
      <c r="G17" s="19"/>
      <c r="H17" s="25"/>
      <c r="I17" s="24"/>
      <c r="J17" s="25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>
      <c r="A18" s="24"/>
      <c r="B18" s="24"/>
      <c r="C18" s="24"/>
      <c r="D18" s="25"/>
      <c r="E18" s="19"/>
      <c r="F18" s="18"/>
      <c r="G18" s="19"/>
      <c r="H18" s="25"/>
      <c r="I18" s="24"/>
      <c r="J18" s="25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>
      <c r="A19" s="20"/>
      <c r="B19" s="20"/>
      <c r="C19" s="20"/>
      <c r="D19" s="21"/>
      <c r="E19" s="22"/>
      <c r="F19" s="22"/>
      <c r="G19" s="22"/>
      <c r="H19" s="21"/>
      <c r="I19" s="20"/>
      <c r="J19" s="21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5.75" customHeight="1">
      <c r="A20" s="15"/>
      <c r="B20" s="15"/>
      <c r="C20" s="15"/>
      <c r="D20" s="16"/>
      <c r="E20" s="17"/>
      <c r="F20" s="18"/>
      <c r="G20" s="19"/>
      <c r="H20" s="16"/>
      <c r="I20" s="15"/>
      <c r="J20" s="16"/>
    </row>
    <row r="21" spans="1:26" ht="15.75" customHeight="1">
      <c r="A21" s="15"/>
      <c r="B21" s="15"/>
      <c r="C21" s="15"/>
      <c r="D21" s="16"/>
      <c r="E21" s="17"/>
      <c r="F21" s="18"/>
      <c r="G21" s="19"/>
      <c r="H21" s="16"/>
      <c r="I21" s="15"/>
      <c r="J21" s="16"/>
    </row>
    <row r="22" spans="1:26" ht="15.75" customHeight="1">
      <c r="A22" s="20"/>
      <c r="B22" s="20"/>
      <c r="C22" s="20"/>
      <c r="D22" s="21"/>
      <c r="E22" s="22"/>
      <c r="F22" s="22"/>
      <c r="G22" s="22"/>
      <c r="H22" s="21"/>
      <c r="I22" s="20"/>
      <c r="J22" s="21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4.4">
      <c r="A23" s="24"/>
      <c r="B23" s="24"/>
      <c r="C23" s="24"/>
      <c r="D23" s="25"/>
      <c r="E23" s="19"/>
      <c r="F23" s="18"/>
      <c r="G23" s="19"/>
      <c r="H23" s="25"/>
      <c r="I23" s="24"/>
      <c r="J23" s="25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4.4">
      <c r="A24" s="15"/>
      <c r="B24" s="15"/>
      <c r="C24" s="15"/>
      <c r="D24" s="16"/>
      <c r="E24" s="17"/>
      <c r="F24" s="18"/>
      <c r="G24" s="19"/>
      <c r="H24" s="16"/>
      <c r="I24" s="15"/>
      <c r="J24" s="16"/>
    </row>
    <row r="25" spans="1:26" ht="14.4">
      <c r="A25" s="24"/>
      <c r="B25" s="24"/>
      <c r="C25" s="24"/>
      <c r="D25" s="25"/>
      <c r="E25" s="19"/>
      <c r="F25" s="18"/>
      <c r="G25" s="19"/>
      <c r="H25" s="25"/>
      <c r="I25" s="24"/>
      <c r="J25" s="25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4.4">
      <c r="A26" s="20"/>
      <c r="B26" s="20"/>
      <c r="C26" s="20"/>
      <c r="D26" s="21"/>
      <c r="E26" s="22"/>
      <c r="F26" s="27"/>
      <c r="G26" s="22"/>
      <c r="H26" s="21"/>
      <c r="I26" s="20"/>
      <c r="J26" s="21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4.4">
      <c r="A27" s="15"/>
      <c r="B27" s="15"/>
      <c r="C27" s="15"/>
      <c r="D27" s="16"/>
      <c r="E27" s="17"/>
      <c r="F27" s="18"/>
      <c r="G27" s="19"/>
      <c r="H27" s="16"/>
      <c r="I27" s="15"/>
      <c r="J27" s="16"/>
    </row>
    <row r="28" spans="1:26" ht="14.4">
      <c r="A28" s="24"/>
      <c r="B28" s="24"/>
      <c r="C28" s="24"/>
      <c r="D28" s="25"/>
      <c r="E28" s="19"/>
      <c r="F28" s="18"/>
      <c r="G28" s="19"/>
      <c r="H28" s="25"/>
      <c r="I28" s="24"/>
      <c r="J28" s="25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4.4">
      <c r="A29" s="15"/>
      <c r="B29" s="15"/>
      <c r="C29" s="15"/>
      <c r="D29" s="16"/>
      <c r="E29" s="17"/>
      <c r="F29" s="18"/>
      <c r="G29" s="19"/>
      <c r="H29" s="16"/>
      <c r="I29" s="15"/>
      <c r="J29" s="16"/>
    </row>
    <row r="30" spans="1:26" ht="14.4">
      <c r="A30" s="15"/>
      <c r="B30" s="15"/>
      <c r="C30" s="15"/>
      <c r="D30" s="16"/>
      <c r="E30" s="17"/>
      <c r="F30" s="18"/>
      <c r="G30" s="19"/>
      <c r="H30" s="16"/>
      <c r="I30" s="15"/>
      <c r="J30" s="16"/>
    </row>
    <row r="31" spans="1:26" ht="14.4">
      <c r="A31" s="15"/>
      <c r="B31" s="15"/>
      <c r="C31" s="15"/>
      <c r="D31" s="16"/>
      <c r="E31" s="17"/>
      <c r="F31" s="18"/>
      <c r="G31" s="19"/>
      <c r="H31" s="16"/>
      <c r="I31" s="15"/>
      <c r="J31" s="16"/>
    </row>
    <row r="32" spans="1:26" ht="14.4">
      <c r="A32" s="15"/>
      <c r="B32" s="15"/>
      <c r="C32" s="15"/>
      <c r="D32" s="16"/>
      <c r="E32" s="17"/>
      <c r="F32" s="18"/>
      <c r="G32" s="19"/>
      <c r="H32" s="16"/>
      <c r="I32" s="15"/>
      <c r="J32" s="16"/>
    </row>
    <row r="33" spans="1:26" ht="14.4">
      <c r="A33" s="15"/>
      <c r="B33" s="15"/>
      <c r="C33" s="15"/>
      <c r="D33" s="16"/>
      <c r="E33" s="17"/>
      <c r="F33" s="18"/>
      <c r="G33" s="19"/>
      <c r="H33" s="16"/>
      <c r="I33" s="15"/>
      <c r="J33" s="16"/>
    </row>
    <row r="34" spans="1:26" ht="14.4">
      <c r="A34" s="20"/>
      <c r="B34" s="20"/>
      <c r="C34" s="20"/>
      <c r="D34" s="21"/>
      <c r="E34" s="22"/>
      <c r="F34" s="22"/>
      <c r="G34" s="22"/>
      <c r="H34" s="21"/>
      <c r="I34" s="20"/>
      <c r="J34" s="21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4.4">
      <c r="A35" s="20"/>
      <c r="B35" s="20"/>
      <c r="C35" s="20"/>
      <c r="D35" s="21"/>
      <c r="E35" s="22"/>
      <c r="F35" s="22"/>
      <c r="G35" s="22"/>
      <c r="H35" s="21"/>
      <c r="I35" s="20"/>
      <c r="J35" s="21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4.4">
      <c r="A36" s="15"/>
      <c r="B36" s="15"/>
      <c r="C36" s="15"/>
      <c r="D36" s="16"/>
      <c r="E36" s="17"/>
      <c r="F36" s="18"/>
      <c r="G36" s="19"/>
      <c r="H36" s="16"/>
      <c r="I36" s="15"/>
      <c r="J36" s="16"/>
    </row>
    <row r="37" spans="1:26" ht="14.4">
      <c r="A37" s="15"/>
      <c r="B37" s="15"/>
      <c r="C37" s="15"/>
      <c r="D37" s="16"/>
      <c r="E37" s="17"/>
      <c r="F37" s="18"/>
      <c r="G37" s="19"/>
      <c r="H37" s="16"/>
      <c r="I37" s="15"/>
      <c r="J37" s="16"/>
    </row>
    <row r="38" spans="1:26" ht="14.4">
      <c r="A38" s="15"/>
      <c r="B38" s="15"/>
      <c r="C38" s="15"/>
      <c r="D38" s="16"/>
      <c r="E38" s="17"/>
      <c r="F38" s="18"/>
      <c r="G38" s="19"/>
      <c r="H38" s="16"/>
      <c r="I38" s="15"/>
      <c r="J38" s="16"/>
    </row>
    <row r="39" spans="1:26" ht="14.4">
      <c r="A39" s="20"/>
      <c r="B39" s="20"/>
      <c r="C39" s="20"/>
      <c r="D39" s="21"/>
      <c r="E39" s="22"/>
      <c r="F39" s="22"/>
      <c r="G39" s="22"/>
      <c r="H39" s="21"/>
      <c r="I39" s="20"/>
      <c r="J39" s="21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4.4">
      <c r="A40" s="24"/>
      <c r="B40" s="24"/>
      <c r="C40" s="24"/>
      <c r="D40" s="25"/>
      <c r="E40" s="19"/>
      <c r="F40" s="18"/>
      <c r="G40" s="19"/>
      <c r="H40" s="25"/>
      <c r="I40" s="24"/>
      <c r="J40" s="25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4.4">
      <c r="A41" s="15"/>
      <c r="B41" s="15"/>
      <c r="C41" s="15"/>
      <c r="D41" s="16"/>
      <c r="E41" s="17"/>
      <c r="F41" s="18"/>
      <c r="G41" s="19"/>
      <c r="H41" s="16"/>
      <c r="I41" s="15"/>
      <c r="J41" s="16"/>
    </row>
    <row r="42" spans="1:26" ht="14.4">
      <c r="A42" s="20"/>
      <c r="B42" s="20"/>
      <c r="C42" s="20"/>
      <c r="D42" s="21"/>
      <c r="E42" s="22"/>
      <c r="F42" s="22"/>
      <c r="G42" s="22"/>
      <c r="H42" s="21"/>
      <c r="I42" s="20"/>
      <c r="J42" s="21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4.4">
      <c r="A43" s="24"/>
      <c r="B43" s="24"/>
      <c r="C43" s="24"/>
      <c r="D43" s="25"/>
      <c r="E43" s="19"/>
      <c r="F43" s="18"/>
      <c r="G43" s="19"/>
      <c r="H43" s="25"/>
      <c r="I43" s="24"/>
      <c r="J43" s="25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4.4">
      <c r="A44" s="24"/>
      <c r="B44" s="24"/>
      <c r="C44" s="24"/>
      <c r="D44" s="25"/>
      <c r="E44" s="19"/>
      <c r="F44" s="18"/>
      <c r="G44" s="19"/>
      <c r="H44" s="25"/>
      <c r="I44" s="24"/>
      <c r="J44" s="25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4.4">
      <c r="A45" s="24"/>
      <c r="B45" s="24"/>
      <c r="C45" s="24"/>
      <c r="D45" s="25"/>
      <c r="E45" s="19"/>
      <c r="F45" s="18"/>
      <c r="G45" s="19"/>
      <c r="H45" s="25"/>
      <c r="I45" s="24"/>
      <c r="J45" s="25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4.4">
      <c r="A46" s="24"/>
      <c r="B46" s="24"/>
      <c r="C46" s="24"/>
      <c r="D46" s="25"/>
      <c r="E46" s="19"/>
      <c r="F46" s="18"/>
      <c r="G46" s="19"/>
      <c r="H46" s="25"/>
      <c r="I46" s="24"/>
      <c r="J46" s="25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4.4">
      <c r="A47" s="24"/>
      <c r="B47" s="24"/>
      <c r="C47" s="24"/>
      <c r="D47" s="25"/>
      <c r="E47" s="19"/>
      <c r="F47" s="18"/>
      <c r="G47" s="19"/>
      <c r="H47" s="25"/>
      <c r="I47" s="24"/>
      <c r="J47" s="25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4.4">
      <c r="A48" s="15"/>
      <c r="B48" s="15"/>
      <c r="C48" s="15"/>
      <c r="D48" s="16"/>
      <c r="E48" s="17"/>
      <c r="F48" s="18"/>
      <c r="G48" s="19"/>
      <c r="H48" s="16"/>
      <c r="I48" s="15"/>
      <c r="J48" s="16"/>
    </row>
    <row r="49" spans="1:26" ht="14.4">
      <c r="A49" s="15"/>
      <c r="B49" s="15"/>
      <c r="C49" s="15"/>
      <c r="D49" s="16"/>
      <c r="E49" s="17"/>
      <c r="F49" s="18"/>
      <c r="G49" s="19"/>
      <c r="H49" s="16"/>
      <c r="I49" s="15"/>
      <c r="J49" s="16"/>
    </row>
    <row r="50" spans="1:26" ht="14.4">
      <c r="A50" s="15"/>
      <c r="B50" s="15"/>
      <c r="C50" s="15"/>
      <c r="D50" s="16"/>
      <c r="E50" s="17"/>
      <c r="F50" s="18"/>
      <c r="G50" s="19"/>
      <c r="H50" s="16"/>
      <c r="I50" s="15"/>
      <c r="J50" s="16"/>
    </row>
    <row r="51" spans="1:26" ht="14.4">
      <c r="A51" s="15"/>
      <c r="B51" s="15"/>
      <c r="C51" s="15"/>
      <c r="D51" s="16"/>
      <c r="E51" s="17"/>
      <c r="F51" s="18"/>
      <c r="G51" s="19"/>
      <c r="H51" s="16"/>
      <c r="I51" s="15"/>
      <c r="J51" s="16"/>
    </row>
    <row r="52" spans="1:26" ht="14.4">
      <c r="A52" s="24"/>
      <c r="B52" s="24"/>
      <c r="C52" s="24"/>
      <c r="D52" s="25"/>
      <c r="E52" s="19"/>
      <c r="F52" s="18"/>
      <c r="G52" s="19"/>
      <c r="H52" s="25"/>
      <c r="I52" s="24"/>
      <c r="J52" s="25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4.4">
      <c r="A53" s="15"/>
      <c r="B53" s="15"/>
      <c r="C53" s="15"/>
      <c r="D53" s="16"/>
      <c r="E53" s="17"/>
      <c r="F53" s="28"/>
      <c r="G53" s="17"/>
      <c r="H53" s="16"/>
      <c r="I53" s="15"/>
      <c r="J53" s="16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14.4">
      <c r="A54" s="15"/>
      <c r="B54" s="15"/>
      <c r="C54" s="15"/>
      <c r="D54" s="16"/>
      <c r="E54" s="17"/>
      <c r="F54" s="18"/>
      <c r="G54" s="19"/>
      <c r="H54" s="16"/>
      <c r="I54" s="15"/>
      <c r="J54" s="16"/>
    </row>
    <row r="55" spans="1:26" ht="14.4">
      <c r="A55" s="24"/>
      <c r="B55" s="24"/>
      <c r="C55" s="24"/>
      <c r="D55" s="25"/>
      <c r="E55" s="19"/>
      <c r="F55" s="18"/>
      <c r="G55" s="19"/>
      <c r="H55" s="25"/>
      <c r="I55" s="24"/>
      <c r="J55" s="25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4.4">
      <c r="A56" s="15"/>
      <c r="B56" s="15"/>
      <c r="C56" s="15"/>
      <c r="D56" s="16"/>
      <c r="E56" s="17"/>
      <c r="F56" s="18"/>
      <c r="G56" s="19"/>
      <c r="H56" s="16"/>
      <c r="I56" s="15"/>
      <c r="J56" s="16"/>
    </row>
    <row r="57" spans="1:26" ht="14.4">
      <c r="A57" s="15"/>
      <c r="B57" s="15"/>
      <c r="C57" s="15"/>
      <c r="D57" s="16"/>
      <c r="E57" s="17"/>
      <c r="F57" s="18"/>
      <c r="G57" s="19"/>
      <c r="H57" s="16"/>
      <c r="I57" s="15"/>
      <c r="J57" s="16"/>
    </row>
    <row r="58" spans="1:26" ht="14.4">
      <c r="A58" s="15"/>
      <c r="B58" s="15"/>
      <c r="C58" s="15"/>
      <c r="D58" s="16"/>
      <c r="E58" s="17"/>
      <c r="F58" s="18"/>
      <c r="G58" s="19"/>
      <c r="H58" s="16"/>
      <c r="I58" s="15"/>
      <c r="J58" s="16"/>
    </row>
    <row r="59" spans="1:26" ht="14.4">
      <c r="A59" s="15"/>
      <c r="B59" s="15"/>
      <c r="C59" s="15"/>
      <c r="D59" s="16"/>
      <c r="E59" s="17"/>
      <c r="F59" s="18"/>
      <c r="G59" s="19"/>
      <c r="H59" s="16"/>
      <c r="I59" s="15"/>
      <c r="J59" s="16"/>
    </row>
    <row r="60" spans="1:26" ht="14.4">
      <c r="A60" s="15"/>
      <c r="B60" s="15"/>
      <c r="C60" s="15"/>
      <c r="D60" s="16"/>
      <c r="E60" s="17"/>
      <c r="F60" s="18"/>
      <c r="G60" s="19"/>
      <c r="H60" s="16"/>
      <c r="I60" s="15"/>
      <c r="J60" s="16"/>
    </row>
    <row r="61" spans="1:26" ht="14.4">
      <c r="A61" s="15"/>
      <c r="B61" s="15"/>
      <c r="C61" s="15"/>
      <c r="D61" s="16"/>
      <c r="E61" s="17"/>
      <c r="F61" s="18"/>
      <c r="G61" s="19"/>
      <c r="H61" s="16"/>
      <c r="I61" s="15"/>
      <c r="J61" s="16"/>
    </row>
    <row r="62" spans="1:26" ht="14.4">
      <c r="A62" s="20"/>
      <c r="B62" s="20"/>
      <c r="C62" s="20"/>
      <c r="D62" s="21"/>
      <c r="E62" s="22"/>
      <c r="F62" s="22"/>
      <c r="G62" s="22"/>
      <c r="H62" s="21"/>
      <c r="I62" s="20"/>
      <c r="J62" s="21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4.4">
      <c r="A63" s="15"/>
      <c r="B63" s="15"/>
      <c r="C63" s="15"/>
      <c r="D63" s="16"/>
      <c r="E63" s="17"/>
      <c r="F63" s="18"/>
      <c r="G63" s="19"/>
      <c r="H63" s="16"/>
      <c r="I63" s="15"/>
      <c r="J63" s="16"/>
    </row>
    <row r="64" spans="1:26" ht="14.4">
      <c r="A64" s="20"/>
      <c r="B64" s="20"/>
      <c r="C64" s="20"/>
      <c r="D64" s="21"/>
      <c r="E64" s="22"/>
      <c r="F64" s="22"/>
      <c r="G64" s="22"/>
      <c r="H64" s="21"/>
      <c r="I64" s="20"/>
      <c r="J64" s="21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4.4">
      <c r="A65" s="15"/>
      <c r="B65" s="15"/>
      <c r="C65" s="15"/>
      <c r="D65" s="16"/>
      <c r="E65" s="17"/>
      <c r="F65" s="18"/>
      <c r="G65" s="19"/>
      <c r="H65" s="16"/>
      <c r="I65" s="15"/>
      <c r="J65" s="16"/>
    </row>
    <row r="66" spans="1:26" ht="14.4">
      <c r="A66" s="15"/>
      <c r="B66" s="15"/>
      <c r="C66" s="15"/>
      <c r="D66" s="16"/>
      <c r="E66" s="17"/>
      <c r="F66" s="18"/>
      <c r="G66" s="19"/>
      <c r="H66" s="16"/>
      <c r="I66" s="15"/>
      <c r="J66" s="16"/>
    </row>
    <row r="67" spans="1:26" ht="14.4">
      <c r="A67" s="15"/>
      <c r="B67" s="15"/>
      <c r="C67" s="15"/>
      <c r="D67" s="16"/>
      <c r="E67" s="17"/>
      <c r="F67" s="18"/>
      <c r="G67" s="19"/>
      <c r="H67" s="16"/>
      <c r="I67" s="15"/>
      <c r="J67" s="16"/>
    </row>
    <row r="68" spans="1:26" ht="14.4">
      <c r="A68" s="15"/>
      <c r="B68" s="15"/>
      <c r="C68" s="15"/>
      <c r="D68" s="16"/>
      <c r="E68" s="17"/>
      <c r="F68" s="18"/>
      <c r="G68" s="19"/>
      <c r="H68" s="16"/>
      <c r="I68" s="15"/>
      <c r="J68" s="16"/>
    </row>
    <row r="69" spans="1:26" ht="14.4">
      <c r="A69" s="15"/>
      <c r="B69" s="15"/>
      <c r="C69" s="15"/>
      <c r="D69" s="16"/>
      <c r="E69" s="17"/>
      <c r="F69" s="18"/>
      <c r="G69" s="19"/>
      <c r="H69" s="16"/>
      <c r="I69" s="15"/>
      <c r="J69" s="16"/>
    </row>
    <row r="70" spans="1:26" ht="14.4">
      <c r="A70" s="20"/>
      <c r="B70" s="20"/>
      <c r="C70" s="20"/>
      <c r="D70" s="21"/>
      <c r="E70" s="22"/>
      <c r="F70" s="22"/>
      <c r="G70" s="22"/>
      <c r="H70" s="21"/>
      <c r="I70" s="20"/>
      <c r="J70" s="21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4.4">
      <c r="A71" s="15"/>
      <c r="B71" s="15"/>
      <c r="C71" s="15"/>
      <c r="D71" s="16"/>
      <c r="E71" s="17"/>
      <c r="F71" s="18"/>
      <c r="G71" s="19"/>
      <c r="H71" s="16"/>
      <c r="I71" s="15"/>
      <c r="J71" s="16"/>
    </row>
    <row r="72" spans="1:26" ht="14.4">
      <c r="A72" s="15"/>
      <c r="B72" s="15"/>
      <c r="C72" s="15"/>
      <c r="D72" s="16"/>
      <c r="E72" s="17"/>
      <c r="F72" s="18"/>
      <c r="G72" s="19"/>
      <c r="H72" s="16"/>
      <c r="I72" s="15"/>
      <c r="J72" s="16"/>
    </row>
    <row r="74" spans="1:26" ht="15.6">
      <c r="D74" s="30" t="s">
        <v>18</v>
      </c>
      <c r="E74" s="31">
        <f>SUM(E2:E72)</f>
        <v>0</v>
      </c>
      <c r="F74" s="32">
        <f>SUM(F2:F72)</f>
        <v>0</v>
      </c>
      <c r="G74" s="33">
        <f>SUM(G2:G72)</f>
        <v>0</v>
      </c>
    </row>
    <row r="76" spans="1:26" ht="14.4">
      <c r="D76" s="16"/>
      <c r="E76" s="34" t="s">
        <v>19</v>
      </c>
      <c r="F76" s="34" t="s">
        <v>20</v>
      </c>
    </row>
    <row r="77" spans="1:26" ht="14.4">
      <c r="D77" s="16" t="s">
        <v>21</v>
      </c>
      <c r="E77" s="35"/>
      <c r="F77" s="17"/>
    </row>
    <row r="78" spans="1:26" ht="14.4">
      <c r="D78" s="25" t="s">
        <v>22</v>
      </c>
      <c r="E78" s="36"/>
      <c r="F78" s="19"/>
    </row>
    <row r="79" spans="1:26" ht="14.4">
      <c r="D79" s="37" t="s">
        <v>23</v>
      </c>
      <c r="E79" s="38"/>
      <c r="F79" s="39"/>
    </row>
    <row r="80" spans="1:26" ht="14.4">
      <c r="D80" s="21" t="s">
        <v>24</v>
      </c>
      <c r="E80" s="40"/>
      <c r="F80" s="22"/>
      <c r="G80" s="41"/>
      <c r="H80" s="4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81"/>
  <sheetViews>
    <sheetView workbookViewId="0">
      <pane ySplit="1" topLeftCell="A66" activePane="bottomLeft" state="frozen"/>
      <selection pane="bottomLeft" sqref="A1:XFD1"/>
    </sheetView>
  </sheetViews>
  <sheetFormatPr defaultColWidth="12.5546875" defaultRowHeight="15.75" customHeight="1"/>
  <cols>
    <col min="4" max="4" width="26.44140625" customWidth="1"/>
    <col min="8" max="8" width="51.88671875" customWidth="1"/>
    <col min="10" max="10" width="52.44140625" customWidth="1"/>
  </cols>
  <sheetData>
    <row r="1" spans="1:27" s="756" customFormat="1" ht="29.4" thickBot="1">
      <c r="A1" s="757" t="s">
        <v>10</v>
      </c>
      <c r="B1" s="767" t="s">
        <v>11</v>
      </c>
      <c r="C1" s="763" t="s">
        <v>12</v>
      </c>
      <c r="D1" s="764" t="s">
        <v>13</v>
      </c>
      <c r="E1" s="764" t="s">
        <v>14</v>
      </c>
      <c r="F1" s="765" t="s">
        <v>15</v>
      </c>
      <c r="G1" s="766" t="s">
        <v>16</v>
      </c>
      <c r="H1" s="764" t="s">
        <v>532</v>
      </c>
      <c r="I1" s="762" t="s">
        <v>17</v>
      </c>
      <c r="J1" s="755"/>
      <c r="K1" s="755"/>
      <c r="L1" s="755"/>
      <c r="M1" s="755"/>
      <c r="N1" s="755"/>
      <c r="O1" s="755"/>
      <c r="P1" s="755"/>
      <c r="Q1" s="755"/>
      <c r="R1" s="755"/>
      <c r="S1" s="755"/>
      <c r="T1" s="755"/>
      <c r="U1" s="755"/>
      <c r="V1" s="755"/>
      <c r="W1" s="755"/>
      <c r="X1" s="755"/>
      <c r="Y1" s="755"/>
      <c r="Z1" s="755"/>
      <c r="AA1" s="755"/>
    </row>
    <row r="2" spans="1:27" ht="15.75" customHeight="1">
      <c r="A2" s="15"/>
      <c r="B2" s="15"/>
      <c r="C2" s="15"/>
      <c r="D2" s="16"/>
      <c r="E2" s="17"/>
      <c r="F2" s="18"/>
      <c r="G2" s="19"/>
      <c r="H2" s="16"/>
      <c r="I2" s="15"/>
      <c r="J2" s="16"/>
    </row>
    <row r="3" spans="1:27" ht="15.75" customHeight="1">
      <c r="A3" s="15"/>
      <c r="B3" s="15"/>
      <c r="C3" s="15"/>
      <c r="D3" s="16"/>
      <c r="E3" s="17"/>
      <c r="F3" s="18"/>
      <c r="G3" s="19"/>
      <c r="H3" s="16"/>
      <c r="I3" s="15"/>
      <c r="J3" s="16"/>
    </row>
    <row r="4" spans="1:27" ht="15.75" customHeight="1">
      <c r="A4" s="15"/>
      <c r="B4" s="15"/>
      <c r="C4" s="15"/>
      <c r="D4" s="16"/>
      <c r="E4" s="17"/>
      <c r="F4" s="18"/>
      <c r="G4" s="19"/>
      <c r="H4" s="16"/>
      <c r="I4" s="15"/>
      <c r="J4" s="16"/>
    </row>
    <row r="5" spans="1:27" ht="15.75" customHeight="1">
      <c r="A5" s="15"/>
      <c r="B5" s="15"/>
      <c r="C5" s="15"/>
      <c r="D5" s="16"/>
      <c r="E5" s="17"/>
      <c r="F5" s="18"/>
      <c r="G5" s="19"/>
      <c r="H5" s="16"/>
      <c r="I5" s="15"/>
      <c r="J5" s="16"/>
    </row>
    <row r="6" spans="1:27" ht="15.75" customHeight="1">
      <c r="A6" s="24"/>
      <c r="B6" s="24"/>
      <c r="C6" s="24"/>
      <c r="D6" s="25"/>
      <c r="E6" s="19"/>
      <c r="F6" s="18"/>
      <c r="G6" s="19"/>
      <c r="H6" s="25"/>
      <c r="I6" s="24"/>
      <c r="J6" s="25"/>
    </row>
    <row r="7" spans="1:27" ht="15.75" customHeight="1">
      <c r="A7" s="24"/>
      <c r="B7" s="24"/>
      <c r="C7" s="24"/>
      <c r="D7" s="25"/>
      <c r="E7" s="19"/>
      <c r="F7" s="18"/>
      <c r="G7" s="19"/>
      <c r="H7" s="25"/>
      <c r="I7" s="24"/>
      <c r="J7" s="25"/>
    </row>
    <row r="8" spans="1:27" ht="15.75" customHeight="1">
      <c r="A8" s="20"/>
      <c r="B8" s="20"/>
      <c r="C8" s="20"/>
      <c r="D8" s="21"/>
      <c r="E8" s="22"/>
      <c r="F8" s="22"/>
      <c r="G8" s="22"/>
      <c r="H8" s="21"/>
      <c r="I8" s="20"/>
      <c r="J8" s="21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7" ht="15.75" customHeight="1">
      <c r="A9" s="15"/>
      <c r="B9" s="15"/>
      <c r="C9" s="15"/>
      <c r="D9" s="16"/>
      <c r="E9" s="17"/>
      <c r="F9" s="22"/>
      <c r="G9" s="19"/>
      <c r="H9" s="16"/>
      <c r="I9" s="15"/>
      <c r="J9" s="16"/>
    </row>
    <row r="10" spans="1:27" ht="15.75" customHeight="1">
      <c r="A10" s="24"/>
      <c r="B10" s="24"/>
      <c r="C10" s="24"/>
      <c r="D10" s="25"/>
      <c r="E10" s="19"/>
      <c r="F10" s="22"/>
      <c r="G10" s="19"/>
      <c r="H10" s="25"/>
      <c r="I10" s="24"/>
      <c r="J10" s="25"/>
    </row>
    <row r="11" spans="1:27" ht="15.75" customHeight="1">
      <c r="A11" s="15"/>
      <c r="B11" s="15"/>
      <c r="C11" s="15"/>
      <c r="D11" s="16"/>
      <c r="E11" s="17"/>
      <c r="F11" s="22"/>
      <c r="G11" s="19"/>
      <c r="H11" s="16"/>
      <c r="I11" s="15"/>
      <c r="J11" s="16"/>
    </row>
    <row r="12" spans="1:27" ht="15.75" customHeight="1">
      <c r="A12" s="24"/>
      <c r="B12" s="24"/>
      <c r="C12" s="24"/>
      <c r="D12" s="25"/>
      <c r="E12" s="19"/>
      <c r="F12" s="22"/>
      <c r="G12" s="19"/>
      <c r="H12" s="25"/>
      <c r="I12" s="24"/>
      <c r="J12" s="25"/>
    </row>
    <row r="13" spans="1:27" ht="15.75" customHeight="1">
      <c r="A13" s="15"/>
      <c r="B13" s="15"/>
      <c r="C13" s="15"/>
      <c r="D13" s="16"/>
      <c r="E13" s="17"/>
      <c r="F13" s="22"/>
      <c r="G13" s="19"/>
      <c r="H13" s="16"/>
      <c r="I13" s="15"/>
      <c r="J13" s="16"/>
    </row>
    <row r="14" spans="1:27" ht="15.75" customHeight="1">
      <c r="A14" s="20"/>
      <c r="B14" s="20"/>
      <c r="C14" s="20"/>
      <c r="D14" s="21"/>
      <c r="E14" s="22"/>
      <c r="F14" s="22"/>
      <c r="G14" s="22"/>
      <c r="H14" s="21"/>
      <c r="I14" s="20"/>
      <c r="J14" s="21"/>
    </row>
    <row r="15" spans="1:27" ht="15.75" customHeight="1">
      <c r="A15" s="20"/>
      <c r="B15" s="20"/>
      <c r="C15" s="20"/>
      <c r="D15" s="21"/>
      <c r="E15" s="22"/>
      <c r="F15" s="22"/>
      <c r="G15" s="22"/>
      <c r="H15" s="21"/>
      <c r="I15" s="20"/>
      <c r="J15" s="21"/>
    </row>
    <row r="16" spans="1:27" ht="15.75" customHeight="1">
      <c r="A16" s="20"/>
      <c r="B16" s="20"/>
      <c r="C16" s="20"/>
      <c r="D16" s="21"/>
      <c r="E16" s="22"/>
      <c r="F16" s="22"/>
      <c r="G16" s="22"/>
      <c r="H16" s="21"/>
      <c r="I16" s="20"/>
      <c r="J16" s="21"/>
    </row>
    <row r="17" spans="1:26" ht="15.75" customHeight="1">
      <c r="A17" s="20"/>
      <c r="B17" s="20"/>
      <c r="C17" s="20"/>
      <c r="D17" s="21"/>
      <c r="E17" s="22"/>
      <c r="F17" s="22"/>
      <c r="G17" s="19"/>
      <c r="H17" s="21"/>
      <c r="I17" s="43"/>
      <c r="J17" s="21"/>
    </row>
    <row r="18" spans="1:26" ht="15.75" customHeight="1">
      <c r="A18" s="15"/>
      <c r="B18" s="15"/>
      <c r="C18" s="15"/>
      <c r="D18" s="16"/>
      <c r="E18" s="17"/>
      <c r="F18" s="22"/>
      <c r="G18" s="19"/>
      <c r="H18" s="16"/>
      <c r="I18" s="44"/>
      <c r="J18" s="16"/>
    </row>
    <row r="19" spans="1:26" ht="15.75" customHeight="1">
      <c r="A19" s="24"/>
      <c r="B19" s="24"/>
      <c r="C19" s="24"/>
      <c r="D19" s="25"/>
      <c r="E19" s="19"/>
      <c r="F19" s="45"/>
      <c r="G19" s="19"/>
      <c r="H19" s="25"/>
      <c r="I19" s="46"/>
      <c r="J19" s="25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>
      <c r="A20" s="20"/>
      <c r="B20" s="20"/>
      <c r="C20" s="20"/>
      <c r="D20" s="21"/>
      <c r="E20" s="22"/>
      <c r="F20" s="22"/>
      <c r="G20" s="19"/>
      <c r="H20" s="21"/>
      <c r="I20" s="43"/>
      <c r="J20" s="21"/>
    </row>
    <row r="21" spans="1:26" ht="15.75" customHeight="1">
      <c r="A21" s="15"/>
      <c r="B21" s="15"/>
      <c r="C21" s="15"/>
      <c r="D21" s="16"/>
      <c r="E21" s="17"/>
      <c r="F21" s="47"/>
      <c r="G21" s="19"/>
      <c r="H21" s="16"/>
      <c r="I21" s="44"/>
      <c r="J21" s="16"/>
    </row>
    <row r="22" spans="1:26" ht="15.75" customHeight="1">
      <c r="A22" s="20"/>
      <c r="B22" s="20"/>
      <c r="C22" s="20"/>
      <c r="D22" s="21"/>
      <c r="E22" s="22"/>
      <c r="F22" s="22"/>
      <c r="G22" s="22"/>
      <c r="H22" s="21"/>
      <c r="I22" s="43"/>
      <c r="J22" s="21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5.75" customHeight="1">
      <c r="A23" s="15"/>
      <c r="B23" s="15"/>
      <c r="C23" s="15"/>
      <c r="D23" s="16"/>
      <c r="E23" s="17"/>
      <c r="F23" s="47"/>
      <c r="G23" s="19"/>
      <c r="H23" s="16"/>
      <c r="I23" s="44"/>
      <c r="J23" s="16"/>
    </row>
    <row r="24" spans="1:26" ht="15.75" customHeight="1">
      <c r="A24" s="20"/>
      <c r="B24" s="20"/>
      <c r="C24" s="20"/>
      <c r="D24" s="21"/>
      <c r="E24" s="22"/>
      <c r="F24" s="48"/>
      <c r="G24" s="22"/>
      <c r="H24" s="21"/>
      <c r="I24" s="43"/>
      <c r="J24" s="21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4.4">
      <c r="A25" s="15"/>
      <c r="B25" s="15"/>
      <c r="C25" s="15"/>
      <c r="D25" s="16"/>
      <c r="E25" s="17"/>
      <c r="F25" s="47"/>
      <c r="G25" s="19"/>
      <c r="H25" s="16"/>
      <c r="I25" s="44"/>
      <c r="J25" s="16"/>
    </row>
    <row r="26" spans="1:26" ht="14.4">
      <c r="A26" s="24"/>
      <c r="B26" s="24"/>
      <c r="C26" s="24"/>
      <c r="D26" s="25"/>
      <c r="E26" s="19"/>
      <c r="F26" s="49"/>
      <c r="G26" s="19"/>
      <c r="H26" s="25"/>
      <c r="I26" s="24"/>
      <c r="J26" s="25"/>
    </row>
    <row r="27" spans="1:26" ht="14.4">
      <c r="A27" s="20"/>
      <c r="B27" s="20"/>
      <c r="C27" s="20"/>
      <c r="D27" s="21"/>
      <c r="E27" s="22"/>
      <c r="F27" s="22"/>
      <c r="G27" s="22"/>
      <c r="H27" s="21"/>
      <c r="I27" s="43"/>
      <c r="J27" s="21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4.4">
      <c r="A28" s="15"/>
      <c r="B28" s="15"/>
      <c r="C28" s="15"/>
      <c r="D28" s="16"/>
      <c r="E28" s="17"/>
      <c r="F28" s="47"/>
      <c r="G28" s="19"/>
      <c r="H28" s="16"/>
      <c r="I28" s="44"/>
      <c r="J28" s="16"/>
    </row>
    <row r="29" spans="1:26" ht="14.4">
      <c r="A29" s="15"/>
      <c r="B29" s="15"/>
      <c r="C29" s="15"/>
      <c r="D29" s="16"/>
      <c r="E29" s="17"/>
      <c r="F29" s="47"/>
      <c r="G29" s="19"/>
      <c r="H29" s="16"/>
      <c r="I29" s="44"/>
      <c r="J29" s="16"/>
    </row>
    <row r="30" spans="1:26" ht="14.4">
      <c r="A30" s="15"/>
      <c r="B30" s="15"/>
      <c r="C30" s="15"/>
      <c r="D30" s="16"/>
      <c r="E30" s="17"/>
      <c r="F30" s="47"/>
      <c r="G30" s="19"/>
      <c r="H30" s="16"/>
      <c r="I30" s="44"/>
      <c r="J30" s="16"/>
    </row>
    <row r="31" spans="1:26" ht="14.4">
      <c r="A31" s="24"/>
      <c r="B31" s="24"/>
      <c r="C31" s="24"/>
      <c r="D31" s="25"/>
      <c r="E31" s="19"/>
      <c r="F31" s="49"/>
      <c r="G31" s="19"/>
      <c r="H31" s="25"/>
      <c r="I31" s="24"/>
      <c r="J31" s="25"/>
    </row>
    <row r="32" spans="1:26" ht="14.4">
      <c r="A32" s="20"/>
      <c r="B32" s="20"/>
      <c r="C32" s="20"/>
      <c r="D32" s="21"/>
      <c r="E32" s="22"/>
      <c r="F32" s="48"/>
      <c r="G32" s="22"/>
      <c r="H32" s="21"/>
      <c r="I32" s="43"/>
      <c r="J32" s="21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4.4">
      <c r="A33" s="24"/>
      <c r="B33" s="24"/>
      <c r="C33" s="24"/>
      <c r="D33" s="25"/>
      <c r="E33" s="19"/>
      <c r="F33" s="49"/>
      <c r="G33" s="19"/>
      <c r="H33" s="25"/>
      <c r="I33" s="46"/>
      <c r="J33" s="25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4.4">
      <c r="A34" s="15"/>
      <c r="B34" s="15"/>
      <c r="C34" s="15"/>
      <c r="D34" s="16"/>
      <c r="E34" s="17"/>
      <c r="F34" s="47"/>
      <c r="G34" s="19"/>
      <c r="H34" s="16"/>
      <c r="I34" s="44"/>
      <c r="J34" s="16"/>
    </row>
    <row r="35" spans="1:26" ht="14.4">
      <c r="A35" s="15"/>
      <c r="B35" s="15"/>
      <c r="C35" s="15"/>
      <c r="D35" s="16"/>
      <c r="E35" s="17"/>
      <c r="F35" s="47"/>
      <c r="G35" s="19"/>
      <c r="H35" s="16"/>
      <c r="I35" s="44"/>
      <c r="J35" s="16"/>
    </row>
    <row r="36" spans="1:26" ht="14.4">
      <c r="A36" s="15"/>
      <c r="B36" s="15"/>
      <c r="C36" s="15"/>
      <c r="D36" s="16"/>
      <c r="E36" s="17"/>
      <c r="F36" s="47"/>
      <c r="G36" s="19"/>
      <c r="H36" s="16"/>
      <c r="I36" s="44"/>
      <c r="J36" s="16"/>
    </row>
    <row r="37" spans="1:26" ht="14.4">
      <c r="A37" s="15"/>
      <c r="B37" s="15"/>
      <c r="C37" s="15"/>
      <c r="D37" s="16"/>
      <c r="E37" s="17"/>
      <c r="F37" s="47"/>
      <c r="G37" s="19"/>
      <c r="H37" s="16"/>
      <c r="I37" s="44"/>
      <c r="J37" s="16"/>
    </row>
    <row r="38" spans="1:26" ht="14.4">
      <c r="A38" s="15"/>
      <c r="B38" s="15"/>
      <c r="C38" s="15"/>
      <c r="D38" s="16"/>
      <c r="E38" s="17"/>
      <c r="F38" s="47"/>
      <c r="G38" s="19"/>
      <c r="H38" s="16"/>
      <c r="I38" s="44"/>
      <c r="J38" s="16"/>
    </row>
    <row r="39" spans="1:26" ht="14.4">
      <c r="A39" s="15"/>
      <c r="B39" s="15"/>
      <c r="C39" s="15"/>
      <c r="D39" s="16"/>
      <c r="E39" s="17"/>
      <c r="F39" s="47"/>
      <c r="G39" s="19"/>
      <c r="H39" s="16"/>
      <c r="I39" s="44"/>
      <c r="J39" s="16"/>
    </row>
    <row r="40" spans="1:26" ht="14.4">
      <c r="A40" s="20"/>
      <c r="B40" s="20"/>
      <c r="C40" s="20"/>
      <c r="D40" s="21"/>
      <c r="E40" s="22"/>
      <c r="F40" s="22"/>
      <c r="G40" s="22"/>
      <c r="H40" s="21"/>
      <c r="I40" s="43"/>
      <c r="J40" s="21"/>
    </row>
    <row r="41" spans="1:26" ht="14.4">
      <c r="A41" s="15"/>
      <c r="B41" s="15"/>
      <c r="C41" s="15"/>
      <c r="D41" s="16"/>
      <c r="E41" s="17"/>
      <c r="F41" s="47"/>
      <c r="G41" s="19"/>
      <c r="H41" s="16"/>
      <c r="I41" s="44"/>
      <c r="J41" s="16"/>
    </row>
    <row r="42" spans="1:26" ht="14.4">
      <c r="A42" s="20"/>
      <c r="B42" s="20"/>
      <c r="C42" s="20"/>
      <c r="D42" s="21"/>
      <c r="E42" s="22"/>
      <c r="F42" s="22"/>
      <c r="G42" s="22"/>
      <c r="H42" s="21"/>
      <c r="I42" s="43"/>
      <c r="J42" s="21"/>
    </row>
    <row r="43" spans="1:26" ht="14.4">
      <c r="A43" s="15"/>
      <c r="B43" s="15"/>
      <c r="C43" s="15"/>
      <c r="D43" s="16"/>
      <c r="E43" s="17"/>
      <c r="F43" s="47"/>
      <c r="G43" s="19"/>
      <c r="H43" s="16"/>
      <c r="I43" s="44"/>
      <c r="J43" s="16"/>
    </row>
    <row r="44" spans="1:26" ht="14.4">
      <c r="A44" s="15"/>
      <c r="B44" s="15"/>
      <c r="C44" s="15"/>
      <c r="D44" s="16"/>
      <c r="E44" s="17"/>
      <c r="F44" s="47"/>
      <c r="G44" s="19"/>
      <c r="H44" s="16"/>
      <c r="I44" s="44"/>
      <c r="J44" s="16"/>
    </row>
    <row r="45" spans="1:26" ht="14.4">
      <c r="A45" s="15"/>
      <c r="B45" s="15"/>
      <c r="C45" s="15"/>
      <c r="D45" s="16"/>
      <c r="E45" s="17"/>
      <c r="F45" s="47"/>
      <c r="G45" s="19"/>
      <c r="H45" s="16"/>
      <c r="I45" s="44"/>
      <c r="J45" s="16"/>
    </row>
    <row r="46" spans="1:26" ht="14.4">
      <c r="A46" s="15"/>
      <c r="B46" s="15"/>
      <c r="C46" s="15"/>
      <c r="D46" s="16"/>
      <c r="E46" s="17"/>
      <c r="F46" s="47"/>
      <c r="G46" s="19"/>
      <c r="H46" s="16"/>
      <c r="I46" s="44"/>
      <c r="J46" s="16"/>
    </row>
    <row r="47" spans="1:26" ht="14.4">
      <c r="A47" s="20"/>
      <c r="B47" s="20"/>
      <c r="C47" s="20"/>
      <c r="D47" s="21"/>
      <c r="E47" s="22"/>
      <c r="F47" s="22"/>
      <c r="G47" s="22"/>
      <c r="H47" s="21"/>
      <c r="I47" s="43"/>
      <c r="J47" s="21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4.4">
      <c r="A48" s="24"/>
      <c r="B48" s="24"/>
      <c r="C48" s="24"/>
      <c r="D48" s="25"/>
      <c r="E48" s="19"/>
      <c r="F48" s="49"/>
      <c r="G48" s="19"/>
      <c r="H48" s="25"/>
      <c r="I48" s="46"/>
      <c r="J48" s="25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4.4">
      <c r="A49" s="15"/>
      <c r="B49" s="15"/>
      <c r="C49" s="15"/>
      <c r="D49" s="16"/>
      <c r="E49" s="17"/>
      <c r="F49" s="47"/>
      <c r="G49" s="19"/>
      <c r="H49" s="16"/>
      <c r="I49" s="44"/>
      <c r="J49" s="16"/>
    </row>
    <row r="50" spans="1:26" ht="14.4">
      <c r="A50" s="24"/>
      <c r="B50" s="24"/>
      <c r="C50" s="24"/>
      <c r="D50" s="25"/>
      <c r="E50" s="19"/>
      <c r="F50" s="49"/>
      <c r="G50" s="19"/>
      <c r="H50" s="25"/>
      <c r="I50" s="46"/>
      <c r="J50" s="25"/>
    </row>
    <row r="51" spans="1:26" ht="14.4">
      <c r="A51" s="20"/>
      <c r="B51" s="20"/>
      <c r="C51" s="20"/>
      <c r="D51" s="21"/>
      <c r="E51" s="22"/>
      <c r="F51" s="22"/>
      <c r="G51" s="22"/>
      <c r="H51" s="21"/>
      <c r="I51" s="43"/>
      <c r="J51" s="21"/>
    </row>
    <row r="52" spans="1:26" ht="14.4">
      <c r="A52" s="20"/>
      <c r="B52" s="20"/>
      <c r="C52" s="20"/>
      <c r="D52" s="21"/>
      <c r="E52" s="22"/>
      <c r="F52" s="22"/>
      <c r="G52" s="22"/>
      <c r="H52" s="21"/>
      <c r="I52" s="43"/>
      <c r="J52" s="21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4.4">
      <c r="A53" s="15"/>
      <c r="B53" s="15"/>
      <c r="C53" s="15"/>
      <c r="D53" s="16"/>
      <c r="E53" s="17"/>
      <c r="F53" s="47"/>
      <c r="G53" s="19"/>
      <c r="H53" s="16"/>
      <c r="I53" s="44"/>
      <c r="J53" s="16"/>
    </row>
    <row r="54" spans="1:26" ht="14.4">
      <c r="A54" s="15"/>
      <c r="B54" s="15"/>
      <c r="C54" s="15"/>
      <c r="D54" s="16"/>
      <c r="E54" s="17"/>
      <c r="F54" s="47"/>
      <c r="G54" s="19"/>
      <c r="H54" s="16"/>
      <c r="I54" s="44"/>
      <c r="J54" s="16"/>
    </row>
    <row r="55" spans="1:26" ht="14.4">
      <c r="A55" s="15"/>
      <c r="B55" s="15"/>
      <c r="C55" s="15"/>
      <c r="D55" s="16"/>
      <c r="E55" s="17"/>
      <c r="F55" s="47"/>
      <c r="G55" s="19"/>
      <c r="H55" s="16"/>
      <c r="I55" s="44"/>
      <c r="J55" s="16"/>
    </row>
    <row r="56" spans="1:26" ht="14.4">
      <c r="A56" s="15"/>
      <c r="B56" s="15"/>
      <c r="C56" s="15"/>
      <c r="D56" s="16"/>
      <c r="E56" s="17"/>
      <c r="F56" s="47"/>
      <c r="G56" s="19"/>
      <c r="H56" s="16"/>
      <c r="I56" s="44"/>
      <c r="J56" s="16"/>
    </row>
    <row r="57" spans="1:26" ht="14.4">
      <c r="A57" s="20"/>
      <c r="B57" s="20"/>
      <c r="C57" s="20"/>
      <c r="D57" s="21"/>
      <c r="E57" s="22"/>
      <c r="F57" s="22"/>
      <c r="G57" s="22"/>
      <c r="H57" s="21"/>
      <c r="I57" s="43"/>
      <c r="J57" s="21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4.4">
      <c r="A58" s="20"/>
      <c r="B58" s="20"/>
      <c r="C58" s="20"/>
      <c r="D58" s="21"/>
      <c r="E58" s="22"/>
      <c r="F58" s="22"/>
      <c r="G58" s="22"/>
      <c r="H58" s="21"/>
      <c r="I58" s="43"/>
      <c r="J58" s="21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4.4">
      <c r="A59" s="15"/>
      <c r="B59" s="15"/>
      <c r="C59" s="15"/>
      <c r="D59" s="16"/>
      <c r="E59" s="17"/>
      <c r="F59" s="47"/>
      <c r="G59" s="19"/>
      <c r="H59" s="16"/>
      <c r="I59" s="44"/>
      <c r="J59" s="16"/>
    </row>
    <row r="60" spans="1:26" ht="14.4">
      <c r="A60" s="15"/>
      <c r="B60" s="15"/>
      <c r="C60" s="15"/>
      <c r="D60" s="16"/>
      <c r="E60" s="17"/>
      <c r="F60" s="47"/>
      <c r="G60" s="19"/>
      <c r="H60" s="16"/>
      <c r="I60" s="44"/>
      <c r="J60" s="16"/>
    </row>
    <row r="61" spans="1:26" ht="14.4">
      <c r="A61" s="15"/>
      <c r="B61" s="15"/>
      <c r="C61" s="15"/>
      <c r="D61" s="16"/>
      <c r="E61" s="17"/>
      <c r="F61" s="47"/>
      <c r="G61" s="19"/>
      <c r="H61" s="16"/>
      <c r="I61" s="44"/>
      <c r="J61" s="16"/>
    </row>
    <row r="62" spans="1:26" ht="14.4">
      <c r="A62" s="24"/>
      <c r="B62" s="24"/>
      <c r="C62" s="24"/>
      <c r="D62" s="25"/>
      <c r="E62" s="19"/>
      <c r="F62" s="49"/>
      <c r="G62" s="19"/>
      <c r="H62" s="25"/>
      <c r="I62" s="46"/>
      <c r="J62" s="25"/>
    </row>
    <row r="63" spans="1:26" ht="14.4">
      <c r="A63" s="15"/>
      <c r="B63" s="15"/>
      <c r="C63" s="15"/>
      <c r="D63" s="16"/>
      <c r="E63" s="17"/>
      <c r="F63" s="47"/>
      <c r="G63" s="19"/>
      <c r="H63" s="16"/>
      <c r="I63" s="44"/>
      <c r="J63" s="16"/>
    </row>
    <row r="64" spans="1:26" ht="14.4">
      <c r="A64" s="15"/>
      <c r="B64" s="15"/>
      <c r="C64" s="15"/>
      <c r="D64" s="16"/>
      <c r="E64" s="17"/>
      <c r="F64" s="47"/>
      <c r="G64" s="19"/>
      <c r="H64" s="16"/>
      <c r="I64" s="44"/>
      <c r="J64" s="16"/>
    </row>
    <row r="65" spans="1:26" ht="14.4">
      <c r="A65" s="20"/>
      <c r="B65" s="20"/>
      <c r="C65" s="20"/>
      <c r="D65" s="21"/>
      <c r="E65" s="22"/>
      <c r="F65" s="22"/>
      <c r="G65" s="22"/>
      <c r="H65" s="21"/>
      <c r="I65" s="43"/>
      <c r="J65" s="21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4.4">
      <c r="A66" s="15"/>
      <c r="B66" s="15"/>
      <c r="C66" s="15"/>
      <c r="D66" s="16"/>
      <c r="E66" s="17"/>
      <c r="F66" s="47"/>
      <c r="G66" s="19"/>
      <c r="H66" s="16"/>
      <c r="I66" s="44"/>
      <c r="J66" s="16"/>
    </row>
    <row r="67" spans="1:26" ht="14.4">
      <c r="A67" s="15"/>
      <c r="B67" s="15"/>
      <c r="C67" s="15"/>
      <c r="D67" s="16"/>
      <c r="E67" s="17"/>
      <c r="F67" s="47"/>
      <c r="G67" s="19"/>
      <c r="H67" s="16"/>
      <c r="I67" s="44"/>
      <c r="J67" s="16"/>
    </row>
    <row r="68" spans="1:26" ht="14.4">
      <c r="A68" s="15"/>
      <c r="B68" s="15"/>
      <c r="C68" s="15"/>
      <c r="D68" s="16"/>
      <c r="E68" s="17"/>
      <c r="F68" s="47"/>
      <c r="G68" s="19"/>
      <c r="H68" s="16"/>
      <c r="I68" s="44"/>
      <c r="J68" s="16"/>
    </row>
    <row r="69" spans="1:26" ht="14.4">
      <c r="A69" s="15"/>
      <c r="B69" s="15"/>
      <c r="C69" s="15"/>
      <c r="D69" s="16"/>
      <c r="E69" s="17"/>
      <c r="F69" s="47"/>
      <c r="G69" s="19"/>
      <c r="H69" s="16"/>
      <c r="I69" s="44"/>
      <c r="J69" s="16"/>
    </row>
    <row r="70" spans="1:26" ht="14.4">
      <c r="A70" s="15"/>
      <c r="B70" s="15"/>
      <c r="C70" s="15"/>
      <c r="D70" s="16"/>
      <c r="E70" s="17"/>
      <c r="F70" s="47"/>
      <c r="G70" s="19"/>
      <c r="H70" s="16"/>
      <c r="I70" s="44"/>
      <c r="J70" s="16"/>
    </row>
    <row r="71" spans="1:26" ht="14.4">
      <c r="A71" s="15"/>
      <c r="B71" s="15"/>
      <c r="C71" s="15"/>
      <c r="D71" s="16"/>
      <c r="E71" s="17"/>
      <c r="F71" s="47"/>
      <c r="G71" s="19"/>
      <c r="H71" s="16"/>
      <c r="I71" s="44"/>
      <c r="J71" s="16"/>
    </row>
    <row r="72" spans="1:26" ht="14.4">
      <c r="A72" s="15"/>
      <c r="B72" s="15"/>
      <c r="C72" s="15"/>
      <c r="D72" s="16"/>
      <c r="E72" s="17"/>
      <c r="F72" s="47"/>
      <c r="G72" s="19"/>
      <c r="H72" s="16"/>
      <c r="I72" s="44"/>
      <c r="J72" s="16"/>
    </row>
    <row r="73" spans="1:26" ht="14.4">
      <c r="A73" s="15"/>
      <c r="B73" s="15"/>
      <c r="C73" s="15"/>
      <c r="D73" s="16"/>
      <c r="E73" s="17"/>
      <c r="F73" s="47"/>
      <c r="G73" s="19"/>
      <c r="H73" s="16"/>
      <c r="I73" s="44"/>
      <c r="J73" s="16"/>
    </row>
    <row r="75" spans="1:26" ht="15.6">
      <c r="D75" s="30" t="s">
        <v>18</v>
      </c>
      <c r="E75" s="31">
        <f>SUM(E2:E73)</f>
        <v>0</v>
      </c>
      <c r="F75" s="32">
        <f>SUM(F2:F73)</f>
        <v>0</v>
      </c>
      <c r="G75" s="33">
        <f>SUM(G2:G73)</f>
        <v>0</v>
      </c>
    </row>
    <row r="77" spans="1:26" ht="14.4">
      <c r="D77" s="16"/>
      <c r="E77" s="34" t="s">
        <v>19</v>
      </c>
      <c r="F77" s="34" t="s">
        <v>20</v>
      </c>
    </row>
    <row r="78" spans="1:26" ht="14.4">
      <c r="D78" s="16" t="s">
        <v>21</v>
      </c>
      <c r="E78" s="35"/>
      <c r="F78" s="17"/>
    </row>
    <row r="79" spans="1:26" ht="14.4">
      <c r="D79" s="25" t="s">
        <v>22</v>
      </c>
      <c r="E79" s="36"/>
      <c r="F79" s="19"/>
    </row>
    <row r="80" spans="1:26" ht="14.4">
      <c r="D80" s="37" t="s">
        <v>23</v>
      </c>
      <c r="E80" s="38"/>
      <c r="F80" s="39"/>
    </row>
    <row r="81" spans="4:8" ht="14.4">
      <c r="D81" s="21" t="s">
        <v>24</v>
      </c>
      <c r="E81" s="40"/>
      <c r="F81" s="22"/>
      <c r="G81" s="41"/>
      <c r="H81" s="4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D1005"/>
  <sheetViews>
    <sheetView workbookViewId="0">
      <pane ySplit="1" topLeftCell="A70" activePane="bottomLeft" state="frozen"/>
      <selection pane="bottomLeft" sqref="A1:XFD1"/>
    </sheetView>
  </sheetViews>
  <sheetFormatPr defaultColWidth="12.5546875" defaultRowHeight="15.75" customHeight="1"/>
  <cols>
    <col min="1" max="1" width="12.44140625" customWidth="1"/>
    <col min="2" max="2" width="11.109375" customWidth="1"/>
    <col min="3" max="3" width="15" customWidth="1"/>
    <col min="4" max="4" width="27.6640625" customWidth="1"/>
    <col min="5" max="7" width="13.5546875" customWidth="1"/>
    <col min="8" max="8" width="60" customWidth="1"/>
    <col min="9" max="9" width="10.109375" customWidth="1"/>
    <col min="10" max="10" width="53.44140625" customWidth="1"/>
  </cols>
  <sheetData>
    <row r="1" spans="1:30" s="756" customFormat="1" ht="29.4" thickBot="1">
      <c r="A1" s="757" t="s">
        <v>10</v>
      </c>
      <c r="B1" s="767" t="s">
        <v>11</v>
      </c>
      <c r="C1" s="763" t="s">
        <v>12</v>
      </c>
      <c r="D1" s="764" t="s">
        <v>13</v>
      </c>
      <c r="E1" s="764" t="s">
        <v>14</v>
      </c>
      <c r="F1" s="765" t="s">
        <v>15</v>
      </c>
      <c r="G1" s="766" t="s">
        <v>16</v>
      </c>
      <c r="H1" s="764" t="s">
        <v>532</v>
      </c>
      <c r="I1" s="762" t="s">
        <v>17</v>
      </c>
      <c r="J1" s="755"/>
      <c r="K1" s="755"/>
      <c r="L1" s="755"/>
      <c r="M1" s="755"/>
      <c r="N1" s="755"/>
      <c r="O1" s="755"/>
      <c r="P1" s="755"/>
      <c r="Q1" s="755"/>
      <c r="R1" s="755"/>
      <c r="S1" s="755"/>
      <c r="T1" s="755"/>
      <c r="U1" s="755"/>
      <c r="V1" s="755"/>
      <c r="W1" s="755"/>
      <c r="X1" s="755"/>
      <c r="Y1" s="755"/>
      <c r="Z1" s="755"/>
      <c r="AA1" s="755"/>
    </row>
    <row r="2" spans="1:30" ht="15.75" customHeight="1">
      <c r="A2" s="15"/>
      <c r="B2" s="15"/>
      <c r="C2" s="15"/>
      <c r="D2" s="16"/>
      <c r="E2" s="17"/>
      <c r="F2" s="18"/>
      <c r="G2" s="18"/>
      <c r="H2" s="16"/>
      <c r="I2" s="15"/>
      <c r="J2" s="16"/>
    </row>
    <row r="3" spans="1:30" ht="15.75" customHeight="1">
      <c r="A3" s="15"/>
      <c r="B3" s="15"/>
      <c r="C3" s="15"/>
      <c r="D3" s="16"/>
      <c r="E3" s="17"/>
      <c r="F3" s="18"/>
      <c r="G3" s="18"/>
      <c r="H3" s="16"/>
      <c r="I3" s="15"/>
      <c r="J3" s="16"/>
    </row>
    <row r="4" spans="1:30" ht="15.75" customHeight="1">
      <c r="A4" s="24"/>
      <c r="B4" s="24"/>
      <c r="C4" s="24"/>
      <c r="D4" s="25"/>
      <c r="E4" s="19"/>
      <c r="F4" s="18"/>
      <c r="G4" s="19"/>
      <c r="H4" s="25"/>
      <c r="I4" s="24"/>
      <c r="J4" s="25"/>
    </row>
    <row r="5" spans="1:30" ht="15.75" customHeight="1">
      <c r="A5" s="15"/>
      <c r="B5" s="15"/>
      <c r="C5" s="15"/>
      <c r="D5" s="16"/>
      <c r="E5" s="17"/>
      <c r="F5" s="18"/>
      <c r="G5" s="18"/>
      <c r="H5" s="16"/>
      <c r="I5" s="15"/>
      <c r="J5" s="16"/>
    </row>
    <row r="6" spans="1:30" ht="15.75" customHeight="1">
      <c r="A6" s="20"/>
      <c r="B6" s="20"/>
      <c r="C6" s="20"/>
      <c r="D6" s="21"/>
      <c r="E6" s="22"/>
      <c r="F6" s="22"/>
      <c r="G6" s="50"/>
      <c r="H6" s="21"/>
      <c r="I6" s="20"/>
      <c r="J6" s="21"/>
    </row>
    <row r="7" spans="1:30" ht="15.75" customHeight="1">
      <c r="A7" s="15"/>
      <c r="B7" s="15"/>
      <c r="C7" s="15"/>
      <c r="D7" s="16"/>
      <c r="E7" s="17"/>
      <c r="F7" s="18"/>
      <c r="G7" s="18"/>
      <c r="H7" s="16"/>
      <c r="I7" s="15"/>
      <c r="J7" s="16"/>
    </row>
    <row r="8" spans="1:30" ht="15.75" customHeight="1">
      <c r="A8" s="24"/>
      <c r="B8" s="24"/>
      <c r="C8" s="24"/>
      <c r="D8" s="25"/>
      <c r="E8" s="19"/>
      <c r="F8" s="18"/>
      <c r="G8" s="19"/>
      <c r="H8" s="25"/>
      <c r="I8" s="24"/>
      <c r="J8" s="25"/>
    </row>
    <row r="9" spans="1:30" ht="15.75" customHeight="1">
      <c r="A9" s="24"/>
      <c r="B9" s="24"/>
      <c r="C9" s="24"/>
      <c r="D9" s="25"/>
      <c r="E9" s="19"/>
      <c r="F9" s="18"/>
      <c r="G9" s="19"/>
      <c r="H9" s="25"/>
      <c r="I9" s="24"/>
      <c r="J9" s="25"/>
    </row>
    <row r="10" spans="1:30" ht="15.75" customHeight="1">
      <c r="A10" s="20"/>
      <c r="B10" s="20"/>
      <c r="C10" s="20"/>
      <c r="D10" s="21"/>
      <c r="E10" s="22"/>
      <c r="F10" s="22"/>
      <c r="G10" s="50"/>
      <c r="H10" s="21"/>
      <c r="I10" s="20"/>
      <c r="J10" s="21"/>
    </row>
    <row r="11" spans="1:30" ht="15.75" customHeight="1">
      <c r="A11" s="20"/>
      <c r="B11" s="20"/>
      <c r="C11" s="20"/>
      <c r="D11" s="21"/>
      <c r="E11" s="22"/>
      <c r="F11" s="22"/>
      <c r="G11" s="50"/>
      <c r="H11" s="21"/>
      <c r="I11" s="20"/>
      <c r="J11" s="21"/>
    </row>
    <row r="12" spans="1:30" ht="15.75" customHeight="1">
      <c r="A12" s="24"/>
      <c r="B12" s="24"/>
      <c r="C12" s="24"/>
      <c r="D12" s="25"/>
      <c r="E12" s="19"/>
      <c r="F12" s="18"/>
      <c r="G12" s="19"/>
      <c r="H12" s="25"/>
      <c r="I12" s="24"/>
      <c r="J12" s="25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spans="1:30" ht="15.75" customHeight="1">
      <c r="A13" s="20"/>
      <c r="B13" s="20"/>
      <c r="C13" s="20"/>
      <c r="D13" s="21"/>
      <c r="E13" s="22"/>
      <c r="F13" s="22"/>
      <c r="G13" s="50"/>
      <c r="H13" s="21"/>
      <c r="I13" s="20"/>
      <c r="J13" s="21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ht="15.75" customHeight="1">
      <c r="A14" s="20"/>
      <c r="B14" s="20"/>
      <c r="C14" s="20"/>
      <c r="D14" s="21"/>
      <c r="E14" s="22"/>
      <c r="F14" s="22"/>
      <c r="G14" s="50"/>
      <c r="H14" s="21"/>
      <c r="I14" s="20"/>
      <c r="J14" s="21"/>
    </row>
    <row r="15" spans="1:30" ht="15.75" customHeight="1">
      <c r="A15" s="20"/>
      <c r="B15" s="20"/>
      <c r="C15" s="20"/>
      <c r="D15" s="21"/>
      <c r="E15" s="22"/>
      <c r="F15" s="22"/>
      <c r="G15" s="50"/>
      <c r="H15" s="21"/>
      <c r="I15" s="20"/>
      <c r="J15" s="21"/>
    </row>
    <row r="16" spans="1:30" ht="15.75" customHeight="1">
      <c r="A16" s="15"/>
      <c r="B16" s="15"/>
      <c r="C16" s="15"/>
      <c r="D16" s="16"/>
      <c r="E16" s="17"/>
      <c r="F16" s="18"/>
      <c r="G16" s="18"/>
      <c r="H16" s="16"/>
      <c r="I16" s="15"/>
      <c r="J16" s="16"/>
    </row>
    <row r="17" spans="1:30" ht="15.75" customHeight="1">
      <c r="A17" s="15"/>
      <c r="B17" s="15"/>
      <c r="C17" s="15"/>
      <c r="D17" s="16"/>
      <c r="E17" s="17"/>
      <c r="F17" s="18"/>
      <c r="G17" s="18"/>
      <c r="H17" s="16"/>
      <c r="I17" s="15"/>
      <c r="J17" s="16"/>
    </row>
    <row r="18" spans="1:30" ht="15.75" customHeight="1">
      <c r="A18" s="20"/>
      <c r="B18" s="20"/>
      <c r="C18" s="20"/>
      <c r="D18" s="21"/>
      <c r="E18" s="22"/>
      <c r="F18" s="22"/>
      <c r="G18" s="51"/>
      <c r="H18" s="21"/>
      <c r="I18" s="20"/>
      <c r="J18" s="21"/>
    </row>
    <row r="19" spans="1:30" ht="15.75" customHeight="1">
      <c r="A19" s="15"/>
      <c r="B19" s="15"/>
      <c r="C19" s="15"/>
      <c r="D19" s="16"/>
      <c r="E19" s="17"/>
      <c r="F19" s="18"/>
      <c r="G19" s="18"/>
      <c r="H19" s="16"/>
      <c r="I19" s="15"/>
      <c r="J19" s="16"/>
    </row>
    <row r="20" spans="1:30" ht="15.75" customHeight="1">
      <c r="A20" s="15"/>
      <c r="B20" s="15"/>
      <c r="C20" s="15"/>
      <c r="D20" s="16"/>
      <c r="E20" s="17"/>
      <c r="F20" s="18"/>
      <c r="G20" s="18"/>
      <c r="H20" s="16"/>
      <c r="I20" s="15"/>
      <c r="J20" s="16"/>
    </row>
    <row r="21" spans="1:30" ht="15.75" customHeight="1">
      <c r="A21" s="24"/>
      <c r="B21" s="24"/>
      <c r="C21" s="24"/>
      <c r="D21" s="25"/>
      <c r="E21" s="19"/>
      <c r="F21" s="18"/>
      <c r="G21" s="19"/>
      <c r="H21" s="25"/>
      <c r="I21" s="24"/>
      <c r="J21" s="25"/>
    </row>
    <row r="22" spans="1:30" ht="15.75" customHeight="1">
      <c r="A22" s="20"/>
      <c r="B22" s="20"/>
      <c r="C22" s="20"/>
      <c r="D22" s="21"/>
      <c r="E22" s="22"/>
      <c r="F22" s="22"/>
      <c r="G22" s="50"/>
      <c r="H22" s="21"/>
      <c r="I22" s="20"/>
      <c r="J22" s="21"/>
    </row>
    <row r="23" spans="1:30" ht="15.75" customHeight="1">
      <c r="A23" s="15"/>
      <c r="B23" s="15"/>
      <c r="C23" s="15"/>
      <c r="D23" s="16"/>
      <c r="E23" s="17"/>
      <c r="F23" s="19"/>
      <c r="G23" s="19"/>
      <c r="H23" s="16"/>
      <c r="I23" s="15"/>
      <c r="J23" s="16"/>
    </row>
    <row r="24" spans="1:30" ht="15.75" customHeight="1">
      <c r="A24" s="15"/>
      <c r="B24" s="15"/>
      <c r="C24" s="15"/>
      <c r="D24" s="16"/>
      <c r="E24" s="17"/>
      <c r="F24" s="19"/>
      <c r="G24" s="19"/>
      <c r="H24" s="16"/>
      <c r="I24" s="15"/>
      <c r="J24" s="16"/>
    </row>
    <row r="25" spans="1:30" ht="14.4">
      <c r="A25" s="15"/>
      <c r="B25" s="15"/>
      <c r="C25" s="15"/>
      <c r="D25" s="16"/>
      <c r="E25" s="17"/>
      <c r="F25" s="19"/>
      <c r="G25" s="19"/>
      <c r="H25" s="16"/>
      <c r="I25" s="15"/>
      <c r="J25" s="16"/>
    </row>
    <row r="26" spans="1:30" ht="14.4">
      <c r="A26" s="15"/>
      <c r="B26" s="15"/>
      <c r="C26" s="15"/>
      <c r="D26" s="16"/>
      <c r="E26" s="17"/>
      <c r="F26" s="19"/>
      <c r="G26" s="19"/>
      <c r="H26" s="16"/>
      <c r="I26" s="15"/>
      <c r="J26" s="16"/>
    </row>
    <row r="27" spans="1:30" ht="14.4">
      <c r="A27" s="24"/>
      <c r="B27" s="24"/>
      <c r="C27" s="24"/>
      <c r="D27" s="25"/>
      <c r="E27" s="19"/>
      <c r="F27" s="19"/>
      <c r="G27" s="19"/>
      <c r="H27" s="25"/>
      <c r="I27" s="15"/>
      <c r="J27" s="25"/>
    </row>
    <row r="28" spans="1:30" ht="14.4">
      <c r="A28" s="24"/>
      <c r="B28" s="24"/>
      <c r="C28" s="24"/>
      <c r="D28" s="25"/>
      <c r="E28" s="19"/>
      <c r="F28" s="19"/>
      <c r="G28" s="19"/>
      <c r="H28" s="25"/>
      <c r="I28" s="15"/>
      <c r="J28" s="25"/>
    </row>
    <row r="29" spans="1:30" ht="14.4">
      <c r="A29" s="24"/>
      <c r="B29" s="24"/>
      <c r="C29" s="24"/>
      <c r="D29" s="25"/>
      <c r="E29" s="19"/>
      <c r="F29" s="19"/>
      <c r="G29" s="19"/>
      <c r="H29" s="25"/>
      <c r="I29" s="24"/>
      <c r="J29" s="25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</row>
    <row r="30" spans="1:30" ht="14.4">
      <c r="A30" s="20"/>
      <c r="B30" s="20"/>
      <c r="C30" s="20"/>
      <c r="D30" s="21"/>
      <c r="E30" s="22"/>
      <c r="F30" s="22"/>
      <c r="G30" s="22"/>
      <c r="H30" s="21"/>
      <c r="I30" s="20"/>
      <c r="J30" s="21"/>
    </row>
    <row r="31" spans="1:30" ht="14.4">
      <c r="A31" s="15"/>
      <c r="B31" s="15"/>
      <c r="C31" s="15"/>
      <c r="D31" s="16"/>
      <c r="E31" s="17"/>
      <c r="F31" s="19"/>
      <c r="G31" s="19"/>
      <c r="H31" s="16"/>
      <c r="I31" s="15"/>
      <c r="J31" s="16"/>
    </row>
    <row r="32" spans="1:30" ht="14.4">
      <c r="A32" s="24"/>
      <c r="B32" s="24"/>
      <c r="C32" s="24"/>
      <c r="D32" s="25"/>
      <c r="E32" s="19"/>
      <c r="F32" s="19"/>
      <c r="G32" s="19"/>
      <c r="H32" s="25"/>
      <c r="I32" s="15"/>
      <c r="J32" s="25"/>
    </row>
    <row r="33" spans="1:30" ht="14.4">
      <c r="A33" s="20"/>
      <c r="B33" s="20"/>
      <c r="C33" s="20"/>
      <c r="D33" s="21"/>
      <c r="E33" s="22"/>
      <c r="F33" s="22"/>
      <c r="G33" s="22"/>
      <c r="H33" s="21"/>
      <c r="I33" s="15"/>
      <c r="J33" s="21"/>
    </row>
    <row r="34" spans="1:30" ht="14.4">
      <c r="A34" s="15"/>
      <c r="B34" s="15"/>
      <c r="C34" s="15"/>
      <c r="D34" s="16"/>
      <c r="E34" s="17"/>
      <c r="F34" s="19"/>
      <c r="G34" s="19"/>
      <c r="H34" s="16"/>
      <c r="I34" s="15"/>
      <c r="J34" s="16"/>
    </row>
    <row r="35" spans="1:30" ht="14.4">
      <c r="A35" s="24"/>
      <c r="B35" s="24"/>
      <c r="C35" s="24"/>
      <c r="D35" s="25"/>
      <c r="E35" s="19"/>
      <c r="F35" s="19"/>
      <c r="G35" s="19"/>
      <c r="H35" s="25"/>
      <c r="I35" s="15"/>
      <c r="J35" s="25"/>
    </row>
    <row r="36" spans="1:30" ht="14.4">
      <c r="A36" s="24"/>
      <c r="B36" s="24"/>
      <c r="C36" s="24"/>
      <c r="D36" s="25"/>
      <c r="E36" s="19"/>
      <c r="F36" s="19"/>
      <c r="G36" s="19"/>
      <c r="H36" s="25"/>
      <c r="I36" s="24"/>
      <c r="J36" s="25"/>
    </row>
    <row r="37" spans="1:30" ht="14.4">
      <c r="A37" s="24"/>
      <c r="B37" s="24"/>
      <c r="C37" s="24"/>
      <c r="D37" s="25"/>
      <c r="E37" s="19"/>
      <c r="F37" s="18"/>
      <c r="G37" s="19"/>
      <c r="H37" s="25"/>
      <c r="I37" s="24"/>
      <c r="J37" s="25"/>
    </row>
    <row r="38" spans="1:30" ht="14.4">
      <c r="A38" s="24"/>
      <c r="B38" s="24"/>
      <c r="C38" s="24"/>
      <c r="D38" s="25"/>
      <c r="E38" s="19"/>
      <c r="F38" s="18"/>
      <c r="G38" s="19"/>
      <c r="H38" s="25"/>
      <c r="I38" s="24"/>
      <c r="J38" s="25"/>
    </row>
    <row r="39" spans="1:30" ht="14.4">
      <c r="A39" s="15"/>
      <c r="B39" s="15"/>
      <c r="C39" s="15"/>
      <c r="D39" s="16"/>
      <c r="E39" s="17"/>
      <c r="F39" s="52"/>
      <c r="G39" s="52"/>
      <c r="H39" s="16"/>
      <c r="I39" s="15"/>
      <c r="J39" s="16"/>
    </row>
    <row r="40" spans="1:30" ht="14.4">
      <c r="A40" s="20"/>
      <c r="B40" s="20"/>
      <c r="C40" s="20"/>
      <c r="D40" s="21"/>
      <c r="E40" s="22"/>
      <c r="F40" s="22"/>
      <c r="G40" s="50"/>
      <c r="H40" s="21"/>
      <c r="I40" s="20"/>
      <c r="J40" s="21"/>
    </row>
    <row r="41" spans="1:30" ht="14.4">
      <c r="A41" s="24"/>
      <c r="B41" s="24"/>
      <c r="C41" s="24"/>
      <c r="D41" s="25"/>
      <c r="E41" s="19"/>
      <c r="F41" s="19"/>
      <c r="G41" s="19"/>
      <c r="H41" s="25"/>
      <c r="I41" s="24"/>
      <c r="J41" s="25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</row>
    <row r="42" spans="1:30" ht="14.4">
      <c r="A42" s="20"/>
      <c r="B42" s="20"/>
      <c r="C42" s="20"/>
      <c r="D42" s="21"/>
      <c r="E42" s="22"/>
      <c r="F42" s="22"/>
      <c r="G42" s="50"/>
      <c r="H42" s="21"/>
      <c r="I42" s="20"/>
      <c r="J42" s="21"/>
    </row>
    <row r="43" spans="1:30" ht="14.4">
      <c r="A43" s="24"/>
      <c r="B43" s="24"/>
      <c r="C43" s="24"/>
      <c r="D43" s="25"/>
      <c r="E43" s="19"/>
      <c r="F43" s="19"/>
      <c r="G43" s="19"/>
      <c r="H43" s="25"/>
      <c r="I43" s="24"/>
      <c r="J43" s="25"/>
    </row>
    <row r="44" spans="1:30" ht="14.4">
      <c r="A44" s="20"/>
      <c r="B44" s="20"/>
      <c r="C44" s="20"/>
      <c r="D44" s="21"/>
      <c r="E44" s="22"/>
      <c r="F44" s="22"/>
      <c r="G44" s="50"/>
      <c r="H44" s="21"/>
      <c r="I44" s="15"/>
      <c r="J44" s="21"/>
    </row>
    <row r="45" spans="1:30" ht="14.4">
      <c r="A45" s="15"/>
      <c r="B45" s="15"/>
      <c r="C45" s="15"/>
      <c r="D45" s="16"/>
      <c r="E45" s="17"/>
      <c r="F45" s="52"/>
      <c r="G45" s="52"/>
      <c r="H45" s="16"/>
      <c r="I45" s="15"/>
      <c r="J45" s="16"/>
    </row>
    <row r="46" spans="1:30" ht="14.4">
      <c r="A46" s="15"/>
      <c r="B46" s="15"/>
      <c r="C46" s="15"/>
      <c r="D46" s="16"/>
      <c r="E46" s="17"/>
      <c r="F46" s="18"/>
      <c r="G46" s="18"/>
      <c r="H46" s="16"/>
      <c r="I46" s="15"/>
      <c r="J46" s="16"/>
    </row>
    <row r="47" spans="1:30" ht="14.4">
      <c r="A47" s="20"/>
      <c r="B47" s="20"/>
      <c r="C47" s="20"/>
      <c r="D47" s="21"/>
      <c r="E47" s="22"/>
      <c r="F47" s="22"/>
      <c r="G47" s="50"/>
      <c r="H47" s="21"/>
      <c r="I47" s="20"/>
      <c r="J47" s="21"/>
    </row>
    <row r="48" spans="1:30" ht="14.4">
      <c r="A48" s="24"/>
      <c r="B48" s="24"/>
      <c r="C48" s="24"/>
      <c r="D48" s="25"/>
      <c r="E48" s="19"/>
      <c r="F48" s="19"/>
      <c r="G48" s="19"/>
      <c r="H48" s="25"/>
      <c r="I48" s="15"/>
      <c r="J48" s="16"/>
    </row>
    <row r="49" spans="1:10" ht="14.4">
      <c r="A49" s="15"/>
      <c r="B49" s="15"/>
      <c r="C49" s="15"/>
      <c r="D49" s="16"/>
      <c r="E49" s="17"/>
      <c r="F49" s="18"/>
      <c r="G49" s="18"/>
      <c r="H49" s="16"/>
      <c r="I49" s="15"/>
      <c r="J49" s="16"/>
    </row>
    <row r="50" spans="1:10" ht="14.4">
      <c r="A50" s="15"/>
      <c r="B50" s="15"/>
      <c r="C50" s="15"/>
      <c r="D50" s="16"/>
      <c r="E50" s="17"/>
      <c r="F50" s="18"/>
      <c r="G50" s="18"/>
      <c r="H50" s="16"/>
      <c r="I50" s="15"/>
      <c r="J50" s="16"/>
    </row>
    <row r="51" spans="1:10" ht="14.4">
      <c r="A51" s="15"/>
      <c r="B51" s="15"/>
      <c r="C51" s="15"/>
      <c r="D51" s="16"/>
      <c r="E51" s="17"/>
      <c r="F51" s="52"/>
      <c r="G51" s="52"/>
      <c r="H51" s="16"/>
      <c r="I51" s="15"/>
      <c r="J51" s="16"/>
    </row>
    <row r="52" spans="1:10" ht="14.4">
      <c r="A52" s="15"/>
      <c r="B52" s="15"/>
      <c r="C52" s="15"/>
      <c r="D52" s="16"/>
      <c r="E52" s="17"/>
      <c r="F52" s="52"/>
      <c r="G52" s="52"/>
      <c r="H52" s="16"/>
      <c r="I52" s="15"/>
      <c r="J52" s="16"/>
    </row>
    <row r="53" spans="1:10" ht="14.4">
      <c r="A53" s="15"/>
      <c r="B53" s="15"/>
      <c r="C53" s="15"/>
      <c r="D53" s="16"/>
      <c r="E53" s="17"/>
      <c r="F53" s="18"/>
      <c r="G53" s="18"/>
      <c r="H53" s="16"/>
      <c r="I53" s="15"/>
      <c r="J53" s="16"/>
    </row>
    <row r="54" spans="1:10" ht="14.4">
      <c r="A54" s="15"/>
      <c r="B54" s="15"/>
      <c r="C54" s="15"/>
      <c r="D54" s="16"/>
      <c r="E54" s="17"/>
      <c r="F54" s="18"/>
      <c r="G54" s="18"/>
      <c r="H54" s="16"/>
      <c r="I54" s="15"/>
      <c r="J54" s="16"/>
    </row>
    <row r="55" spans="1:10" ht="14.4">
      <c r="A55" s="15"/>
      <c r="B55" s="15"/>
      <c r="C55" s="15"/>
      <c r="D55" s="16"/>
      <c r="E55" s="17"/>
      <c r="F55" s="18"/>
      <c r="G55" s="18"/>
      <c r="H55" s="16"/>
      <c r="I55" s="15"/>
      <c r="J55" s="16"/>
    </row>
    <row r="56" spans="1:10" ht="14.4">
      <c r="A56" s="20"/>
      <c r="B56" s="20"/>
      <c r="C56" s="20"/>
      <c r="D56" s="21"/>
      <c r="E56" s="22"/>
      <c r="F56" s="22"/>
      <c r="G56" s="50"/>
      <c r="H56" s="21"/>
      <c r="I56" s="20"/>
      <c r="J56" s="21"/>
    </row>
    <row r="57" spans="1:10" ht="14.4">
      <c r="A57" s="20"/>
      <c r="B57" s="20"/>
      <c r="C57" s="20"/>
      <c r="D57" s="21"/>
      <c r="E57" s="22"/>
      <c r="F57" s="22"/>
      <c r="G57" s="50"/>
      <c r="H57" s="21"/>
      <c r="I57" s="20"/>
      <c r="J57" s="21"/>
    </row>
    <row r="58" spans="1:10" ht="14.4">
      <c r="A58" s="20"/>
      <c r="B58" s="20"/>
      <c r="C58" s="20"/>
      <c r="D58" s="21"/>
      <c r="E58" s="22"/>
      <c r="F58" s="22"/>
      <c r="G58" s="50"/>
      <c r="H58" s="21"/>
      <c r="I58" s="20"/>
      <c r="J58" s="21"/>
    </row>
    <row r="59" spans="1:10" ht="14.4">
      <c r="A59" s="15"/>
      <c r="B59" s="15"/>
      <c r="C59" s="15"/>
      <c r="D59" s="16"/>
      <c r="E59" s="17"/>
      <c r="F59" s="18"/>
      <c r="G59" s="18"/>
      <c r="H59" s="16"/>
      <c r="I59" s="15"/>
      <c r="J59" s="16"/>
    </row>
    <row r="60" spans="1:10" ht="14.4">
      <c r="A60" s="15"/>
      <c r="B60" s="15"/>
      <c r="C60" s="15"/>
      <c r="D60" s="16"/>
      <c r="E60" s="17"/>
      <c r="F60" s="18"/>
      <c r="G60" s="18"/>
      <c r="H60" s="16"/>
      <c r="I60" s="15"/>
      <c r="J60" s="16"/>
    </row>
    <row r="61" spans="1:10" ht="14.4">
      <c r="A61" s="15"/>
      <c r="B61" s="15"/>
      <c r="C61" s="15"/>
      <c r="D61" s="16"/>
      <c r="E61" s="17"/>
      <c r="F61" s="18"/>
      <c r="G61" s="18"/>
      <c r="H61" s="16"/>
      <c r="I61" s="15"/>
      <c r="J61" s="16"/>
    </row>
    <row r="62" spans="1:10" ht="14.4">
      <c r="A62" s="24"/>
      <c r="B62" s="24"/>
      <c r="C62" s="24"/>
      <c r="D62" s="25"/>
      <c r="E62" s="19"/>
      <c r="F62" s="18"/>
      <c r="G62" s="19"/>
      <c r="H62" s="25"/>
      <c r="I62" s="24"/>
      <c r="J62" s="49"/>
    </row>
    <row r="63" spans="1:10" ht="14.4">
      <c r="A63" s="15"/>
      <c r="B63" s="15"/>
      <c r="C63" s="15"/>
      <c r="D63" s="16"/>
      <c r="E63" s="17"/>
      <c r="F63" s="18"/>
      <c r="G63" s="18"/>
      <c r="H63" s="16"/>
      <c r="I63" s="15"/>
      <c r="J63" s="47"/>
    </row>
    <row r="64" spans="1:10" ht="14.4">
      <c r="A64" s="15"/>
      <c r="B64" s="15"/>
      <c r="C64" s="15"/>
      <c r="D64" s="16"/>
      <c r="E64" s="17"/>
      <c r="F64" s="18"/>
      <c r="G64" s="18"/>
      <c r="H64" s="16"/>
      <c r="I64" s="15"/>
      <c r="J64" s="47"/>
    </row>
    <row r="65" spans="1:30" ht="14.4">
      <c r="A65" s="15"/>
      <c r="B65" s="15"/>
      <c r="C65" s="15"/>
      <c r="D65" s="16"/>
      <c r="E65" s="17"/>
      <c r="F65" s="18"/>
      <c r="G65" s="18"/>
      <c r="H65" s="16"/>
      <c r="I65" s="15"/>
      <c r="J65" s="47"/>
    </row>
    <row r="66" spans="1:30" ht="14.4">
      <c r="A66" s="15"/>
      <c r="B66" s="15"/>
      <c r="C66" s="15"/>
      <c r="D66" s="16"/>
      <c r="E66" s="17"/>
      <c r="F66" s="18"/>
      <c r="G66" s="18"/>
      <c r="H66" s="16"/>
      <c r="I66" s="15"/>
      <c r="J66" s="47"/>
    </row>
    <row r="67" spans="1:30" ht="14.4">
      <c r="A67" s="15"/>
      <c r="B67" s="15"/>
      <c r="C67" s="15"/>
      <c r="D67" s="16"/>
      <c r="E67" s="17"/>
      <c r="F67" s="18"/>
      <c r="G67" s="18"/>
      <c r="H67" s="16"/>
      <c r="I67" s="15"/>
      <c r="J67" s="47"/>
    </row>
    <row r="68" spans="1:30" ht="14.4">
      <c r="A68" s="20"/>
      <c r="B68" s="20"/>
      <c r="C68" s="20"/>
      <c r="D68" s="21"/>
      <c r="E68" s="22"/>
      <c r="F68" s="22"/>
      <c r="G68" s="53"/>
      <c r="H68" s="54"/>
      <c r="I68" s="55"/>
      <c r="J68" s="56"/>
      <c r="K68" s="56"/>
      <c r="L68" s="54"/>
      <c r="M68" s="53"/>
      <c r="N68" s="56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</row>
    <row r="69" spans="1:30" ht="14.4">
      <c r="A69" s="15"/>
      <c r="B69" s="15"/>
      <c r="C69" s="15"/>
      <c r="D69" s="16"/>
      <c r="E69" s="17"/>
      <c r="F69" s="18"/>
      <c r="G69" s="18"/>
      <c r="H69" s="16"/>
      <c r="I69" s="15"/>
      <c r="J69" s="47"/>
    </row>
    <row r="70" spans="1:30" ht="14.4">
      <c r="A70" s="24"/>
      <c r="B70" s="24"/>
      <c r="C70" s="24"/>
      <c r="D70" s="25"/>
      <c r="E70" s="19"/>
      <c r="F70" s="18"/>
      <c r="G70" s="19"/>
      <c r="H70" s="25"/>
      <c r="I70" s="24"/>
      <c r="J70" s="49"/>
    </row>
    <row r="71" spans="1:30" ht="14.4">
      <c r="A71" s="24"/>
      <c r="B71" s="24"/>
      <c r="C71" s="24"/>
      <c r="D71" s="25"/>
      <c r="E71" s="19"/>
      <c r="F71" s="18"/>
      <c r="G71" s="19"/>
      <c r="H71" s="25"/>
      <c r="I71" s="24"/>
      <c r="J71" s="49"/>
    </row>
    <row r="72" spans="1:30" ht="14.4">
      <c r="A72" s="15"/>
      <c r="B72" s="15"/>
      <c r="C72" s="15"/>
      <c r="D72" s="16"/>
      <c r="E72" s="17"/>
      <c r="F72" s="18"/>
      <c r="G72" s="18"/>
      <c r="H72" s="16"/>
      <c r="I72" s="15"/>
      <c r="J72" s="47"/>
    </row>
    <row r="73" spans="1:30" ht="14.4">
      <c r="A73" s="15"/>
      <c r="B73" s="15"/>
      <c r="C73" s="15"/>
      <c r="D73" s="16"/>
      <c r="E73" s="17"/>
      <c r="F73" s="18"/>
      <c r="G73" s="18"/>
      <c r="H73" s="16"/>
      <c r="I73" s="15"/>
      <c r="J73" s="47"/>
    </row>
    <row r="74" spans="1:30" ht="14.4">
      <c r="A74" s="15"/>
      <c r="B74" s="15"/>
      <c r="C74" s="15"/>
      <c r="D74" s="16"/>
      <c r="E74" s="17"/>
      <c r="F74" s="18"/>
      <c r="G74" s="18"/>
      <c r="H74" s="16"/>
      <c r="I74" s="15"/>
      <c r="J74" s="47"/>
    </row>
    <row r="75" spans="1:30" ht="14.4">
      <c r="A75" s="20"/>
      <c r="B75" s="20"/>
      <c r="C75" s="20"/>
      <c r="D75" s="21"/>
      <c r="E75" s="22"/>
      <c r="F75" s="22"/>
      <c r="G75" s="50"/>
      <c r="H75" s="21"/>
      <c r="I75" s="20"/>
      <c r="J75" s="51"/>
    </row>
    <row r="76" spans="1:30" ht="14.4">
      <c r="A76" s="24"/>
      <c r="B76" s="24"/>
      <c r="C76" s="24"/>
      <c r="D76" s="25"/>
      <c r="E76" s="19"/>
      <c r="F76" s="18"/>
      <c r="G76" s="19"/>
      <c r="H76" s="25"/>
      <c r="I76" s="24"/>
      <c r="J76" s="49"/>
    </row>
    <row r="77" spans="1:30" ht="14.4">
      <c r="A77" s="15"/>
      <c r="B77" s="15"/>
      <c r="C77" s="15"/>
      <c r="D77" s="16"/>
      <c r="E77" s="17"/>
      <c r="F77" s="18"/>
      <c r="G77" s="18"/>
      <c r="H77" s="16"/>
      <c r="I77" s="15"/>
      <c r="J77" s="47"/>
    </row>
    <row r="78" spans="1:30" ht="14.4">
      <c r="A78" s="15"/>
      <c r="B78" s="15"/>
      <c r="C78" s="15"/>
      <c r="D78" s="16"/>
      <c r="E78" s="17"/>
      <c r="F78" s="18"/>
      <c r="G78" s="18"/>
      <c r="H78" s="16"/>
      <c r="I78" s="15"/>
      <c r="J78" s="47"/>
    </row>
    <row r="79" spans="1:30" ht="14.4">
      <c r="A79" s="20"/>
      <c r="B79" s="20"/>
      <c r="C79" s="20"/>
      <c r="D79" s="21"/>
      <c r="E79" s="22"/>
      <c r="F79" s="22"/>
      <c r="G79" s="50"/>
      <c r="H79" s="21"/>
      <c r="I79" s="20"/>
      <c r="J79" s="51"/>
    </row>
    <row r="80" spans="1:30" ht="14.4">
      <c r="A80" s="20"/>
      <c r="B80" s="20"/>
      <c r="C80" s="20"/>
      <c r="D80" s="21"/>
      <c r="E80" s="22"/>
      <c r="F80" s="22"/>
      <c r="G80" s="50"/>
      <c r="H80" s="21"/>
      <c r="I80" s="20"/>
      <c r="J80" s="51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</row>
    <row r="81" spans="1:30" ht="14.4">
      <c r="A81" s="15"/>
      <c r="B81" s="15"/>
      <c r="C81" s="15"/>
      <c r="D81" s="16"/>
      <c r="E81" s="17"/>
      <c r="F81" s="18"/>
      <c r="G81" s="18"/>
      <c r="H81" s="16"/>
      <c r="I81" s="15"/>
      <c r="J81" s="47"/>
    </row>
    <row r="82" spans="1:30" ht="15.6">
      <c r="A82" s="3"/>
      <c r="B82" s="58"/>
      <c r="C82" s="58"/>
      <c r="D82" s="30" t="s">
        <v>18</v>
      </c>
      <c r="E82" s="31">
        <f>SUM(E2:E81)</f>
        <v>0</v>
      </c>
      <c r="F82" s="32">
        <f>SUM(F2:F81)</f>
        <v>0</v>
      </c>
      <c r="G82" s="33">
        <f>SUM(G2:G81)</f>
        <v>0</v>
      </c>
      <c r="H82" s="3"/>
      <c r="I82" s="59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t="14.4">
      <c r="B83" s="60"/>
      <c r="C83" s="60"/>
      <c r="E83" s="61"/>
      <c r="F83" s="61"/>
      <c r="G83" s="61"/>
      <c r="I83" s="62"/>
    </row>
    <row r="84" spans="1:30" ht="14.4">
      <c r="B84" s="60"/>
      <c r="C84" s="60"/>
      <c r="E84" s="61"/>
      <c r="F84" s="61"/>
      <c r="G84" s="61"/>
      <c r="I84" s="62"/>
    </row>
    <row r="85" spans="1:30" ht="15.6">
      <c r="B85" s="60"/>
      <c r="C85" s="60"/>
      <c r="D85" s="2"/>
      <c r="E85" s="63"/>
      <c r="F85" s="2"/>
      <c r="G85" s="61"/>
      <c r="I85" s="62"/>
    </row>
    <row r="86" spans="1:30" ht="15.6">
      <c r="B86" s="60"/>
      <c r="C86" s="60"/>
      <c r="D86" s="16"/>
      <c r="E86" s="34" t="s">
        <v>19</v>
      </c>
      <c r="F86" s="34" t="s">
        <v>20</v>
      </c>
      <c r="G86" s="59"/>
      <c r="I86" s="62"/>
    </row>
    <row r="87" spans="1:30" ht="14.4">
      <c r="B87" s="60"/>
      <c r="C87" s="60"/>
      <c r="D87" s="16" t="s">
        <v>21</v>
      </c>
      <c r="E87" s="53"/>
      <c r="F87" s="17">
        <f>E82</f>
        <v>0</v>
      </c>
      <c r="G87" s="63"/>
      <c r="I87" s="62"/>
    </row>
    <row r="88" spans="1:30" ht="14.4">
      <c r="B88" s="60"/>
      <c r="C88" s="60"/>
      <c r="D88" s="25" t="s">
        <v>22</v>
      </c>
      <c r="E88" s="24"/>
      <c r="F88" s="19">
        <f>G82</f>
        <v>0</v>
      </c>
      <c r="G88" s="61"/>
      <c r="I88" s="62"/>
    </row>
    <row r="89" spans="1:30" ht="14.4">
      <c r="B89" s="60"/>
      <c r="C89" s="60"/>
      <c r="D89" s="37" t="s">
        <v>25</v>
      </c>
      <c r="E89" s="64"/>
      <c r="F89" s="39">
        <f>E82-G82</f>
        <v>0</v>
      </c>
      <c r="G89" s="61"/>
      <c r="I89" s="62"/>
    </row>
    <row r="90" spans="1:30" ht="14.4">
      <c r="B90" s="60"/>
      <c r="C90" s="60"/>
      <c r="D90" s="21" t="s">
        <v>24</v>
      </c>
      <c r="E90" s="20"/>
      <c r="F90" s="22">
        <f>F82</f>
        <v>0</v>
      </c>
      <c r="G90" s="41"/>
      <c r="H90" s="42"/>
      <c r="I90" s="62"/>
    </row>
    <row r="91" spans="1:30" ht="14.4">
      <c r="B91" s="60"/>
      <c r="C91" s="60"/>
      <c r="E91" s="61"/>
      <c r="F91" s="61"/>
      <c r="G91" s="61"/>
      <c r="I91" s="62"/>
    </row>
    <row r="92" spans="1:30" ht="14.4">
      <c r="B92" s="60"/>
      <c r="C92" s="60"/>
      <c r="E92" s="61"/>
      <c r="F92" s="61"/>
      <c r="G92" s="61"/>
      <c r="I92" s="62"/>
    </row>
    <row r="93" spans="1:30" ht="14.4">
      <c r="B93" s="60"/>
      <c r="C93" s="60"/>
      <c r="E93" s="61"/>
      <c r="F93" s="61"/>
      <c r="G93" s="61"/>
      <c r="I93" s="62"/>
    </row>
    <row r="94" spans="1:30" ht="14.4">
      <c r="B94" s="60"/>
      <c r="C94" s="60"/>
      <c r="E94" s="61"/>
      <c r="F94" s="61"/>
      <c r="G94" s="61"/>
      <c r="I94" s="62"/>
    </row>
    <row r="95" spans="1:30" ht="14.4">
      <c r="B95" s="60"/>
      <c r="C95" s="60"/>
      <c r="E95" s="61"/>
      <c r="F95" s="61"/>
      <c r="G95" s="61"/>
      <c r="I95" s="62"/>
    </row>
    <row r="96" spans="1:30" ht="14.4">
      <c r="B96" s="60"/>
      <c r="C96" s="60"/>
      <c r="E96" s="61"/>
      <c r="F96" s="61"/>
      <c r="G96" s="61"/>
      <c r="I96" s="62"/>
    </row>
    <row r="97" spans="2:9" ht="14.4">
      <c r="B97" s="60"/>
      <c r="C97" s="60"/>
      <c r="E97" s="61"/>
      <c r="F97" s="61"/>
      <c r="G97" s="61"/>
      <c r="I97" s="62"/>
    </row>
    <row r="98" spans="2:9" ht="14.4">
      <c r="B98" s="60"/>
      <c r="C98" s="60"/>
      <c r="E98" s="61"/>
      <c r="F98" s="61"/>
      <c r="G98" s="61"/>
      <c r="I98" s="62"/>
    </row>
    <row r="99" spans="2:9" ht="14.4">
      <c r="B99" s="60"/>
      <c r="C99" s="60"/>
      <c r="E99" s="61"/>
      <c r="F99" s="61"/>
      <c r="G99" s="61"/>
      <c r="I99" s="62"/>
    </row>
    <row r="100" spans="2:9" ht="14.4">
      <c r="B100" s="60"/>
      <c r="C100" s="60"/>
      <c r="E100" s="61"/>
      <c r="F100" s="61"/>
      <c r="G100" s="61"/>
      <c r="I100" s="62"/>
    </row>
    <row r="101" spans="2:9" ht="14.4">
      <c r="B101" s="60"/>
      <c r="C101" s="60"/>
      <c r="E101" s="61"/>
      <c r="F101" s="61"/>
      <c r="G101" s="61"/>
      <c r="I101" s="62"/>
    </row>
    <row r="102" spans="2:9" ht="14.4">
      <c r="B102" s="60"/>
      <c r="C102" s="60"/>
      <c r="E102" s="61"/>
      <c r="F102" s="61"/>
      <c r="G102" s="61"/>
      <c r="I102" s="62"/>
    </row>
    <row r="103" spans="2:9" ht="14.4">
      <c r="B103" s="60"/>
      <c r="C103" s="60"/>
      <c r="E103" s="61"/>
      <c r="F103" s="61"/>
      <c r="G103" s="61"/>
      <c r="I103" s="62"/>
    </row>
    <row r="104" spans="2:9" ht="14.4">
      <c r="B104" s="60"/>
      <c r="C104" s="60"/>
      <c r="E104" s="61"/>
      <c r="F104" s="61"/>
      <c r="G104" s="61"/>
      <c r="I104" s="62"/>
    </row>
    <row r="105" spans="2:9" ht="14.4">
      <c r="B105" s="60"/>
      <c r="C105" s="60"/>
      <c r="E105" s="61"/>
      <c r="F105" s="61"/>
      <c r="G105" s="61"/>
      <c r="I105" s="62"/>
    </row>
    <row r="106" spans="2:9" ht="14.4">
      <c r="B106" s="60"/>
      <c r="C106" s="60"/>
      <c r="E106" s="61"/>
      <c r="F106" s="61"/>
      <c r="G106" s="61"/>
      <c r="I106" s="62"/>
    </row>
    <row r="107" spans="2:9" ht="14.4">
      <c r="B107" s="60"/>
      <c r="C107" s="60"/>
      <c r="E107" s="61"/>
      <c r="F107" s="61"/>
      <c r="G107" s="61"/>
      <c r="I107" s="62"/>
    </row>
    <row r="108" spans="2:9" ht="14.4">
      <c r="B108" s="60"/>
      <c r="C108" s="60"/>
      <c r="E108" s="61"/>
      <c r="F108" s="61"/>
      <c r="G108" s="61"/>
      <c r="I108" s="62"/>
    </row>
    <row r="109" spans="2:9" ht="14.4">
      <c r="B109" s="60"/>
      <c r="C109" s="60"/>
      <c r="E109" s="61"/>
      <c r="F109" s="61"/>
      <c r="G109" s="61"/>
      <c r="I109" s="62"/>
    </row>
    <row r="110" spans="2:9" ht="14.4">
      <c r="B110" s="60"/>
      <c r="C110" s="60"/>
      <c r="E110" s="61"/>
      <c r="F110" s="61"/>
      <c r="G110" s="61"/>
      <c r="I110" s="62"/>
    </row>
    <row r="111" spans="2:9" ht="14.4">
      <c r="B111" s="60"/>
      <c r="C111" s="60"/>
      <c r="E111" s="61"/>
      <c r="F111" s="61"/>
      <c r="G111" s="61"/>
      <c r="I111" s="62"/>
    </row>
    <row r="112" spans="2:9" ht="14.4">
      <c r="B112" s="60"/>
      <c r="C112" s="60"/>
      <c r="E112" s="61"/>
      <c r="F112" s="61"/>
      <c r="G112" s="61"/>
      <c r="I112" s="62"/>
    </row>
    <row r="113" spans="2:9" ht="14.4">
      <c r="B113" s="60"/>
      <c r="C113" s="60"/>
      <c r="E113" s="61"/>
      <c r="F113" s="61"/>
      <c r="G113" s="61"/>
      <c r="I113" s="62"/>
    </row>
    <row r="114" spans="2:9" ht="14.4">
      <c r="B114" s="60"/>
      <c r="C114" s="60"/>
      <c r="E114" s="61"/>
      <c r="F114" s="61"/>
      <c r="G114" s="61"/>
      <c r="I114" s="62"/>
    </row>
    <row r="115" spans="2:9" ht="14.4">
      <c r="B115" s="60"/>
      <c r="C115" s="60"/>
      <c r="E115" s="61"/>
      <c r="F115" s="61"/>
      <c r="G115" s="61"/>
      <c r="I115" s="62"/>
    </row>
    <row r="116" spans="2:9" ht="14.4">
      <c r="B116" s="60"/>
      <c r="C116" s="60"/>
      <c r="E116" s="61"/>
      <c r="F116" s="61"/>
      <c r="G116" s="61"/>
      <c r="I116" s="62"/>
    </row>
    <row r="117" spans="2:9" ht="14.4">
      <c r="B117" s="60"/>
      <c r="C117" s="60"/>
      <c r="E117" s="61"/>
      <c r="F117" s="61"/>
      <c r="G117" s="61"/>
      <c r="I117" s="62"/>
    </row>
    <row r="118" spans="2:9" ht="14.4">
      <c r="B118" s="60"/>
      <c r="C118" s="60"/>
      <c r="E118" s="61"/>
      <c r="F118" s="61"/>
      <c r="G118" s="61"/>
      <c r="I118" s="62"/>
    </row>
    <row r="119" spans="2:9" ht="14.4">
      <c r="B119" s="60"/>
      <c r="C119" s="60"/>
      <c r="E119" s="61"/>
      <c r="F119" s="61"/>
      <c r="G119" s="61"/>
      <c r="I119" s="62"/>
    </row>
    <row r="120" spans="2:9" ht="14.4">
      <c r="B120" s="60"/>
      <c r="C120" s="60"/>
      <c r="E120" s="61"/>
      <c r="F120" s="61"/>
      <c r="G120" s="61"/>
      <c r="I120" s="62"/>
    </row>
    <row r="121" spans="2:9" ht="14.4">
      <c r="B121" s="60"/>
      <c r="C121" s="60"/>
      <c r="E121" s="61"/>
      <c r="F121" s="61"/>
      <c r="G121" s="61"/>
      <c r="I121" s="62"/>
    </row>
    <row r="122" spans="2:9" ht="14.4">
      <c r="B122" s="60"/>
      <c r="C122" s="60"/>
      <c r="E122" s="61"/>
      <c r="F122" s="61"/>
      <c r="G122" s="61"/>
      <c r="I122" s="62"/>
    </row>
    <row r="123" spans="2:9" ht="14.4">
      <c r="B123" s="60"/>
      <c r="C123" s="60"/>
      <c r="E123" s="61"/>
      <c r="F123" s="61"/>
      <c r="G123" s="61"/>
      <c r="I123" s="62"/>
    </row>
    <row r="124" spans="2:9" ht="14.4">
      <c r="B124" s="60"/>
      <c r="C124" s="60"/>
      <c r="E124" s="61"/>
      <c r="F124" s="61"/>
      <c r="G124" s="61"/>
      <c r="I124" s="62"/>
    </row>
    <row r="125" spans="2:9" ht="14.4">
      <c r="B125" s="60"/>
      <c r="C125" s="60"/>
      <c r="E125" s="61"/>
      <c r="F125" s="61"/>
      <c r="G125" s="61"/>
      <c r="I125" s="62"/>
    </row>
    <row r="126" spans="2:9" ht="14.4">
      <c r="B126" s="60"/>
      <c r="C126" s="60"/>
      <c r="E126" s="61"/>
      <c r="F126" s="61"/>
      <c r="G126" s="61"/>
      <c r="I126" s="62"/>
    </row>
    <row r="127" spans="2:9" ht="14.4">
      <c r="B127" s="60"/>
      <c r="C127" s="60"/>
      <c r="E127" s="61"/>
      <c r="F127" s="61"/>
      <c r="G127" s="61"/>
      <c r="I127" s="62"/>
    </row>
    <row r="128" spans="2:9" ht="14.4">
      <c r="B128" s="60"/>
      <c r="C128" s="60"/>
      <c r="E128" s="61"/>
      <c r="F128" s="61"/>
      <c r="G128" s="61"/>
      <c r="I128" s="62"/>
    </row>
    <row r="129" spans="2:9" ht="14.4">
      <c r="B129" s="60"/>
      <c r="C129" s="60"/>
      <c r="E129" s="61"/>
      <c r="F129" s="61"/>
      <c r="G129" s="61"/>
      <c r="I129" s="62"/>
    </row>
    <row r="130" spans="2:9" ht="14.4">
      <c r="B130" s="60"/>
      <c r="C130" s="60"/>
      <c r="E130" s="61"/>
      <c r="F130" s="61"/>
      <c r="G130" s="61"/>
      <c r="I130" s="62"/>
    </row>
    <row r="131" spans="2:9" ht="14.4">
      <c r="B131" s="60"/>
      <c r="C131" s="60"/>
      <c r="E131" s="61"/>
      <c r="F131" s="61"/>
      <c r="G131" s="61"/>
      <c r="I131" s="62"/>
    </row>
    <row r="132" spans="2:9" ht="14.4">
      <c r="B132" s="60"/>
      <c r="C132" s="60"/>
      <c r="E132" s="61"/>
      <c r="F132" s="61"/>
      <c r="G132" s="61"/>
      <c r="I132" s="62"/>
    </row>
    <row r="133" spans="2:9" ht="14.4">
      <c r="B133" s="60"/>
      <c r="C133" s="60"/>
      <c r="E133" s="61"/>
      <c r="F133" s="61"/>
      <c r="G133" s="61"/>
      <c r="I133" s="62"/>
    </row>
    <row r="134" spans="2:9" ht="14.4">
      <c r="B134" s="60"/>
      <c r="C134" s="60"/>
      <c r="E134" s="61"/>
      <c r="F134" s="61"/>
      <c r="G134" s="61"/>
      <c r="I134" s="62"/>
    </row>
    <row r="135" spans="2:9" ht="14.4">
      <c r="B135" s="60"/>
      <c r="C135" s="60"/>
      <c r="E135" s="61"/>
      <c r="F135" s="61"/>
      <c r="G135" s="61"/>
      <c r="I135" s="62"/>
    </row>
    <row r="136" spans="2:9" ht="14.4">
      <c r="B136" s="60"/>
      <c r="C136" s="60"/>
      <c r="E136" s="61"/>
      <c r="F136" s="61"/>
      <c r="G136" s="61"/>
      <c r="I136" s="62"/>
    </row>
    <row r="137" spans="2:9" ht="14.4">
      <c r="B137" s="60"/>
      <c r="C137" s="60"/>
      <c r="E137" s="61"/>
      <c r="F137" s="61"/>
      <c r="G137" s="61"/>
      <c r="I137" s="62"/>
    </row>
    <row r="138" spans="2:9" ht="14.4">
      <c r="B138" s="60"/>
      <c r="C138" s="60"/>
      <c r="E138" s="61"/>
      <c r="F138" s="61"/>
      <c r="G138" s="61"/>
      <c r="I138" s="62"/>
    </row>
    <row r="139" spans="2:9" ht="14.4">
      <c r="B139" s="60"/>
      <c r="C139" s="60"/>
      <c r="E139" s="61"/>
      <c r="F139" s="61"/>
      <c r="G139" s="61"/>
      <c r="I139" s="62"/>
    </row>
    <row r="140" spans="2:9" ht="14.4">
      <c r="B140" s="60"/>
      <c r="C140" s="60"/>
      <c r="E140" s="61"/>
      <c r="F140" s="61"/>
      <c r="G140" s="61"/>
      <c r="I140" s="62"/>
    </row>
    <row r="141" spans="2:9" ht="14.4">
      <c r="B141" s="60"/>
      <c r="C141" s="60"/>
      <c r="E141" s="61"/>
      <c r="F141" s="61"/>
      <c r="G141" s="61"/>
      <c r="I141" s="62"/>
    </row>
    <row r="142" spans="2:9" ht="14.4">
      <c r="B142" s="60"/>
      <c r="C142" s="60"/>
      <c r="E142" s="61"/>
      <c r="F142" s="61"/>
      <c r="G142" s="61"/>
      <c r="I142" s="62"/>
    </row>
    <row r="143" spans="2:9" ht="14.4">
      <c r="B143" s="60"/>
      <c r="C143" s="60"/>
      <c r="E143" s="61"/>
      <c r="F143" s="61"/>
      <c r="G143" s="61"/>
      <c r="I143" s="62"/>
    </row>
    <row r="144" spans="2:9" ht="14.4">
      <c r="B144" s="60"/>
      <c r="C144" s="60"/>
      <c r="E144" s="61"/>
      <c r="F144" s="61"/>
      <c r="G144" s="61"/>
      <c r="I144" s="62"/>
    </row>
    <row r="145" spans="2:9" ht="14.4">
      <c r="B145" s="60"/>
      <c r="C145" s="60"/>
      <c r="E145" s="61"/>
      <c r="F145" s="61"/>
      <c r="G145" s="61"/>
      <c r="I145" s="62"/>
    </row>
    <row r="146" spans="2:9" ht="14.4">
      <c r="B146" s="60"/>
      <c r="C146" s="60"/>
      <c r="E146" s="61"/>
      <c r="F146" s="61"/>
      <c r="G146" s="61"/>
      <c r="I146" s="62"/>
    </row>
    <row r="147" spans="2:9" ht="14.4">
      <c r="B147" s="60"/>
      <c r="C147" s="60"/>
      <c r="E147" s="61"/>
      <c r="F147" s="61"/>
      <c r="G147" s="61"/>
      <c r="I147" s="62"/>
    </row>
    <row r="148" spans="2:9" ht="14.4">
      <c r="B148" s="60"/>
      <c r="C148" s="60"/>
      <c r="E148" s="61"/>
      <c r="F148" s="61"/>
      <c r="G148" s="61"/>
      <c r="I148" s="62"/>
    </row>
    <row r="149" spans="2:9" ht="14.4">
      <c r="B149" s="60"/>
      <c r="C149" s="60"/>
      <c r="E149" s="61"/>
      <c r="F149" s="61"/>
      <c r="G149" s="61"/>
      <c r="I149" s="62"/>
    </row>
    <row r="150" spans="2:9" ht="14.4">
      <c r="B150" s="60"/>
      <c r="C150" s="60"/>
      <c r="E150" s="61"/>
      <c r="F150" s="61"/>
      <c r="G150" s="61"/>
      <c r="I150" s="62"/>
    </row>
    <row r="151" spans="2:9" ht="14.4">
      <c r="B151" s="60"/>
      <c r="C151" s="60"/>
      <c r="E151" s="61"/>
      <c r="F151" s="61"/>
      <c r="G151" s="61"/>
      <c r="I151" s="62"/>
    </row>
    <row r="152" spans="2:9" ht="14.4">
      <c r="B152" s="60"/>
      <c r="C152" s="60"/>
      <c r="E152" s="61"/>
      <c r="F152" s="61"/>
      <c r="G152" s="61"/>
      <c r="I152" s="62"/>
    </row>
    <row r="153" spans="2:9" ht="14.4">
      <c r="B153" s="60"/>
      <c r="C153" s="60"/>
      <c r="E153" s="61"/>
      <c r="F153" s="61"/>
      <c r="G153" s="61"/>
      <c r="I153" s="62"/>
    </row>
    <row r="154" spans="2:9" ht="14.4">
      <c r="B154" s="60"/>
      <c r="C154" s="60"/>
      <c r="E154" s="61"/>
      <c r="F154" s="61"/>
      <c r="G154" s="61"/>
      <c r="I154" s="62"/>
    </row>
    <row r="155" spans="2:9" ht="14.4">
      <c r="B155" s="60"/>
      <c r="C155" s="60"/>
      <c r="E155" s="61"/>
      <c r="F155" s="61"/>
      <c r="G155" s="61"/>
      <c r="I155" s="62"/>
    </row>
    <row r="156" spans="2:9" ht="14.4">
      <c r="B156" s="60"/>
      <c r="C156" s="60"/>
      <c r="E156" s="61"/>
      <c r="F156" s="61"/>
      <c r="G156" s="61"/>
      <c r="I156" s="62"/>
    </row>
    <row r="157" spans="2:9" ht="14.4">
      <c r="B157" s="60"/>
      <c r="C157" s="60"/>
      <c r="E157" s="61"/>
      <c r="F157" s="61"/>
      <c r="G157" s="61"/>
      <c r="I157" s="62"/>
    </row>
    <row r="158" spans="2:9" ht="14.4">
      <c r="B158" s="60"/>
      <c r="C158" s="60"/>
      <c r="E158" s="61"/>
      <c r="F158" s="61"/>
      <c r="G158" s="61"/>
      <c r="I158" s="62"/>
    </row>
    <row r="159" spans="2:9" ht="14.4">
      <c r="B159" s="60"/>
      <c r="C159" s="60"/>
      <c r="E159" s="61"/>
      <c r="F159" s="61"/>
      <c r="G159" s="61"/>
      <c r="I159" s="62"/>
    </row>
    <row r="160" spans="2:9" ht="14.4">
      <c r="B160" s="60"/>
      <c r="C160" s="60"/>
      <c r="E160" s="61"/>
      <c r="F160" s="61"/>
      <c r="G160" s="61"/>
      <c r="I160" s="62"/>
    </row>
    <row r="161" spans="2:9" ht="14.4">
      <c r="B161" s="60"/>
      <c r="C161" s="60"/>
      <c r="E161" s="61"/>
      <c r="F161" s="61"/>
      <c r="G161" s="61"/>
      <c r="I161" s="62"/>
    </row>
    <row r="162" spans="2:9" ht="14.4">
      <c r="B162" s="60"/>
      <c r="C162" s="60"/>
      <c r="E162" s="61"/>
      <c r="F162" s="61"/>
      <c r="G162" s="61"/>
      <c r="I162" s="62"/>
    </row>
    <row r="163" spans="2:9" ht="14.4">
      <c r="B163" s="60"/>
      <c r="C163" s="60"/>
      <c r="E163" s="61"/>
      <c r="F163" s="61"/>
      <c r="G163" s="61"/>
      <c r="I163" s="62"/>
    </row>
    <row r="164" spans="2:9" ht="14.4">
      <c r="B164" s="60"/>
      <c r="C164" s="60"/>
      <c r="E164" s="61"/>
      <c r="F164" s="61"/>
      <c r="G164" s="61"/>
      <c r="I164" s="62"/>
    </row>
    <row r="165" spans="2:9" ht="14.4">
      <c r="B165" s="60"/>
      <c r="C165" s="60"/>
      <c r="E165" s="61"/>
      <c r="F165" s="61"/>
      <c r="G165" s="61"/>
      <c r="I165" s="62"/>
    </row>
    <row r="166" spans="2:9" ht="14.4">
      <c r="B166" s="60"/>
      <c r="C166" s="60"/>
      <c r="E166" s="61"/>
      <c r="F166" s="61"/>
      <c r="G166" s="61"/>
      <c r="I166" s="62"/>
    </row>
    <row r="167" spans="2:9" ht="14.4">
      <c r="B167" s="60"/>
      <c r="C167" s="60"/>
      <c r="E167" s="61"/>
      <c r="F167" s="61"/>
      <c r="G167" s="61"/>
      <c r="I167" s="62"/>
    </row>
    <row r="168" spans="2:9" ht="14.4">
      <c r="B168" s="60"/>
      <c r="C168" s="60"/>
      <c r="E168" s="61"/>
      <c r="F168" s="61"/>
      <c r="G168" s="61"/>
      <c r="I168" s="62"/>
    </row>
    <row r="169" spans="2:9" ht="14.4">
      <c r="B169" s="60"/>
      <c r="C169" s="60"/>
      <c r="E169" s="61"/>
      <c r="F169" s="61"/>
      <c r="G169" s="61"/>
      <c r="I169" s="62"/>
    </row>
    <row r="170" spans="2:9" ht="14.4">
      <c r="B170" s="60"/>
      <c r="C170" s="60"/>
      <c r="E170" s="61"/>
      <c r="F170" s="61"/>
      <c r="G170" s="61"/>
      <c r="I170" s="62"/>
    </row>
    <row r="171" spans="2:9" ht="14.4">
      <c r="B171" s="60"/>
      <c r="C171" s="60"/>
      <c r="E171" s="61"/>
      <c r="F171" s="61"/>
      <c r="G171" s="61"/>
      <c r="I171" s="62"/>
    </row>
    <row r="172" spans="2:9" ht="14.4">
      <c r="B172" s="60"/>
      <c r="C172" s="60"/>
      <c r="E172" s="61"/>
      <c r="F172" s="61"/>
      <c r="G172" s="61"/>
      <c r="I172" s="62"/>
    </row>
    <row r="173" spans="2:9" ht="14.4">
      <c r="B173" s="60"/>
      <c r="C173" s="60"/>
      <c r="E173" s="61"/>
      <c r="F173" s="61"/>
      <c r="G173" s="61"/>
      <c r="I173" s="62"/>
    </row>
    <row r="174" spans="2:9" ht="14.4">
      <c r="B174" s="60"/>
      <c r="C174" s="60"/>
      <c r="E174" s="61"/>
      <c r="F174" s="61"/>
      <c r="G174" s="61"/>
      <c r="I174" s="62"/>
    </row>
    <row r="175" spans="2:9" ht="14.4">
      <c r="B175" s="60"/>
      <c r="C175" s="60"/>
      <c r="E175" s="61"/>
      <c r="F175" s="61"/>
      <c r="G175" s="61"/>
      <c r="I175" s="62"/>
    </row>
    <row r="176" spans="2:9" ht="14.4">
      <c r="B176" s="60"/>
      <c r="C176" s="60"/>
      <c r="E176" s="61"/>
      <c r="F176" s="61"/>
      <c r="G176" s="61"/>
      <c r="I176" s="62"/>
    </row>
    <row r="177" spans="2:9" ht="14.4">
      <c r="B177" s="60"/>
      <c r="C177" s="60"/>
      <c r="E177" s="61"/>
      <c r="F177" s="61"/>
      <c r="G177" s="61"/>
      <c r="I177" s="62"/>
    </row>
    <row r="178" spans="2:9" ht="14.4">
      <c r="B178" s="60"/>
      <c r="C178" s="60"/>
      <c r="E178" s="61"/>
      <c r="F178" s="61"/>
      <c r="G178" s="61"/>
      <c r="I178" s="62"/>
    </row>
    <row r="179" spans="2:9" ht="14.4">
      <c r="B179" s="60"/>
      <c r="C179" s="60"/>
      <c r="E179" s="61"/>
      <c r="F179" s="61"/>
      <c r="G179" s="61"/>
      <c r="I179" s="62"/>
    </row>
    <row r="180" spans="2:9" ht="14.4">
      <c r="B180" s="60"/>
      <c r="C180" s="60"/>
      <c r="E180" s="61"/>
      <c r="F180" s="61"/>
      <c r="G180" s="61"/>
      <c r="I180" s="62"/>
    </row>
    <row r="181" spans="2:9" ht="14.4">
      <c r="B181" s="60"/>
      <c r="C181" s="60"/>
      <c r="E181" s="61"/>
      <c r="F181" s="61"/>
      <c r="G181" s="61"/>
      <c r="I181" s="62"/>
    </row>
    <row r="182" spans="2:9" ht="14.4">
      <c r="B182" s="60"/>
      <c r="C182" s="60"/>
      <c r="E182" s="61"/>
      <c r="F182" s="61"/>
      <c r="G182" s="61"/>
      <c r="I182" s="62"/>
    </row>
    <row r="183" spans="2:9" ht="14.4">
      <c r="B183" s="60"/>
      <c r="C183" s="60"/>
      <c r="E183" s="61"/>
      <c r="F183" s="61"/>
      <c r="G183" s="61"/>
      <c r="I183" s="62"/>
    </row>
    <row r="184" spans="2:9" ht="14.4">
      <c r="B184" s="60"/>
      <c r="C184" s="60"/>
      <c r="E184" s="61"/>
      <c r="F184" s="61"/>
      <c r="G184" s="61"/>
      <c r="I184" s="62"/>
    </row>
    <row r="185" spans="2:9" ht="14.4">
      <c r="B185" s="60"/>
      <c r="C185" s="60"/>
      <c r="E185" s="61"/>
      <c r="F185" s="61"/>
      <c r="G185" s="61"/>
      <c r="I185" s="62"/>
    </row>
    <row r="186" spans="2:9" ht="14.4">
      <c r="B186" s="60"/>
      <c r="C186" s="60"/>
      <c r="E186" s="61"/>
      <c r="F186" s="61"/>
      <c r="G186" s="61"/>
      <c r="I186" s="62"/>
    </row>
    <row r="187" spans="2:9" ht="14.4">
      <c r="B187" s="60"/>
      <c r="C187" s="60"/>
      <c r="E187" s="61"/>
      <c r="F187" s="61"/>
      <c r="G187" s="61"/>
      <c r="I187" s="62"/>
    </row>
    <row r="188" spans="2:9" ht="14.4">
      <c r="B188" s="60"/>
      <c r="C188" s="60"/>
      <c r="E188" s="61"/>
      <c r="F188" s="61"/>
      <c r="G188" s="61"/>
      <c r="I188" s="62"/>
    </row>
    <row r="189" spans="2:9" ht="14.4">
      <c r="B189" s="60"/>
      <c r="C189" s="60"/>
      <c r="E189" s="61"/>
      <c r="F189" s="61"/>
      <c r="G189" s="61"/>
      <c r="I189" s="62"/>
    </row>
    <row r="190" spans="2:9" ht="14.4">
      <c r="B190" s="60"/>
      <c r="C190" s="60"/>
      <c r="E190" s="61"/>
      <c r="F190" s="61"/>
      <c r="G190" s="61"/>
      <c r="I190" s="62"/>
    </row>
    <row r="191" spans="2:9" ht="14.4">
      <c r="B191" s="60"/>
      <c r="C191" s="60"/>
      <c r="E191" s="61"/>
      <c r="F191" s="61"/>
      <c r="G191" s="61"/>
      <c r="I191" s="62"/>
    </row>
    <row r="192" spans="2:9" ht="14.4">
      <c r="B192" s="60"/>
      <c r="C192" s="60"/>
      <c r="E192" s="61"/>
      <c r="F192" s="61"/>
      <c r="G192" s="61"/>
      <c r="I192" s="62"/>
    </row>
    <row r="193" spans="2:9" ht="14.4">
      <c r="B193" s="60"/>
      <c r="C193" s="60"/>
      <c r="E193" s="61"/>
      <c r="F193" s="61"/>
      <c r="G193" s="61"/>
      <c r="I193" s="62"/>
    </row>
    <row r="194" spans="2:9" ht="14.4">
      <c r="B194" s="60"/>
      <c r="C194" s="60"/>
      <c r="E194" s="61"/>
      <c r="F194" s="61"/>
      <c r="G194" s="61"/>
      <c r="I194" s="62"/>
    </row>
    <row r="195" spans="2:9" ht="14.4">
      <c r="B195" s="60"/>
      <c r="C195" s="60"/>
      <c r="E195" s="61"/>
      <c r="F195" s="61"/>
      <c r="G195" s="61"/>
      <c r="I195" s="62"/>
    </row>
    <row r="196" spans="2:9" ht="14.4">
      <c r="B196" s="60"/>
      <c r="C196" s="60"/>
      <c r="E196" s="61"/>
      <c r="F196" s="61"/>
      <c r="G196" s="61"/>
      <c r="I196" s="62"/>
    </row>
    <row r="197" spans="2:9" ht="14.4">
      <c r="B197" s="60"/>
      <c r="C197" s="60"/>
      <c r="E197" s="61"/>
      <c r="F197" s="61"/>
      <c r="G197" s="61"/>
      <c r="I197" s="62"/>
    </row>
    <row r="198" spans="2:9" ht="14.4">
      <c r="B198" s="60"/>
      <c r="C198" s="60"/>
      <c r="E198" s="61"/>
      <c r="F198" s="61"/>
      <c r="G198" s="61"/>
      <c r="I198" s="62"/>
    </row>
    <row r="199" spans="2:9" ht="14.4">
      <c r="B199" s="60"/>
      <c r="C199" s="60"/>
      <c r="E199" s="61"/>
      <c r="F199" s="61"/>
      <c r="G199" s="61"/>
      <c r="I199" s="62"/>
    </row>
    <row r="200" spans="2:9" ht="14.4">
      <c r="B200" s="60"/>
      <c r="C200" s="60"/>
      <c r="E200" s="61"/>
      <c r="F200" s="61"/>
      <c r="G200" s="61"/>
      <c r="I200" s="62"/>
    </row>
    <row r="201" spans="2:9" ht="14.4">
      <c r="B201" s="60"/>
      <c r="C201" s="60"/>
      <c r="E201" s="61"/>
      <c r="F201" s="61"/>
      <c r="G201" s="61"/>
      <c r="I201" s="62"/>
    </row>
    <row r="202" spans="2:9" ht="14.4">
      <c r="B202" s="60"/>
      <c r="C202" s="60"/>
      <c r="E202" s="61"/>
      <c r="F202" s="61"/>
      <c r="G202" s="61"/>
      <c r="I202" s="62"/>
    </row>
    <row r="203" spans="2:9" ht="14.4">
      <c r="B203" s="60"/>
      <c r="C203" s="60"/>
      <c r="E203" s="61"/>
      <c r="F203" s="61"/>
      <c r="G203" s="61"/>
      <c r="I203" s="62"/>
    </row>
    <row r="204" spans="2:9" ht="14.4">
      <c r="B204" s="60"/>
      <c r="C204" s="60"/>
      <c r="E204" s="61"/>
      <c r="F204" s="61"/>
      <c r="G204" s="61"/>
      <c r="I204" s="62"/>
    </row>
    <row r="205" spans="2:9" ht="14.4">
      <c r="B205" s="60"/>
      <c r="C205" s="60"/>
      <c r="E205" s="61"/>
      <c r="F205" s="61"/>
      <c r="G205" s="61"/>
      <c r="I205" s="62"/>
    </row>
    <row r="206" spans="2:9" ht="14.4">
      <c r="B206" s="60"/>
      <c r="C206" s="60"/>
      <c r="E206" s="61"/>
      <c r="F206" s="61"/>
      <c r="G206" s="61"/>
      <c r="I206" s="62"/>
    </row>
    <row r="207" spans="2:9" ht="14.4">
      <c r="B207" s="60"/>
      <c r="C207" s="60"/>
      <c r="E207" s="61"/>
      <c r="F207" s="61"/>
      <c r="G207" s="61"/>
      <c r="I207" s="62"/>
    </row>
    <row r="208" spans="2:9" ht="14.4">
      <c r="B208" s="60"/>
      <c r="C208" s="60"/>
      <c r="E208" s="61"/>
      <c r="F208" s="61"/>
      <c r="G208" s="61"/>
      <c r="I208" s="62"/>
    </row>
    <row r="209" spans="2:9" ht="14.4">
      <c r="B209" s="60"/>
      <c r="C209" s="60"/>
      <c r="E209" s="61"/>
      <c r="F209" s="61"/>
      <c r="G209" s="61"/>
      <c r="I209" s="62"/>
    </row>
    <row r="210" spans="2:9" ht="14.4">
      <c r="B210" s="60"/>
      <c r="C210" s="60"/>
      <c r="E210" s="61"/>
      <c r="F210" s="61"/>
      <c r="G210" s="61"/>
      <c r="I210" s="62"/>
    </row>
    <row r="211" spans="2:9" ht="14.4">
      <c r="B211" s="60"/>
      <c r="C211" s="60"/>
      <c r="E211" s="61"/>
      <c r="F211" s="61"/>
      <c r="G211" s="61"/>
      <c r="I211" s="62"/>
    </row>
    <row r="212" spans="2:9" ht="14.4">
      <c r="B212" s="60"/>
      <c r="C212" s="60"/>
      <c r="E212" s="61"/>
      <c r="F212" s="61"/>
      <c r="G212" s="61"/>
      <c r="I212" s="62"/>
    </row>
    <row r="213" spans="2:9" ht="14.4">
      <c r="B213" s="60"/>
      <c r="C213" s="60"/>
      <c r="E213" s="61"/>
      <c r="F213" s="61"/>
      <c r="G213" s="61"/>
      <c r="I213" s="62"/>
    </row>
    <row r="214" spans="2:9" ht="14.4">
      <c r="B214" s="60"/>
      <c r="C214" s="60"/>
      <c r="E214" s="61"/>
      <c r="F214" s="61"/>
      <c r="G214" s="61"/>
      <c r="I214" s="62"/>
    </row>
    <row r="215" spans="2:9" ht="14.4">
      <c r="B215" s="60"/>
      <c r="C215" s="60"/>
      <c r="E215" s="61"/>
      <c r="F215" s="61"/>
      <c r="G215" s="61"/>
      <c r="I215" s="62"/>
    </row>
    <row r="216" spans="2:9" ht="14.4">
      <c r="B216" s="60"/>
      <c r="C216" s="60"/>
      <c r="E216" s="61"/>
      <c r="F216" s="61"/>
      <c r="G216" s="61"/>
      <c r="I216" s="62"/>
    </row>
    <row r="217" spans="2:9" ht="14.4">
      <c r="B217" s="60"/>
      <c r="C217" s="60"/>
      <c r="E217" s="61"/>
      <c r="F217" s="61"/>
      <c r="G217" s="61"/>
      <c r="I217" s="62"/>
    </row>
    <row r="218" spans="2:9" ht="14.4">
      <c r="B218" s="60"/>
      <c r="C218" s="60"/>
      <c r="E218" s="61"/>
      <c r="F218" s="61"/>
      <c r="G218" s="61"/>
      <c r="I218" s="62"/>
    </row>
    <row r="219" spans="2:9" ht="14.4">
      <c r="B219" s="60"/>
      <c r="C219" s="60"/>
      <c r="E219" s="61"/>
      <c r="F219" s="61"/>
      <c r="G219" s="61"/>
      <c r="I219" s="62"/>
    </row>
    <row r="220" spans="2:9" ht="14.4">
      <c r="B220" s="60"/>
      <c r="C220" s="60"/>
      <c r="E220" s="61"/>
      <c r="F220" s="61"/>
      <c r="G220" s="61"/>
      <c r="I220" s="62"/>
    </row>
    <row r="221" spans="2:9" ht="14.4">
      <c r="B221" s="60"/>
      <c r="C221" s="60"/>
      <c r="E221" s="61"/>
      <c r="F221" s="61"/>
      <c r="G221" s="61"/>
      <c r="I221" s="62"/>
    </row>
    <row r="222" spans="2:9" ht="14.4">
      <c r="B222" s="60"/>
      <c r="C222" s="60"/>
      <c r="E222" s="61"/>
      <c r="F222" s="61"/>
      <c r="G222" s="61"/>
      <c r="I222" s="62"/>
    </row>
    <row r="223" spans="2:9" ht="14.4">
      <c r="B223" s="60"/>
      <c r="C223" s="60"/>
      <c r="E223" s="61"/>
      <c r="F223" s="61"/>
      <c r="G223" s="61"/>
      <c r="I223" s="62"/>
    </row>
    <row r="224" spans="2:9" ht="14.4">
      <c r="B224" s="60"/>
      <c r="C224" s="60"/>
      <c r="E224" s="61"/>
      <c r="F224" s="61"/>
      <c r="G224" s="61"/>
      <c r="I224" s="62"/>
    </row>
    <row r="225" spans="2:9" ht="14.4">
      <c r="B225" s="60"/>
      <c r="C225" s="60"/>
      <c r="E225" s="61"/>
      <c r="F225" s="61"/>
      <c r="G225" s="61"/>
      <c r="I225" s="62"/>
    </row>
    <row r="226" spans="2:9" ht="14.4">
      <c r="B226" s="60"/>
      <c r="C226" s="60"/>
      <c r="E226" s="61"/>
      <c r="F226" s="61"/>
      <c r="G226" s="61"/>
      <c r="I226" s="62"/>
    </row>
    <row r="227" spans="2:9" ht="14.4">
      <c r="B227" s="60"/>
      <c r="C227" s="60"/>
      <c r="E227" s="61"/>
      <c r="F227" s="61"/>
      <c r="G227" s="61"/>
      <c r="I227" s="62"/>
    </row>
    <row r="228" spans="2:9" ht="14.4">
      <c r="B228" s="60"/>
      <c r="C228" s="60"/>
      <c r="E228" s="61"/>
      <c r="F228" s="61"/>
      <c r="G228" s="61"/>
      <c r="I228" s="62"/>
    </row>
    <row r="229" spans="2:9" ht="14.4">
      <c r="B229" s="60"/>
      <c r="C229" s="60"/>
      <c r="E229" s="61"/>
      <c r="F229" s="61"/>
      <c r="G229" s="61"/>
      <c r="I229" s="62"/>
    </row>
    <row r="230" spans="2:9" ht="14.4">
      <c r="B230" s="60"/>
      <c r="C230" s="60"/>
      <c r="E230" s="61"/>
      <c r="F230" s="61"/>
      <c r="G230" s="61"/>
      <c r="I230" s="62"/>
    </row>
    <row r="231" spans="2:9" ht="14.4">
      <c r="B231" s="60"/>
      <c r="C231" s="60"/>
      <c r="E231" s="61"/>
      <c r="F231" s="61"/>
      <c r="G231" s="61"/>
      <c r="I231" s="62"/>
    </row>
    <row r="232" spans="2:9" ht="14.4">
      <c r="B232" s="60"/>
      <c r="C232" s="60"/>
      <c r="E232" s="61"/>
      <c r="F232" s="61"/>
      <c r="G232" s="61"/>
      <c r="I232" s="62"/>
    </row>
    <row r="233" spans="2:9" ht="14.4">
      <c r="B233" s="60"/>
      <c r="C233" s="60"/>
      <c r="E233" s="61"/>
      <c r="F233" s="61"/>
      <c r="G233" s="61"/>
      <c r="I233" s="62"/>
    </row>
    <row r="234" spans="2:9" ht="14.4">
      <c r="B234" s="60"/>
      <c r="C234" s="60"/>
      <c r="E234" s="61"/>
      <c r="F234" s="61"/>
      <c r="G234" s="61"/>
      <c r="I234" s="62"/>
    </row>
    <row r="235" spans="2:9" ht="14.4">
      <c r="B235" s="60"/>
      <c r="C235" s="60"/>
      <c r="E235" s="61"/>
      <c r="F235" s="61"/>
      <c r="G235" s="61"/>
      <c r="I235" s="62"/>
    </row>
    <row r="236" spans="2:9" ht="14.4">
      <c r="B236" s="60"/>
      <c r="C236" s="60"/>
      <c r="E236" s="61"/>
      <c r="F236" s="61"/>
      <c r="G236" s="61"/>
      <c r="I236" s="62"/>
    </row>
    <row r="237" spans="2:9" ht="14.4">
      <c r="B237" s="60"/>
      <c r="C237" s="60"/>
      <c r="E237" s="61"/>
      <c r="F237" s="61"/>
      <c r="G237" s="61"/>
      <c r="I237" s="62"/>
    </row>
    <row r="238" spans="2:9" ht="14.4">
      <c r="B238" s="60"/>
      <c r="C238" s="60"/>
      <c r="E238" s="61"/>
      <c r="F238" s="61"/>
      <c r="G238" s="61"/>
      <c r="I238" s="62"/>
    </row>
    <row r="239" spans="2:9" ht="14.4">
      <c r="B239" s="60"/>
      <c r="C239" s="60"/>
      <c r="E239" s="61"/>
      <c r="F239" s="61"/>
      <c r="G239" s="61"/>
      <c r="I239" s="62"/>
    </row>
    <row r="240" spans="2:9" ht="14.4">
      <c r="B240" s="60"/>
      <c r="C240" s="60"/>
      <c r="E240" s="61"/>
      <c r="F240" s="61"/>
      <c r="G240" s="61"/>
      <c r="I240" s="62"/>
    </row>
    <row r="241" spans="2:9" ht="14.4">
      <c r="B241" s="60"/>
      <c r="C241" s="60"/>
      <c r="E241" s="61"/>
      <c r="F241" s="61"/>
      <c r="G241" s="61"/>
      <c r="I241" s="62"/>
    </row>
    <row r="242" spans="2:9" ht="14.4">
      <c r="B242" s="60"/>
      <c r="C242" s="60"/>
      <c r="E242" s="61"/>
      <c r="F242" s="61"/>
      <c r="G242" s="61"/>
      <c r="I242" s="62"/>
    </row>
    <row r="243" spans="2:9" ht="14.4">
      <c r="B243" s="60"/>
      <c r="C243" s="60"/>
      <c r="E243" s="61"/>
      <c r="F243" s="61"/>
      <c r="G243" s="61"/>
      <c r="I243" s="62"/>
    </row>
    <row r="244" spans="2:9" ht="14.4">
      <c r="B244" s="60"/>
      <c r="C244" s="60"/>
      <c r="E244" s="61"/>
      <c r="F244" s="61"/>
      <c r="G244" s="61"/>
      <c r="I244" s="62"/>
    </row>
    <row r="245" spans="2:9" ht="14.4">
      <c r="B245" s="60"/>
      <c r="C245" s="60"/>
      <c r="E245" s="61"/>
      <c r="F245" s="61"/>
      <c r="G245" s="61"/>
      <c r="I245" s="62"/>
    </row>
    <row r="246" spans="2:9" ht="14.4">
      <c r="B246" s="60"/>
      <c r="C246" s="60"/>
      <c r="E246" s="61"/>
      <c r="F246" s="61"/>
      <c r="G246" s="61"/>
      <c r="I246" s="62"/>
    </row>
    <row r="247" spans="2:9" ht="14.4">
      <c r="B247" s="60"/>
      <c r="C247" s="60"/>
      <c r="E247" s="61"/>
      <c r="F247" s="61"/>
      <c r="G247" s="61"/>
      <c r="I247" s="62"/>
    </row>
    <row r="248" spans="2:9" ht="14.4">
      <c r="B248" s="60"/>
      <c r="C248" s="60"/>
      <c r="E248" s="61"/>
      <c r="F248" s="61"/>
      <c r="G248" s="61"/>
      <c r="I248" s="62"/>
    </row>
    <row r="249" spans="2:9" ht="14.4">
      <c r="B249" s="60"/>
      <c r="C249" s="60"/>
      <c r="E249" s="61"/>
      <c r="F249" s="61"/>
      <c r="G249" s="61"/>
      <c r="I249" s="62"/>
    </row>
    <row r="250" spans="2:9" ht="14.4">
      <c r="B250" s="60"/>
      <c r="C250" s="60"/>
      <c r="E250" s="61"/>
      <c r="F250" s="61"/>
      <c r="G250" s="61"/>
      <c r="I250" s="62"/>
    </row>
    <row r="251" spans="2:9" ht="14.4">
      <c r="B251" s="60"/>
      <c r="C251" s="60"/>
      <c r="E251" s="61"/>
      <c r="F251" s="61"/>
      <c r="G251" s="61"/>
      <c r="I251" s="62"/>
    </row>
    <row r="252" spans="2:9" ht="14.4">
      <c r="B252" s="60"/>
      <c r="C252" s="60"/>
      <c r="E252" s="61"/>
      <c r="F252" s="61"/>
      <c r="G252" s="61"/>
      <c r="I252" s="62"/>
    </row>
    <row r="253" spans="2:9" ht="14.4">
      <c r="B253" s="60"/>
      <c r="C253" s="60"/>
      <c r="E253" s="61"/>
      <c r="F253" s="61"/>
      <c r="G253" s="61"/>
      <c r="I253" s="62"/>
    </row>
    <row r="254" spans="2:9" ht="14.4">
      <c r="B254" s="60"/>
      <c r="C254" s="60"/>
      <c r="E254" s="61"/>
      <c r="F254" s="61"/>
      <c r="G254" s="61"/>
      <c r="I254" s="62"/>
    </row>
    <row r="255" spans="2:9" ht="14.4">
      <c r="B255" s="60"/>
      <c r="C255" s="60"/>
      <c r="E255" s="61"/>
      <c r="F255" s="61"/>
      <c r="G255" s="61"/>
      <c r="I255" s="62"/>
    </row>
    <row r="256" spans="2:9" ht="14.4">
      <c r="B256" s="60"/>
      <c r="C256" s="60"/>
      <c r="E256" s="61"/>
      <c r="F256" s="61"/>
      <c r="G256" s="61"/>
      <c r="I256" s="62"/>
    </row>
    <row r="257" spans="2:9" ht="14.4">
      <c r="B257" s="60"/>
      <c r="C257" s="60"/>
      <c r="E257" s="61"/>
      <c r="F257" s="61"/>
      <c r="G257" s="61"/>
      <c r="I257" s="62"/>
    </row>
    <row r="258" spans="2:9" ht="14.4">
      <c r="B258" s="60"/>
      <c r="C258" s="60"/>
      <c r="E258" s="61"/>
      <c r="F258" s="61"/>
      <c r="G258" s="61"/>
      <c r="I258" s="62"/>
    </row>
    <row r="259" spans="2:9" ht="14.4">
      <c r="B259" s="60"/>
      <c r="C259" s="60"/>
      <c r="E259" s="61"/>
      <c r="F259" s="61"/>
      <c r="G259" s="61"/>
      <c r="I259" s="62"/>
    </row>
    <row r="260" spans="2:9" ht="14.4">
      <c r="B260" s="60"/>
      <c r="C260" s="60"/>
      <c r="E260" s="61"/>
      <c r="F260" s="61"/>
      <c r="G260" s="61"/>
      <c r="I260" s="62"/>
    </row>
    <row r="261" spans="2:9" ht="14.4">
      <c r="B261" s="60"/>
      <c r="C261" s="60"/>
      <c r="E261" s="61"/>
      <c r="F261" s="61"/>
      <c r="G261" s="61"/>
      <c r="I261" s="62"/>
    </row>
    <row r="262" spans="2:9" ht="14.4">
      <c r="B262" s="60"/>
      <c r="C262" s="60"/>
      <c r="E262" s="61"/>
      <c r="F262" s="61"/>
      <c r="G262" s="61"/>
      <c r="I262" s="62"/>
    </row>
    <row r="263" spans="2:9" ht="14.4">
      <c r="B263" s="60"/>
      <c r="C263" s="60"/>
      <c r="E263" s="61"/>
      <c r="F263" s="61"/>
      <c r="G263" s="61"/>
      <c r="I263" s="62"/>
    </row>
    <row r="264" spans="2:9" ht="14.4">
      <c r="B264" s="60"/>
      <c r="C264" s="60"/>
      <c r="E264" s="61"/>
      <c r="F264" s="61"/>
      <c r="G264" s="61"/>
      <c r="I264" s="62"/>
    </row>
    <row r="265" spans="2:9" ht="14.4">
      <c r="B265" s="60"/>
      <c r="C265" s="60"/>
      <c r="E265" s="61"/>
      <c r="F265" s="61"/>
      <c r="G265" s="61"/>
      <c r="I265" s="62"/>
    </row>
    <row r="266" spans="2:9" ht="14.4">
      <c r="B266" s="60"/>
      <c r="C266" s="60"/>
      <c r="E266" s="61"/>
      <c r="F266" s="61"/>
      <c r="G266" s="61"/>
      <c r="I266" s="62"/>
    </row>
    <row r="267" spans="2:9" ht="14.4">
      <c r="B267" s="60"/>
      <c r="C267" s="60"/>
      <c r="E267" s="61"/>
      <c r="F267" s="61"/>
      <c r="G267" s="61"/>
      <c r="I267" s="62"/>
    </row>
    <row r="268" spans="2:9" ht="14.4">
      <c r="B268" s="60"/>
      <c r="C268" s="60"/>
      <c r="E268" s="61"/>
      <c r="F268" s="61"/>
      <c r="G268" s="61"/>
      <c r="I268" s="62"/>
    </row>
    <row r="269" spans="2:9" ht="14.4">
      <c r="B269" s="60"/>
      <c r="C269" s="60"/>
      <c r="E269" s="61"/>
      <c r="F269" s="61"/>
      <c r="G269" s="61"/>
      <c r="I269" s="62"/>
    </row>
    <row r="270" spans="2:9" ht="14.4">
      <c r="B270" s="60"/>
      <c r="C270" s="60"/>
      <c r="E270" s="61"/>
      <c r="F270" s="61"/>
      <c r="G270" s="61"/>
      <c r="I270" s="62"/>
    </row>
    <row r="271" spans="2:9" ht="14.4">
      <c r="B271" s="60"/>
      <c r="C271" s="60"/>
      <c r="E271" s="61"/>
      <c r="F271" s="61"/>
      <c r="G271" s="61"/>
      <c r="I271" s="62"/>
    </row>
    <row r="272" spans="2:9" ht="14.4">
      <c r="B272" s="60"/>
      <c r="C272" s="60"/>
      <c r="E272" s="61"/>
      <c r="F272" s="61"/>
      <c r="G272" s="61"/>
      <c r="I272" s="62"/>
    </row>
    <row r="273" spans="2:9" ht="14.4">
      <c r="B273" s="60"/>
      <c r="C273" s="60"/>
      <c r="E273" s="61"/>
      <c r="F273" s="61"/>
      <c r="G273" s="61"/>
      <c r="I273" s="62"/>
    </row>
    <row r="274" spans="2:9" ht="14.4">
      <c r="B274" s="60"/>
      <c r="C274" s="60"/>
      <c r="E274" s="61"/>
      <c r="F274" s="61"/>
      <c r="G274" s="61"/>
      <c r="I274" s="62"/>
    </row>
    <row r="275" spans="2:9" ht="14.4">
      <c r="B275" s="60"/>
      <c r="C275" s="60"/>
      <c r="E275" s="61"/>
      <c r="F275" s="61"/>
      <c r="G275" s="61"/>
      <c r="I275" s="62"/>
    </row>
    <row r="276" spans="2:9" ht="14.4">
      <c r="B276" s="60"/>
      <c r="C276" s="60"/>
      <c r="E276" s="61"/>
      <c r="F276" s="61"/>
      <c r="G276" s="61"/>
      <c r="I276" s="62"/>
    </row>
    <row r="277" spans="2:9" ht="14.4">
      <c r="B277" s="60"/>
      <c r="C277" s="60"/>
      <c r="E277" s="61"/>
      <c r="F277" s="61"/>
      <c r="G277" s="61"/>
      <c r="I277" s="62"/>
    </row>
    <row r="278" spans="2:9" ht="14.4">
      <c r="B278" s="60"/>
      <c r="C278" s="60"/>
      <c r="E278" s="61"/>
      <c r="F278" s="61"/>
      <c r="G278" s="61"/>
      <c r="I278" s="62"/>
    </row>
    <row r="279" spans="2:9" ht="14.4">
      <c r="B279" s="60"/>
      <c r="C279" s="60"/>
      <c r="E279" s="61"/>
      <c r="F279" s="61"/>
      <c r="G279" s="61"/>
      <c r="I279" s="62"/>
    </row>
    <row r="280" spans="2:9" ht="14.4">
      <c r="B280" s="60"/>
      <c r="C280" s="60"/>
      <c r="E280" s="61"/>
      <c r="F280" s="61"/>
      <c r="G280" s="61"/>
      <c r="I280" s="62"/>
    </row>
    <row r="281" spans="2:9" ht="14.4">
      <c r="B281" s="60"/>
      <c r="C281" s="60"/>
      <c r="E281" s="61"/>
      <c r="F281" s="61"/>
      <c r="G281" s="61"/>
      <c r="I281" s="62"/>
    </row>
    <row r="282" spans="2:9" ht="14.4">
      <c r="B282" s="60"/>
      <c r="C282" s="60"/>
      <c r="E282" s="61"/>
      <c r="F282" s="61"/>
      <c r="G282" s="61"/>
      <c r="I282" s="62"/>
    </row>
    <row r="283" spans="2:9" ht="14.4">
      <c r="B283" s="60"/>
      <c r="C283" s="60"/>
      <c r="E283" s="61"/>
      <c r="F283" s="61"/>
      <c r="G283" s="61"/>
      <c r="I283" s="62"/>
    </row>
    <row r="284" spans="2:9" ht="14.4">
      <c r="B284" s="60"/>
      <c r="C284" s="60"/>
      <c r="E284" s="61"/>
      <c r="F284" s="61"/>
      <c r="G284" s="61"/>
      <c r="I284" s="62"/>
    </row>
    <row r="285" spans="2:9" ht="14.4">
      <c r="B285" s="60"/>
      <c r="C285" s="60"/>
      <c r="E285" s="61"/>
      <c r="F285" s="61"/>
      <c r="G285" s="61"/>
      <c r="I285" s="62"/>
    </row>
    <row r="286" spans="2:9" ht="14.4">
      <c r="B286" s="60"/>
      <c r="C286" s="60"/>
      <c r="E286" s="61"/>
      <c r="F286" s="61"/>
      <c r="G286" s="61"/>
      <c r="I286" s="62"/>
    </row>
    <row r="287" spans="2:9" ht="14.4">
      <c r="B287" s="60"/>
      <c r="C287" s="60"/>
      <c r="E287" s="61"/>
      <c r="F287" s="61"/>
      <c r="G287" s="61"/>
      <c r="I287" s="62"/>
    </row>
    <row r="288" spans="2:9" ht="14.4">
      <c r="B288" s="60"/>
      <c r="C288" s="60"/>
      <c r="E288" s="61"/>
      <c r="F288" s="61"/>
      <c r="G288" s="61"/>
      <c r="I288" s="62"/>
    </row>
    <row r="289" spans="2:9" ht="14.4">
      <c r="B289" s="60"/>
      <c r="C289" s="60"/>
      <c r="E289" s="61"/>
      <c r="F289" s="61"/>
      <c r="G289" s="61"/>
      <c r="I289" s="62"/>
    </row>
    <row r="290" spans="2:9" ht="14.4">
      <c r="B290" s="60"/>
      <c r="C290" s="60"/>
      <c r="E290" s="61"/>
      <c r="F290" s="61"/>
      <c r="G290" s="61"/>
      <c r="I290" s="62"/>
    </row>
    <row r="291" spans="2:9" ht="14.4">
      <c r="B291" s="60"/>
      <c r="C291" s="60"/>
      <c r="E291" s="61"/>
      <c r="F291" s="61"/>
      <c r="G291" s="61"/>
      <c r="I291" s="62"/>
    </row>
    <row r="292" spans="2:9" ht="14.4">
      <c r="B292" s="60"/>
      <c r="C292" s="60"/>
      <c r="E292" s="61"/>
      <c r="F292" s="61"/>
      <c r="G292" s="61"/>
      <c r="I292" s="62"/>
    </row>
    <row r="293" spans="2:9" ht="14.4">
      <c r="B293" s="60"/>
      <c r="C293" s="60"/>
      <c r="E293" s="61"/>
      <c r="F293" s="61"/>
      <c r="G293" s="61"/>
      <c r="I293" s="62"/>
    </row>
    <row r="294" spans="2:9" ht="14.4">
      <c r="B294" s="60"/>
      <c r="C294" s="60"/>
      <c r="E294" s="61"/>
      <c r="F294" s="61"/>
      <c r="G294" s="61"/>
      <c r="I294" s="62"/>
    </row>
    <row r="295" spans="2:9" ht="14.4">
      <c r="B295" s="60"/>
      <c r="C295" s="60"/>
      <c r="E295" s="61"/>
      <c r="F295" s="61"/>
      <c r="G295" s="61"/>
      <c r="I295" s="62"/>
    </row>
    <row r="296" spans="2:9" ht="14.4">
      <c r="B296" s="60"/>
      <c r="C296" s="60"/>
      <c r="E296" s="61"/>
      <c r="F296" s="61"/>
      <c r="G296" s="61"/>
      <c r="I296" s="62"/>
    </row>
    <row r="297" spans="2:9" ht="14.4">
      <c r="B297" s="60"/>
      <c r="C297" s="60"/>
      <c r="E297" s="61"/>
      <c r="F297" s="61"/>
      <c r="G297" s="61"/>
      <c r="I297" s="62"/>
    </row>
    <row r="298" spans="2:9" ht="14.4">
      <c r="B298" s="60"/>
      <c r="C298" s="60"/>
      <c r="E298" s="61"/>
      <c r="F298" s="61"/>
      <c r="G298" s="61"/>
      <c r="I298" s="62"/>
    </row>
    <row r="299" spans="2:9" ht="14.4">
      <c r="B299" s="60"/>
      <c r="C299" s="60"/>
      <c r="E299" s="61"/>
      <c r="F299" s="61"/>
      <c r="G299" s="61"/>
      <c r="I299" s="62"/>
    </row>
    <row r="300" spans="2:9" ht="14.4">
      <c r="B300" s="60"/>
      <c r="C300" s="60"/>
      <c r="E300" s="61"/>
      <c r="F300" s="61"/>
      <c r="G300" s="61"/>
      <c r="I300" s="62"/>
    </row>
    <row r="301" spans="2:9" ht="14.4">
      <c r="B301" s="60"/>
      <c r="C301" s="60"/>
      <c r="E301" s="61"/>
      <c r="F301" s="61"/>
      <c r="G301" s="61"/>
      <c r="I301" s="62"/>
    </row>
    <row r="302" spans="2:9" ht="14.4">
      <c r="B302" s="60"/>
      <c r="C302" s="60"/>
      <c r="E302" s="61"/>
      <c r="F302" s="61"/>
      <c r="G302" s="61"/>
      <c r="I302" s="62"/>
    </row>
    <row r="303" spans="2:9" ht="14.4">
      <c r="B303" s="60"/>
      <c r="C303" s="60"/>
      <c r="E303" s="61"/>
      <c r="F303" s="61"/>
      <c r="G303" s="61"/>
      <c r="I303" s="62"/>
    </row>
    <row r="304" spans="2:9" ht="14.4">
      <c r="B304" s="60"/>
      <c r="C304" s="60"/>
      <c r="E304" s="61"/>
      <c r="F304" s="61"/>
      <c r="G304" s="61"/>
      <c r="I304" s="62"/>
    </row>
    <row r="305" spans="2:9" ht="14.4">
      <c r="B305" s="60"/>
      <c r="C305" s="60"/>
      <c r="E305" s="61"/>
      <c r="F305" s="61"/>
      <c r="G305" s="61"/>
      <c r="I305" s="62"/>
    </row>
    <row r="306" spans="2:9" ht="14.4">
      <c r="B306" s="60"/>
      <c r="C306" s="60"/>
      <c r="E306" s="61"/>
      <c r="F306" s="61"/>
      <c r="G306" s="61"/>
      <c r="I306" s="62"/>
    </row>
    <row r="307" spans="2:9" ht="14.4">
      <c r="B307" s="60"/>
      <c r="C307" s="60"/>
      <c r="E307" s="61"/>
      <c r="F307" s="61"/>
      <c r="G307" s="61"/>
      <c r="I307" s="62"/>
    </row>
    <row r="308" spans="2:9" ht="14.4">
      <c r="B308" s="60"/>
      <c r="C308" s="60"/>
      <c r="E308" s="61"/>
      <c r="F308" s="61"/>
      <c r="G308" s="61"/>
      <c r="I308" s="62"/>
    </row>
    <row r="309" spans="2:9" ht="14.4">
      <c r="B309" s="60"/>
      <c r="C309" s="60"/>
      <c r="E309" s="61"/>
      <c r="F309" s="61"/>
      <c r="G309" s="61"/>
      <c r="I309" s="62"/>
    </row>
    <row r="310" spans="2:9" ht="14.4">
      <c r="B310" s="60"/>
      <c r="C310" s="60"/>
      <c r="E310" s="61"/>
      <c r="F310" s="61"/>
      <c r="G310" s="61"/>
      <c r="I310" s="62"/>
    </row>
    <row r="311" spans="2:9" ht="14.4">
      <c r="B311" s="60"/>
      <c r="C311" s="60"/>
      <c r="E311" s="61"/>
      <c r="F311" s="61"/>
      <c r="G311" s="61"/>
      <c r="I311" s="62"/>
    </row>
    <row r="312" spans="2:9" ht="14.4">
      <c r="B312" s="60"/>
      <c r="C312" s="60"/>
      <c r="E312" s="61"/>
      <c r="F312" s="61"/>
      <c r="G312" s="61"/>
      <c r="I312" s="62"/>
    </row>
    <row r="313" spans="2:9" ht="14.4">
      <c r="B313" s="60"/>
      <c r="C313" s="60"/>
      <c r="E313" s="61"/>
      <c r="F313" s="61"/>
      <c r="G313" s="61"/>
      <c r="I313" s="62"/>
    </row>
    <row r="314" spans="2:9" ht="14.4">
      <c r="B314" s="60"/>
      <c r="C314" s="60"/>
      <c r="E314" s="61"/>
      <c r="F314" s="61"/>
      <c r="G314" s="61"/>
      <c r="I314" s="62"/>
    </row>
    <row r="315" spans="2:9" ht="14.4">
      <c r="B315" s="60"/>
      <c r="C315" s="60"/>
      <c r="E315" s="61"/>
      <c r="F315" s="61"/>
      <c r="G315" s="61"/>
      <c r="I315" s="62"/>
    </row>
    <row r="316" spans="2:9" ht="14.4">
      <c r="B316" s="60"/>
      <c r="C316" s="60"/>
      <c r="E316" s="61"/>
      <c r="F316" s="61"/>
      <c r="G316" s="61"/>
      <c r="I316" s="62"/>
    </row>
    <row r="317" spans="2:9" ht="14.4">
      <c r="B317" s="60"/>
      <c r="C317" s="60"/>
      <c r="E317" s="61"/>
      <c r="F317" s="61"/>
      <c r="G317" s="61"/>
      <c r="I317" s="62"/>
    </row>
    <row r="318" spans="2:9" ht="14.4">
      <c r="B318" s="60"/>
      <c r="C318" s="60"/>
      <c r="E318" s="61"/>
      <c r="F318" s="61"/>
      <c r="G318" s="61"/>
      <c r="I318" s="62"/>
    </row>
    <row r="319" spans="2:9" ht="14.4">
      <c r="B319" s="60"/>
      <c r="C319" s="60"/>
      <c r="E319" s="61"/>
      <c r="F319" s="61"/>
      <c r="G319" s="61"/>
      <c r="I319" s="62"/>
    </row>
    <row r="320" spans="2:9" ht="14.4">
      <c r="B320" s="60"/>
      <c r="C320" s="60"/>
      <c r="E320" s="61"/>
      <c r="F320" s="61"/>
      <c r="G320" s="61"/>
      <c r="I320" s="62"/>
    </row>
    <row r="321" spans="2:9" ht="14.4">
      <c r="B321" s="60"/>
      <c r="C321" s="60"/>
      <c r="E321" s="61"/>
      <c r="F321" s="61"/>
      <c r="G321" s="61"/>
      <c r="I321" s="62"/>
    </row>
    <row r="322" spans="2:9" ht="14.4">
      <c r="B322" s="60"/>
      <c r="C322" s="60"/>
      <c r="E322" s="61"/>
      <c r="F322" s="61"/>
      <c r="G322" s="61"/>
      <c r="I322" s="62"/>
    </row>
    <row r="323" spans="2:9" ht="14.4">
      <c r="B323" s="60"/>
      <c r="C323" s="60"/>
      <c r="E323" s="61"/>
      <c r="F323" s="61"/>
      <c r="G323" s="61"/>
      <c r="I323" s="62"/>
    </row>
    <row r="324" spans="2:9" ht="14.4">
      <c r="B324" s="60"/>
      <c r="C324" s="60"/>
      <c r="E324" s="61"/>
      <c r="F324" s="61"/>
      <c r="G324" s="61"/>
      <c r="I324" s="62"/>
    </row>
    <row r="325" spans="2:9" ht="14.4">
      <c r="B325" s="60"/>
      <c r="C325" s="60"/>
      <c r="E325" s="61"/>
      <c r="F325" s="61"/>
      <c r="G325" s="61"/>
      <c r="I325" s="62"/>
    </row>
    <row r="326" spans="2:9" ht="14.4">
      <c r="B326" s="60"/>
      <c r="C326" s="60"/>
      <c r="E326" s="61"/>
      <c r="F326" s="61"/>
      <c r="G326" s="61"/>
      <c r="I326" s="62"/>
    </row>
    <row r="327" spans="2:9" ht="14.4">
      <c r="B327" s="60"/>
      <c r="C327" s="60"/>
      <c r="E327" s="61"/>
      <c r="F327" s="61"/>
      <c r="G327" s="61"/>
      <c r="I327" s="62"/>
    </row>
    <row r="328" spans="2:9" ht="14.4">
      <c r="B328" s="60"/>
      <c r="C328" s="60"/>
      <c r="E328" s="61"/>
      <c r="F328" s="61"/>
      <c r="G328" s="61"/>
      <c r="I328" s="62"/>
    </row>
    <row r="329" spans="2:9" ht="14.4">
      <c r="B329" s="60"/>
      <c r="C329" s="60"/>
      <c r="E329" s="61"/>
      <c r="F329" s="61"/>
      <c r="G329" s="61"/>
      <c r="I329" s="62"/>
    </row>
    <row r="330" spans="2:9" ht="14.4">
      <c r="B330" s="60"/>
      <c r="C330" s="60"/>
      <c r="E330" s="61"/>
      <c r="F330" s="61"/>
      <c r="G330" s="61"/>
      <c r="I330" s="62"/>
    </row>
    <row r="331" spans="2:9" ht="14.4">
      <c r="B331" s="60"/>
      <c r="C331" s="60"/>
      <c r="E331" s="61"/>
      <c r="F331" s="61"/>
      <c r="G331" s="61"/>
      <c r="I331" s="62"/>
    </row>
    <row r="332" spans="2:9" ht="14.4">
      <c r="B332" s="60"/>
      <c r="C332" s="60"/>
      <c r="E332" s="61"/>
      <c r="F332" s="61"/>
      <c r="G332" s="61"/>
      <c r="I332" s="62"/>
    </row>
    <row r="333" spans="2:9" ht="14.4">
      <c r="B333" s="60"/>
      <c r="C333" s="60"/>
      <c r="E333" s="61"/>
      <c r="F333" s="61"/>
      <c r="G333" s="61"/>
      <c r="I333" s="62"/>
    </row>
    <row r="334" spans="2:9" ht="14.4">
      <c r="B334" s="60"/>
      <c r="C334" s="60"/>
      <c r="E334" s="61"/>
      <c r="F334" s="61"/>
      <c r="G334" s="61"/>
      <c r="I334" s="62"/>
    </row>
    <row r="335" spans="2:9" ht="14.4">
      <c r="B335" s="60"/>
      <c r="C335" s="60"/>
      <c r="E335" s="61"/>
      <c r="F335" s="61"/>
      <c r="G335" s="61"/>
      <c r="I335" s="62"/>
    </row>
    <row r="336" spans="2:9" ht="14.4">
      <c r="B336" s="60"/>
      <c r="C336" s="60"/>
      <c r="E336" s="61"/>
      <c r="F336" s="61"/>
      <c r="G336" s="61"/>
      <c r="I336" s="62"/>
    </row>
    <row r="337" spans="2:9" ht="14.4">
      <c r="B337" s="60"/>
      <c r="C337" s="60"/>
      <c r="E337" s="61"/>
      <c r="F337" s="61"/>
      <c r="G337" s="61"/>
      <c r="I337" s="62"/>
    </row>
    <row r="338" spans="2:9" ht="14.4">
      <c r="B338" s="60"/>
      <c r="C338" s="60"/>
      <c r="E338" s="61"/>
      <c r="F338" s="61"/>
      <c r="G338" s="61"/>
      <c r="I338" s="62"/>
    </row>
    <row r="339" spans="2:9" ht="14.4">
      <c r="B339" s="60"/>
      <c r="C339" s="60"/>
      <c r="E339" s="61"/>
      <c r="F339" s="61"/>
      <c r="G339" s="61"/>
      <c r="I339" s="62"/>
    </row>
    <row r="340" spans="2:9" ht="14.4">
      <c r="B340" s="60"/>
      <c r="C340" s="60"/>
      <c r="E340" s="61"/>
      <c r="F340" s="61"/>
      <c r="G340" s="61"/>
      <c r="I340" s="62"/>
    </row>
    <row r="341" spans="2:9" ht="14.4">
      <c r="B341" s="60"/>
      <c r="C341" s="60"/>
      <c r="E341" s="61"/>
      <c r="F341" s="61"/>
      <c r="G341" s="61"/>
      <c r="I341" s="62"/>
    </row>
    <row r="342" spans="2:9" ht="14.4">
      <c r="B342" s="60"/>
      <c r="C342" s="60"/>
      <c r="E342" s="61"/>
      <c r="F342" s="61"/>
      <c r="G342" s="61"/>
      <c r="I342" s="62"/>
    </row>
    <row r="343" spans="2:9" ht="14.4">
      <c r="B343" s="60"/>
      <c r="C343" s="60"/>
      <c r="E343" s="61"/>
      <c r="F343" s="61"/>
      <c r="G343" s="61"/>
      <c r="I343" s="62"/>
    </row>
    <row r="344" spans="2:9" ht="14.4">
      <c r="B344" s="60"/>
      <c r="C344" s="60"/>
      <c r="E344" s="61"/>
      <c r="F344" s="61"/>
      <c r="G344" s="61"/>
      <c r="I344" s="62"/>
    </row>
    <row r="345" spans="2:9" ht="14.4">
      <c r="B345" s="60"/>
      <c r="C345" s="60"/>
      <c r="E345" s="61"/>
      <c r="F345" s="61"/>
      <c r="G345" s="61"/>
      <c r="I345" s="62"/>
    </row>
    <row r="346" spans="2:9" ht="14.4">
      <c r="B346" s="60"/>
      <c r="C346" s="60"/>
      <c r="E346" s="61"/>
      <c r="F346" s="61"/>
      <c r="G346" s="61"/>
      <c r="I346" s="62"/>
    </row>
    <row r="347" spans="2:9" ht="14.4">
      <c r="B347" s="60"/>
      <c r="C347" s="60"/>
      <c r="E347" s="61"/>
      <c r="F347" s="61"/>
      <c r="G347" s="61"/>
      <c r="I347" s="62"/>
    </row>
    <row r="348" spans="2:9" ht="14.4">
      <c r="B348" s="60"/>
      <c r="C348" s="60"/>
      <c r="E348" s="61"/>
      <c r="F348" s="61"/>
      <c r="G348" s="61"/>
      <c r="I348" s="62"/>
    </row>
    <row r="349" spans="2:9" ht="14.4">
      <c r="B349" s="60"/>
      <c r="C349" s="60"/>
      <c r="E349" s="61"/>
      <c r="F349" s="61"/>
      <c r="G349" s="61"/>
      <c r="I349" s="62"/>
    </row>
    <row r="350" spans="2:9" ht="14.4">
      <c r="B350" s="60"/>
      <c r="C350" s="60"/>
      <c r="E350" s="61"/>
      <c r="F350" s="61"/>
      <c r="G350" s="61"/>
      <c r="I350" s="62"/>
    </row>
    <row r="351" spans="2:9" ht="14.4">
      <c r="B351" s="60"/>
      <c r="C351" s="60"/>
      <c r="E351" s="61"/>
      <c r="F351" s="61"/>
      <c r="G351" s="61"/>
      <c r="I351" s="62"/>
    </row>
    <row r="352" spans="2:9" ht="14.4">
      <c r="B352" s="60"/>
      <c r="C352" s="60"/>
      <c r="E352" s="61"/>
      <c r="F352" s="61"/>
      <c r="G352" s="61"/>
      <c r="I352" s="62"/>
    </row>
    <row r="353" spans="2:9" ht="14.4">
      <c r="B353" s="60"/>
      <c r="C353" s="60"/>
      <c r="E353" s="61"/>
      <c r="F353" s="61"/>
      <c r="G353" s="61"/>
      <c r="I353" s="62"/>
    </row>
    <row r="354" spans="2:9" ht="14.4">
      <c r="B354" s="60"/>
      <c r="C354" s="60"/>
      <c r="E354" s="61"/>
      <c r="F354" s="61"/>
      <c r="G354" s="61"/>
      <c r="I354" s="62"/>
    </row>
    <row r="355" spans="2:9" ht="14.4">
      <c r="B355" s="60"/>
      <c r="C355" s="60"/>
      <c r="E355" s="61"/>
      <c r="F355" s="61"/>
      <c r="G355" s="61"/>
      <c r="I355" s="62"/>
    </row>
    <row r="356" spans="2:9" ht="14.4">
      <c r="B356" s="60"/>
      <c r="C356" s="60"/>
      <c r="E356" s="61"/>
      <c r="F356" s="61"/>
      <c r="G356" s="61"/>
      <c r="I356" s="62"/>
    </row>
    <row r="357" spans="2:9" ht="14.4">
      <c r="B357" s="60"/>
      <c r="C357" s="60"/>
      <c r="E357" s="61"/>
      <c r="F357" s="61"/>
      <c r="G357" s="61"/>
      <c r="I357" s="62"/>
    </row>
    <row r="358" spans="2:9" ht="14.4">
      <c r="B358" s="60"/>
      <c r="C358" s="60"/>
      <c r="E358" s="61"/>
      <c r="F358" s="61"/>
      <c r="G358" s="61"/>
      <c r="I358" s="62"/>
    </row>
    <row r="359" spans="2:9" ht="14.4">
      <c r="B359" s="60"/>
      <c r="C359" s="60"/>
      <c r="E359" s="61"/>
      <c r="F359" s="61"/>
      <c r="G359" s="61"/>
      <c r="I359" s="62"/>
    </row>
    <row r="360" spans="2:9" ht="14.4">
      <c r="B360" s="60"/>
      <c r="C360" s="60"/>
      <c r="E360" s="61"/>
      <c r="F360" s="61"/>
      <c r="G360" s="61"/>
      <c r="I360" s="62"/>
    </row>
    <row r="361" spans="2:9" ht="14.4">
      <c r="B361" s="60"/>
      <c r="C361" s="60"/>
      <c r="E361" s="61"/>
      <c r="F361" s="61"/>
      <c r="G361" s="61"/>
      <c r="I361" s="62"/>
    </row>
    <row r="362" spans="2:9" ht="14.4">
      <c r="B362" s="60"/>
      <c r="C362" s="60"/>
      <c r="E362" s="61"/>
      <c r="F362" s="61"/>
      <c r="G362" s="61"/>
      <c r="I362" s="62"/>
    </row>
    <row r="363" spans="2:9" ht="14.4">
      <c r="B363" s="60"/>
      <c r="C363" s="60"/>
      <c r="E363" s="61"/>
      <c r="F363" s="61"/>
      <c r="G363" s="61"/>
      <c r="I363" s="62"/>
    </row>
    <row r="364" spans="2:9" ht="14.4">
      <c r="B364" s="60"/>
      <c r="C364" s="60"/>
      <c r="E364" s="61"/>
      <c r="F364" s="61"/>
      <c r="G364" s="61"/>
      <c r="I364" s="62"/>
    </row>
    <row r="365" spans="2:9" ht="14.4">
      <c r="B365" s="60"/>
      <c r="C365" s="60"/>
      <c r="E365" s="61"/>
      <c r="F365" s="61"/>
      <c r="G365" s="61"/>
      <c r="I365" s="62"/>
    </row>
    <row r="366" spans="2:9" ht="14.4">
      <c r="B366" s="60"/>
      <c r="C366" s="60"/>
      <c r="E366" s="61"/>
      <c r="F366" s="61"/>
      <c r="G366" s="61"/>
      <c r="I366" s="62"/>
    </row>
    <row r="367" spans="2:9" ht="14.4">
      <c r="B367" s="60"/>
      <c r="C367" s="60"/>
      <c r="E367" s="61"/>
      <c r="F367" s="61"/>
      <c r="G367" s="61"/>
      <c r="I367" s="62"/>
    </row>
    <row r="368" spans="2:9" ht="14.4">
      <c r="B368" s="60"/>
      <c r="C368" s="60"/>
      <c r="E368" s="61"/>
      <c r="F368" s="61"/>
      <c r="G368" s="61"/>
      <c r="I368" s="62"/>
    </row>
    <row r="369" spans="2:9" ht="14.4">
      <c r="B369" s="60"/>
      <c r="C369" s="60"/>
      <c r="E369" s="61"/>
      <c r="F369" s="61"/>
      <c r="G369" s="61"/>
      <c r="I369" s="62"/>
    </row>
    <row r="370" spans="2:9" ht="14.4">
      <c r="B370" s="60"/>
      <c r="C370" s="60"/>
      <c r="E370" s="61"/>
      <c r="F370" s="61"/>
      <c r="G370" s="61"/>
      <c r="I370" s="62"/>
    </row>
    <row r="371" spans="2:9" ht="14.4">
      <c r="B371" s="60"/>
      <c r="C371" s="60"/>
      <c r="E371" s="61"/>
      <c r="F371" s="61"/>
      <c r="G371" s="61"/>
      <c r="I371" s="62"/>
    </row>
    <row r="372" spans="2:9" ht="14.4">
      <c r="B372" s="60"/>
      <c r="C372" s="60"/>
      <c r="E372" s="61"/>
      <c r="F372" s="61"/>
      <c r="G372" s="61"/>
      <c r="I372" s="62"/>
    </row>
    <row r="373" spans="2:9" ht="14.4">
      <c r="B373" s="60"/>
      <c r="C373" s="60"/>
      <c r="E373" s="61"/>
      <c r="F373" s="61"/>
      <c r="G373" s="61"/>
      <c r="I373" s="62"/>
    </row>
    <row r="374" spans="2:9" ht="14.4">
      <c r="B374" s="60"/>
      <c r="C374" s="60"/>
      <c r="E374" s="61"/>
      <c r="F374" s="61"/>
      <c r="G374" s="61"/>
      <c r="I374" s="62"/>
    </row>
    <row r="375" spans="2:9" ht="14.4">
      <c r="B375" s="60"/>
      <c r="C375" s="60"/>
      <c r="E375" s="61"/>
      <c r="F375" s="61"/>
      <c r="G375" s="61"/>
      <c r="I375" s="62"/>
    </row>
    <row r="376" spans="2:9" ht="14.4">
      <c r="B376" s="60"/>
      <c r="C376" s="60"/>
      <c r="E376" s="61"/>
      <c r="F376" s="61"/>
      <c r="G376" s="61"/>
      <c r="I376" s="62"/>
    </row>
    <row r="377" spans="2:9" ht="14.4">
      <c r="B377" s="60"/>
      <c r="C377" s="60"/>
      <c r="E377" s="61"/>
      <c r="F377" s="61"/>
      <c r="G377" s="61"/>
      <c r="I377" s="62"/>
    </row>
    <row r="378" spans="2:9" ht="14.4">
      <c r="B378" s="60"/>
      <c r="C378" s="60"/>
      <c r="E378" s="61"/>
      <c r="F378" s="61"/>
      <c r="G378" s="61"/>
      <c r="I378" s="62"/>
    </row>
    <row r="379" spans="2:9" ht="14.4">
      <c r="B379" s="60"/>
      <c r="C379" s="60"/>
      <c r="E379" s="61"/>
      <c r="F379" s="61"/>
      <c r="G379" s="61"/>
      <c r="I379" s="62"/>
    </row>
    <row r="380" spans="2:9" ht="14.4">
      <c r="B380" s="60"/>
      <c r="C380" s="60"/>
      <c r="E380" s="61"/>
      <c r="F380" s="61"/>
      <c r="G380" s="61"/>
      <c r="I380" s="62"/>
    </row>
    <row r="381" spans="2:9" ht="14.4">
      <c r="B381" s="60"/>
      <c r="C381" s="60"/>
      <c r="E381" s="61"/>
      <c r="F381" s="61"/>
      <c r="G381" s="61"/>
      <c r="I381" s="62"/>
    </row>
    <row r="382" spans="2:9" ht="14.4">
      <c r="B382" s="60"/>
      <c r="C382" s="60"/>
      <c r="E382" s="61"/>
      <c r="F382" s="61"/>
      <c r="G382" s="61"/>
      <c r="I382" s="62"/>
    </row>
    <row r="383" spans="2:9" ht="14.4">
      <c r="B383" s="60"/>
      <c r="C383" s="60"/>
      <c r="E383" s="61"/>
      <c r="F383" s="61"/>
      <c r="G383" s="61"/>
      <c r="I383" s="62"/>
    </row>
    <row r="384" spans="2:9" ht="14.4">
      <c r="B384" s="60"/>
      <c r="C384" s="60"/>
      <c r="E384" s="61"/>
      <c r="F384" s="61"/>
      <c r="G384" s="61"/>
      <c r="I384" s="62"/>
    </row>
    <row r="385" spans="2:9" ht="14.4">
      <c r="B385" s="60"/>
      <c r="C385" s="60"/>
      <c r="E385" s="61"/>
      <c r="F385" s="61"/>
      <c r="G385" s="61"/>
      <c r="I385" s="62"/>
    </row>
    <row r="386" spans="2:9" ht="14.4">
      <c r="B386" s="60"/>
      <c r="C386" s="60"/>
      <c r="E386" s="61"/>
      <c r="F386" s="61"/>
      <c r="G386" s="61"/>
      <c r="I386" s="62"/>
    </row>
    <row r="387" spans="2:9" ht="14.4">
      <c r="B387" s="60"/>
      <c r="C387" s="60"/>
      <c r="E387" s="61"/>
      <c r="F387" s="61"/>
      <c r="G387" s="61"/>
      <c r="I387" s="62"/>
    </row>
    <row r="388" spans="2:9" ht="14.4">
      <c r="B388" s="60"/>
      <c r="C388" s="60"/>
      <c r="E388" s="61"/>
      <c r="F388" s="61"/>
      <c r="G388" s="61"/>
      <c r="I388" s="62"/>
    </row>
    <row r="389" spans="2:9" ht="14.4">
      <c r="B389" s="60"/>
      <c r="C389" s="60"/>
      <c r="E389" s="61"/>
      <c r="F389" s="61"/>
      <c r="G389" s="61"/>
      <c r="I389" s="62"/>
    </row>
    <row r="390" spans="2:9" ht="14.4">
      <c r="B390" s="60"/>
      <c r="C390" s="60"/>
      <c r="E390" s="61"/>
      <c r="F390" s="61"/>
      <c r="G390" s="61"/>
      <c r="I390" s="62"/>
    </row>
    <row r="391" spans="2:9" ht="14.4">
      <c r="B391" s="60"/>
      <c r="C391" s="60"/>
      <c r="E391" s="61"/>
      <c r="F391" s="61"/>
      <c r="G391" s="61"/>
      <c r="I391" s="62"/>
    </row>
    <row r="392" spans="2:9" ht="14.4">
      <c r="B392" s="60"/>
      <c r="C392" s="60"/>
      <c r="E392" s="61"/>
      <c r="F392" s="61"/>
      <c r="G392" s="61"/>
      <c r="I392" s="62"/>
    </row>
    <row r="393" spans="2:9" ht="14.4">
      <c r="B393" s="60"/>
      <c r="C393" s="60"/>
      <c r="E393" s="61"/>
      <c r="F393" s="61"/>
      <c r="G393" s="61"/>
      <c r="I393" s="62"/>
    </row>
    <row r="394" spans="2:9" ht="14.4">
      <c r="B394" s="60"/>
      <c r="C394" s="60"/>
      <c r="E394" s="61"/>
      <c r="F394" s="61"/>
      <c r="G394" s="61"/>
      <c r="I394" s="62"/>
    </row>
    <row r="395" spans="2:9" ht="14.4">
      <c r="B395" s="60"/>
      <c r="C395" s="60"/>
      <c r="E395" s="61"/>
      <c r="F395" s="61"/>
      <c r="G395" s="61"/>
      <c r="I395" s="62"/>
    </row>
    <row r="396" spans="2:9" ht="14.4">
      <c r="B396" s="60"/>
      <c r="C396" s="60"/>
      <c r="E396" s="61"/>
      <c r="F396" s="61"/>
      <c r="G396" s="61"/>
      <c r="I396" s="62"/>
    </row>
    <row r="397" spans="2:9" ht="14.4">
      <c r="B397" s="60"/>
      <c r="C397" s="60"/>
      <c r="E397" s="61"/>
      <c r="F397" s="61"/>
      <c r="G397" s="61"/>
      <c r="I397" s="62"/>
    </row>
    <row r="398" spans="2:9" ht="14.4">
      <c r="B398" s="60"/>
      <c r="C398" s="60"/>
      <c r="E398" s="61"/>
      <c r="F398" s="61"/>
      <c r="G398" s="61"/>
      <c r="I398" s="62"/>
    </row>
    <row r="399" spans="2:9" ht="14.4">
      <c r="B399" s="60"/>
      <c r="C399" s="60"/>
      <c r="E399" s="61"/>
      <c r="F399" s="61"/>
      <c r="G399" s="61"/>
      <c r="I399" s="62"/>
    </row>
    <row r="400" spans="2:9" ht="14.4">
      <c r="B400" s="60"/>
      <c r="C400" s="60"/>
      <c r="E400" s="61"/>
      <c r="F400" s="61"/>
      <c r="G400" s="61"/>
      <c r="I400" s="62"/>
    </row>
    <row r="401" spans="2:9" ht="14.4">
      <c r="B401" s="60"/>
      <c r="C401" s="60"/>
      <c r="E401" s="61"/>
      <c r="F401" s="61"/>
      <c r="G401" s="61"/>
      <c r="I401" s="62"/>
    </row>
    <row r="402" spans="2:9" ht="14.4">
      <c r="B402" s="60"/>
      <c r="C402" s="60"/>
      <c r="E402" s="61"/>
      <c r="F402" s="61"/>
      <c r="G402" s="61"/>
      <c r="I402" s="62"/>
    </row>
    <row r="403" spans="2:9" ht="14.4">
      <c r="B403" s="60"/>
      <c r="C403" s="60"/>
      <c r="E403" s="61"/>
      <c r="F403" s="61"/>
      <c r="G403" s="61"/>
      <c r="I403" s="62"/>
    </row>
    <row r="404" spans="2:9" ht="14.4">
      <c r="B404" s="60"/>
      <c r="C404" s="60"/>
      <c r="E404" s="61"/>
      <c r="F404" s="61"/>
      <c r="G404" s="61"/>
      <c r="I404" s="62"/>
    </row>
    <row r="405" spans="2:9" ht="14.4">
      <c r="B405" s="60"/>
      <c r="C405" s="60"/>
      <c r="E405" s="61"/>
      <c r="F405" s="61"/>
      <c r="G405" s="61"/>
      <c r="I405" s="62"/>
    </row>
    <row r="406" spans="2:9" ht="14.4">
      <c r="B406" s="60"/>
      <c r="C406" s="60"/>
      <c r="E406" s="61"/>
      <c r="F406" s="61"/>
      <c r="G406" s="61"/>
      <c r="I406" s="62"/>
    </row>
    <row r="407" spans="2:9" ht="14.4">
      <c r="B407" s="60"/>
      <c r="C407" s="60"/>
      <c r="E407" s="61"/>
      <c r="F407" s="61"/>
      <c r="G407" s="61"/>
      <c r="I407" s="62"/>
    </row>
    <row r="408" spans="2:9" ht="14.4">
      <c r="B408" s="60"/>
      <c r="C408" s="60"/>
      <c r="E408" s="61"/>
      <c r="F408" s="61"/>
      <c r="G408" s="61"/>
      <c r="I408" s="62"/>
    </row>
    <row r="409" spans="2:9" ht="14.4">
      <c r="B409" s="60"/>
      <c r="C409" s="60"/>
      <c r="E409" s="61"/>
      <c r="F409" s="61"/>
      <c r="G409" s="61"/>
      <c r="I409" s="62"/>
    </row>
    <row r="410" spans="2:9" ht="14.4">
      <c r="B410" s="60"/>
      <c r="C410" s="60"/>
      <c r="E410" s="61"/>
      <c r="F410" s="61"/>
      <c r="G410" s="61"/>
      <c r="I410" s="62"/>
    </row>
    <row r="411" spans="2:9" ht="14.4">
      <c r="B411" s="60"/>
      <c r="C411" s="60"/>
      <c r="E411" s="61"/>
      <c r="F411" s="61"/>
      <c r="G411" s="61"/>
      <c r="I411" s="62"/>
    </row>
    <row r="412" spans="2:9" ht="14.4">
      <c r="B412" s="60"/>
      <c r="C412" s="60"/>
      <c r="E412" s="61"/>
      <c r="F412" s="61"/>
      <c r="G412" s="61"/>
      <c r="I412" s="62"/>
    </row>
    <row r="413" spans="2:9" ht="14.4">
      <c r="B413" s="60"/>
      <c r="C413" s="60"/>
      <c r="E413" s="61"/>
      <c r="F413" s="61"/>
      <c r="G413" s="61"/>
      <c r="I413" s="62"/>
    </row>
    <row r="414" spans="2:9" ht="14.4">
      <c r="B414" s="60"/>
      <c r="C414" s="60"/>
      <c r="E414" s="61"/>
      <c r="F414" s="61"/>
      <c r="G414" s="61"/>
      <c r="I414" s="62"/>
    </row>
    <row r="415" spans="2:9" ht="14.4">
      <c r="B415" s="60"/>
      <c r="C415" s="60"/>
      <c r="E415" s="61"/>
      <c r="F415" s="61"/>
      <c r="G415" s="61"/>
      <c r="I415" s="62"/>
    </row>
    <row r="416" spans="2:9" ht="14.4">
      <c r="B416" s="60"/>
      <c r="C416" s="60"/>
      <c r="E416" s="61"/>
      <c r="F416" s="61"/>
      <c r="G416" s="61"/>
      <c r="I416" s="62"/>
    </row>
    <row r="417" spans="2:9" ht="14.4">
      <c r="B417" s="60"/>
      <c r="C417" s="60"/>
      <c r="E417" s="61"/>
      <c r="F417" s="61"/>
      <c r="G417" s="61"/>
      <c r="I417" s="62"/>
    </row>
    <row r="418" spans="2:9" ht="14.4">
      <c r="B418" s="60"/>
      <c r="C418" s="60"/>
      <c r="E418" s="61"/>
      <c r="F418" s="61"/>
      <c r="G418" s="61"/>
      <c r="I418" s="62"/>
    </row>
    <row r="419" spans="2:9" ht="14.4">
      <c r="B419" s="60"/>
      <c r="C419" s="60"/>
      <c r="E419" s="61"/>
      <c r="F419" s="61"/>
      <c r="G419" s="61"/>
      <c r="I419" s="62"/>
    </row>
    <row r="420" spans="2:9" ht="14.4">
      <c r="B420" s="60"/>
      <c r="C420" s="60"/>
      <c r="E420" s="61"/>
      <c r="F420" s="61"/>
      <c r="G420" s="61"/>
      <c r="I420" s="62"/>
    </row>
    <row r="421" spans="2:9" ht="14.4">
      <c r="B421" s="60"/>
      <c r="C421" s="60"/>
      <c r="E421" s="61"/>
      <c r="F421" s="61"/>
      <c r="G421" s="61"/>
      <c r="I421" s="62"/>
    </row>
    <row r="422" spans="2:9" ht="14.4">
      <c r="B422" s="60"/>
      <c r="C422" s="60"/>
      <c r="E422" s="61"/>
      <c r="F422" s="61"/>
      <c r="G422" s="61"/>
      <c r="I422" s="62"/>
    </row>
    <row r="423" spans="2:9" ht="14.4">
      <c r="B423" s="60"/>
      <c r="C423" s="60"/>
      <c r="E423" s="61"/>
      <c r="F423" s="61"/>
      <c r="G423" s="61"/>
      <c r="I423" s="62"/>
    </row>
    <row r="424" spans="2:9" ht="14.4">
      <c r="B424" s="60"/>
      <c r="C424" s="60"/>
      <c r="E424" s="61"/>
      <c r="F424" s="61"/>
      <c r="G424" s="61"/>
      <c r="I424" s="62"/>
    </row>
    <row r="425" spans="2:9" ht="14.4">
      <c r="B425" s="60"/>
      <c r="C425" s="60"/>
      <c r="E425" s="61"/>
      <c r="F425" s="61"/>
      <c r="G425" s="61"/>
      <c r="I425" s="62"/>
    </row>
    <row r="426" spans="2:9" ht="14.4">
      <c r="B426" s="60"/>
      <c r="C426" s="60"/>
      <c r="E426" s="61"/>
      <c r="F426" s="61"/>
      <c r="G426" s="61"/>
      <c r="I426" s="62"/>
    </row>
    <row r="427" spans="2:9" ht="14.4">
      <c r="B427" s="60"/>
      <c r="C427" s="60"/>
      <c r="E427" s="61"/>
      <c r="F427" s="61"/>
      <c r="G427" s="61"/>
      <c r="I427" s="62"/>
    </row>
    <row r="428" spans="2:9" ht="14.4">
      <c r="B428" s="60"/>
      <c r="C428" s="60"/>
      <c r="E428" s="61"/>
      <c r="F428" s="61"/>
      <c r="G428" s="61"/>
      <c r="I428" s="62"/>
    </row>
    <row r="429" spans="2:9" ht="14.4">
      <c r="B429" s="60"/>
      <c r="C429" s="60"/>
      <c r="E429" s="61"/>
      <c r="F429" s="61"/>
      <c r="G429" s="61"/>
      <c r="I429" s="62"/>
    </row>
    <row r="430" spans="2:9" ht="14.4">
      <c r="B430" s="60"/>
      <c r="C430" s="60"/>
      <c r="E430" s="61"/>
      <c r="F430" s="61"/>
      <c r="G430" s="61"/>
      <c r="I430" s="62"/>
    </row>
    <row r="431" spans="2:9" ht="14.4">
      <c r="B431" s="60"/>
      <c r="C431" s="60"/>
      <c r="E431" s="61"/>
      <c r="F431" s="61"/>
      <c r="G431" s="61"/>
      <c r="I431" s="62"/>
    </row>
    <row r="432" spans="2:9" ht="14.4">
      <c r="B432" s="60"/>
      <c r="C432" s="60"/>
      <c r="E432" s="61"/>
      <c r="F432" s="61"/>
      <c r="G432" s="61"/>
      <c r="I432" s="62"/>
    </row>
    <row r="433" spans="2:9" ht="14.4">
      <c r="B433" s="60"/>
      <c r="C433" s="60"/>
      <c r="E433" s="61"/>
      <c r="F433" s="61"/>
      <c r="G433" s="61"/>
      <c r="I433" s="62"/>
    </row>
    <row r="434" spans="2:9" ht="14.4">
      <c r="B434" s="60"/>
      <c r="C434" s="60"/>
      <c r="E434" s="61"/>
      <c r="F434" s="61"/>
      <c r="G434" s="61"/>
      <c r="I434" s="62"/>
    </row>
    <row r="435" spans="2:9" ht="14.4">
      <c r="B435" s="60"/>
      <c r="C435" s="60"/>
      <c r="E435" s="61"/>
      <c r="F435" s="61"/>
      <c r="G435" s="61"/>
      <c r="I435" s="62"/>
    </row>
    <row r="436" spans="2:9" ht="14.4">
      <c r="B436" s="60"/>
      <c r="C436" s="60"/>
      <c r="E436" s="61"/>
      <c r="F436" s="61"/>
      <c r="G436" s="61"/>
      <c r="I436" s="62"/>
    </row>
    <row r="437" spans="2:9" ht="14.4">
      <c r="B437" s="60"/>
      <c r="C437" s="60"/>
      <c r="E437" s="61"/>
      <c r="F437" s="61"/>
      <c r="G437" s="61"/>
      <c r="I437" s="62"/>
    </row>
    <row r="438" spans="2:9" ht="14.4">
      <c r="B438" s="60"/>
      <c r="C438" s="60"/>
      <c r="E438" s="61"/>
      <c r="F438" s="61"/>
      <c r="G438" s="61"/>
      <c r="I438" s="62"/>
    </row>
    <row r="439" spans="2:9" ht="14.4">
      <c r="B439" s="60"/>
      <c r="C439" s="60"/>
      <c r="E439" s="61"/>
      <c r="F439" s="61"/>
      <c r="G439" s="61"/>
      <c r="I439" s="62"/>
    </row>
    <row r="440" spans="2:9" ht="14.4">
      <c r="B440" s="60"/>
      <c r="C440" s="60"/>
      <c r="E440" s="61"/>
      <c r="F440" s="61"/>
      <c r="G440" s="61"/>
      <c r="I440" s="62"/>
    </row>
    <row r="441" spans="2:9" ht="14.4">
      <c r="B441" s="60"/>
      <c r="C441" s="60"/>
      <c r="E441" s="61"/>
      <c r="F441" s="61"/>
      <c r="G441" s="61"/>
      <c r="I441" s="62"/>
    </row>
    <row r="442" spans="2:9" ht="14.4">
      <c r="B442" s="60"/>
      <c r="C442" s="60"/>
      <c r="E442" s="61"/>
      <c r="F442" s="61"/>
      <c r="G442" s="61"/>
      <c r="I442" s="62"/>
    </row>
    <row r="443" spans="2:9" ht="14.4">
      <c r="B443" s="60"/>
      <c r="C443" s="60"/>
      <c r="E443" s="61"/>
      <c r="F443" s="61"/>
      <c r="G443" s="61"/>
      <c r="I443" s="62"/>
    </row>
    <row r="444" spans="2:9" ht="14.4">
      <c r="B444" s="60"/>
      <c r="C444" s="60"/>
      <c r="E444" s="61"/>
      <c r="F444" s="61"/>
      <c r="G444" s="61"/>
      <c r="I444" s="62"/>
    </row>
    <row r="445" spans="2:9" ht="14.4">
      <c r="B445" s="60"/>
      <c r="C445" s="60"/>
      <c r="E445" s="61"/>
      <c r="F445" s="61"/>
      <c r="G445" s="61"/>
      <c r="I445" s="62"/>
    </row>
    <row r="446" spans="2:9" ht="14.4">
      <c r="B446" s="60"/>
      <c r="C446" s="60"/>
      <c r="E446" s="61"/>
      <c r="F446" s="61"/>
      <c r="G446" s="61"/>
      <c r="I446" s="62"/>
    </row>
    <row r="447" spans="2:9" ht="14.4">
      <c r="B447" s="60"/>
      <c r="C447" s="60"/>
      <c r="E447" s="61"/>
      <c r="F447" s="61"/>
      <c r="G447" s="61"/>
      <c r="I447" s="62"/>
    </row>
    <row r="448" spans="2:9" ht="14.4">
      <c r="B448" s="60"/>
      <c r="C448" s="60"/>
      <c r="E448" s="61"/>
      <c r="F448" s="61"/>
      <c r="G448" s="61"/>
      <c r="I448" s="62"/>
    </row>
    <row r="449" spans="2:9" ht="14.4">
      <c r="B449" s="60"/>
      <c r="C449" s="60"/>
      <c r="E449" s="61"/>
      <c r="F449" s="61"/>
      <c r="G449" s="61"/>
      <c r="I449" s="62"/>
    </row>
    <row r="450" spans="2:9" ht="14.4">
      <c r="B450" s="60"/>
      <c r="C450" s="60"/>
      <c r="E450" s="61"/>
      <c r="F450" s="61"/>
      <c r="G450" s="61"/>
      <c r="I450" s="62"/>
    </row>
    <row r="451" spans="2:9" ht="14.4">
      <c r="B451" s="60"/>
      <c r="C451" s="60"/>
      <c r="E451" s="61"/>
      <c r="F451" s="61"/>
      <c r="G451" s="61"/>
      <c r="I451" s="62"/>
    </row>
    <row r="452" spans="2:9" ht="14.4">
      <c r="B452" s="60"/>
      <c r="C452" s="60"/>
      <c r="E452" s="61"/>
      <c r="F452" s="61"/>
      <c r="G452" s="61"/>
      <c r="I452" s="62"/>
    </row>
    <row r="453" spans="2:9" ht="14.4">
      <c r="B453" s="60"/>
      <c r="C453" s="60"/>
      <c r="E453" s="61"/>
      <c r="F453" s="61"/>
      <c r="G453" s="61"/>
      <c r="I453" s="62"/>
    </row>
    <row r="454" spans="2:9" ht="14.4">
      <c r="B454" s="60"/>
      <c r="C454" s="60"/>
      <c r="E454" s="61"/>
      <c r="F454" s="61"/>
      <c r="G454" s="61"/>
      <c r="I454" s="62"/>
    </row>
    <row r="455" spans="2:9" ht="14.4">
      <c r="B455" s="60"/>
      <c r="C455" s="60"/>
      <c r="E455" s="61"/>
      <c r="F455" s="61"/>
      <c r="G455" s="61"/>
      <c r="I455" s="62"/>
    </row>
    <row r="456" spans="2:9" ht="14.4">
      <c r="B456" s="60"/>
      <c r="C456" s="60"/>
      <c r="E456" s="61"/>
      <c r="F456" s="61"/>
      <c r="G456" s="61"/>
      <c r="I456" s="62"/>
    </row>
    <row r="457" spans="2:9" ht="14.4">
      <c r="B457" s="60"/>
      <c r="C457" s="60"/>
      <c r="E457" s="61"/>
      <c r="F457" s="61"/>
      <c r="G457" s="61"/>
      <c r="I457" s="62"/>
    </row>
    <row r="458" spans="2:9" ht="14.4">
      <c r="B458" s="60"/>
      <c r="C458" s="60"/>
      <c r="E458" s="61"/>
      <c r="F458" s="61"/>
      <c r="G458" s="61"/>
      <c r="I458" s="62"/>
    </row>
    <row r="459" spans="2:9" ht="14.4">
      <c r="B459" s="60"/>
      <c r="C459" s="60"/>
      <c r="E459" s="61"/>
      <c r="F459" s="61"/>
      <c r="G459" s="61"/>
      <c r="I459" s="62"/>
    </row>
    <row r="460" spans="2:9" ht="14.4">
      <c r="B460" s="60"/>
      <c r="C460" s="60"/>
      <c r="E460" s="61"/>
      <c r="F460" s="61"/>
      <c r="G460" s="61"/>
      <c r="I460" s="62"/>
    </row>
    <row r="461" spans="2:9" ht="14.4">
      <c r="B461" s="60"/>
      <c r="C461" s="60"/>
      <c r="E461" s="61"/>
      <c r="F461" s="61"/>
      <c r="G461" s="61"/>
      <c r="I461" s="62"/>
    </row>
    <row r="462" spans="2:9" ht="14.4">
      <c r="B462" s="60"/>
      <c r="C462" s="60"/>
      <c r="E462" s="61"/>
      <c r="F462" s="61"/>
      <c r="G462" s="61"/>
      <c r="I462" s="62"/>
    </row>
    <row r="463" spans="2:9" ht="14.4">
      <c r="B463" s="60"/>
      <c r="C463" s="60"/>
      <c r="E463" s="61"/>
      <c r="F463" s="61"/>
      <c r="G463" s="61"/>
      <c r="I463" s="62"/>
    </row>
    <row r="464" spans="2:9" ht="14.4">
      <c r="B464" s="60"/>
      <c r="C464" s="60"/>
      <c r="E464" s="61"/>
      <c r="F464" s="61"/>
      <c r="G464" s="61"/>
      <c r="I464" s="62"/>
    </row>
    <row r="465" spans="2:9" ht="14.4">
      <c r="B465" s="60"/>
      <c r="C465" s="60"/>
      <c r="E465" s="61"/>
      <c r="F465" s="61"/>
      <c r="G465" s="61"/>
      <c r="I465" s="62"/>
    </row>
    <row r="466" spans="2:9" ht="14.4">
      <c r="B466" s="60"/>
      <c r="C466" s="60"/>
      <c r="E466" s="61"/>
      <c r="F466" s="61"/>
      <c r="G466" s="61"/>
      <c r="I466" s="62"/>
    </row>
    <row r="467" spans="2:9" ht="14.4">
      <c r="B467" s="60"/>
      <c r="C467" s="60"/>
      <c r="E467" s="61"/>
      <c r="F467" s="61"/>
      <c r="G467" s="61"/>
      <c r="I467" s="62"/>
    </row>
    <row r="468" spans="2:9" ht="14.4">
      <c r="B468" s="60"/>
      <c r="C468" s="60"/>
      <c r="E468" s="61"/>
      <c r="F468" s="61"/>
      <c r="G468" s="61"/>
      <c r="I468" s="62"/>
    </row>
    <row r="469" spans="2:9" ht="14.4">
      <c r="B469" s="60"/>
      <c r="C469" s="60"/>
      <c r="E469" s="61"/>
      <c r="F469" s="61"/>
      <c r="G469" s="61"/>
      <c r="I469" s="62"/>
    </row>
    <row r="470" spans="2:9" ht="14.4">
      <c r="B470" s="60"/>
      <c r="C470" s="60"/>
      <c r="E470" s="61"/>
      <c r="F470" s="61"/>
      <c r="G470" s="61"/>
      <c r="I470" s="62"/>
    </row>
    <row r="471" spans="2:9" ht="14.4">
      <c r="B471" s="60"/>
      <c r="C471" s="60"/>
      <c r="E471" s="61"/>
      <c r="F471" s="61"/>
      <c r="G471" s="61"/>
      <c r="I471" s="62"/>
    </row>
    <row r="472" spans="2:9" ht="14.4">
      <c r="B472" s="60"/>
      <c r="C472" s="60"/>
      <c r="E472" s="61"/>
      <c r="F472" s="61"/>
      <c r="G472" s="61"/>
      <c r="I472" s="62"/>
    </row>
    <row r="473" spans="2:9" ht="14.4">
      <c r="B473" s="60"/>
      <c r="C473" s="60"/>
      <c r="E473" s="61"/>
      <c r="F473" s="61"/>
      <c r="G473" s="61"/>
      <c r="I473" s="62"/>
    </row>
    <row r="474" spans="2:9" ht="14.4">
      <c r="B474" s="60"/>
      <c r="C474" s="60"/>
      <c r="E474" s="61"/>
      <c r="F474" s="61"/>
      <c r="G474" s="61"/>
      <c r="I474" s="62"/>
    </row>
    <row r="475" spans="2:9" ht="14.4">
      <c r="B475" s="60"/>
      <c r="C475" s="60"/>
      <c r="E475" s="61"/>
      <c r="F475" s="61"/>
      <c r="G475" s="61"/>
      <c r="I475" s="62"/>
    </row>
    <row r="476" spans="2:9" ht="14.4">
      <c r="B476" s="60"/>
      <c r="C476" s="60"/>
      <c r="E476" s="61"/>
      <c r="F476" s="61"/>
      <c r="G476" s="61"/>
      <c r="I476" s="62"/>
    </row>
    <row r="477" spans="2:9" ht="14.4">
      <c r="B477" s="60"/>
      <c r="C477" s="60"/>
      <c r="E477" s="61"/>
      <c r="F477" s="61"/>
      <c r="G477" s="61"/>
      <c r="I477" s="62"/>
    </row>
    <row r="478" spans="2:9" ht="14.4">
      <c r="B478" s="60"/>
      <c r="C478" s="60"/>
      <c r="E478" s="61"/>
      <c r="F478" s="61"/>
      <c r="G478" s="61"/>
      <c r="I478" s="62"/>
    </row>
    <row r="479" spans="2:9" ht="14.4">
      <c r="B479" s="60"/>
      <c r="C479" s="60"/>
      <c r="E479" s="61"/>
      <c r="F479" s="61"/>
      <c r="G479" s="61"/>
      <c r="I479" s="62"/>
    </row>
    <row r="480" spans="2:9" ht="14.4">
      <c r="B480" s="60"/>
      <c r="C480" s="60"/>
      <c r="E480" s="61"/>
      <c r="F480" s="61"/>
      <c r="G480" s="61"/>
      <c r="I480" s="62"/>
    </row>
    <row r="481" spans="2:9" ht="14.4">
      <c r="B481" s="60"/>
      <c r="C481" s="60"/>
      <c r="E481" s="61"/>
      <c r="F481" s="61"/>
      <c r="G481" s="61"/>
      <c r="I481" s="62"/>
    </row>
    <row r="482" spans="2:9" ht="14.4">
      <c r="B482" s="60"/>
      <c r="C482" s="60"/>
      <c r="E482" s="61"/>
      <c r="F482" s="61"/>
      <c r="G482" s="61"/>
      <c r="I482" s="62"/>
    </row>
    <row r="483" spans="2:9" ht="14.4">
      <c r="B483" s="60"/>
      <c r="C483" s="60"/>
      <c r="E483" s="61"/>
      <c r="F483" s="61"/>
      <c r="G483" s="61"/>
      <c r="I483" s="62"/>
    </row>
    <row r="484" spans="2:9" ht="14.4">
      <c r="B484" s="60"/>
      <c r="C484" s="60"/>
      <c r="E484" s="61"/>
      <c r="F484" s="61"/>
      <c r="G484" s="61"/>
      <c r="I484" s="62"/>
    </row>
    <row r="485" spans="2:9" ht="14.4">
      <c r="B485" s="60"/>
      <c r="C485" s="60"/>
      <c r="E485" s="61"/>
      <c r="F485" s="61"/>
      <c r="G485" s="61"/>
      <c r="I485" s="62"/>
    </row>
    <row r="486" spans="2:9" ht="14.4">
      <c r="B486" s="60"/>
      <c r="C486" s="60"/>
      <c r="E486" s="61"/>
      <c r="F486" s="61"/>
      <c r="G486" s="61"/>
      <c r="I486" s="62"/>
    </row>
    <row r="487" spans="2:9" ht="14.4">
      <c r="B487" s="60"/>
      <c r="C487" s="60"/>
      <c r="E487" s="61"/>
      <c r="F487" s="61"/>
      <c r="G487" s="61"/>
      <c r="I487" s="62"/>
    </row>
    <row r="488" spans="2:9" ht="14.4">
      <c r="B488" s="60"/>
      <c r="C488" s="60"/>
      <c r="E488" s="61"/>
      <c r="F488" s="61"/>
      <c r="G488" s="61"/>
      <c r="I488" s="62"/>
    </row>
    <row r="489" spans="2:9" ht="14.4">
      <c r="B489" s="60"/>
      <c r="C489" s="60"/>
      <c r="E489" s="61"/>
      <c r="F489" s="61"/>
      <c r="G489" s="61"/>
      <c r="I489" s="62"/>
    </row>
    <row r="490" spans="2:9" ht="14.4">
      <c r="B490" s="60"/>
      <c r="C490" s="60"/>
      <c r="E490" s="61"/>
      <c r="F490" s="61"/>
      <c r="G490" s="61"/>
      <c r="I490" s="62"/>
    </row>
    <row r="491" spans="2:9" ht="14.4">
      <c r="B491" s="60"/>
      <c r="C491" s="60"/>
      <c r="E491" s="61"/>
      <c r="F491" s="61"/>
      <c r="G491" s="61"/>
      <c r="I491" s="62"/>
    </row>
    <row r="492" spans="2:9" ht="14.4">
      <c r="B492" s="60"/>
      <c r="C492" s="60"/>
      <c r="E492" s="61"/>
      <c r="F492" s="61"/>
      <c r="G492" s="61"/>
      <c r="I492" s="62"/>
    </row>
    <row r="493" spans="2:9" ht="14.4">
      <c r="B493" s="60"/>
      <c r="C493" s="60"/>
      <c r="E493" s="61"/>
      <c r="F493" s="61"/>
      <c r="G493" s="61"/>
      <c r="I493" s="62"/>
    </row>
    <row r="494" spans="2:9" ht="14.4">
      <c r="B494" s="60"/>
      <c r="C494" s="60"/>
      <c r="E494" s="61"/>
      <c r="F494" s="61"/>
      <c r="G494" s="61"/>
      <c r="I494" s="62"/>
    </row>
    <row r="495" spans="2:9" ht="14.4">
      <c r="B495" s="60"/>
      <c r="C495" s="60"/>
      <c r="E495" s="61"/>
      <c r="F495" s="61"/>
      <c r="G495" s="61"/>
      <c r="I495" s="62"/>
    </row>
    <row r="496" spans="2:9" ht="14.4">
      <c r="B496" s="60"/>
      <c r="C496" s="60"/>
      <c r="E496" s="61"/>
      <c r="F496" s="61"/>
      <c r="G496" s="61"/>
      <c r="I496" s="62"/>
    </row>
    <row r="497" spans="2:9" ht="14.4">
      <c r="B497" s="60"/>
      <c r="C497" s="60"/>
      <c r="E497" s="61"/>
      <c r="F497" s="61"/>
      <c r="G497" s="61"/>
      <c r="I497" s="62"/>
    </row>
    <row r="498" spans="2:9" ht="14.4">
      <c r="B498" s="60"/>
      <c r="C498" s="60"/>
      <c r="E498" s="61"/>
      <c r="F498" s="61"/>
      <c r="G498" s="61"/>
      <c r="I498" s="62"/>
    </row>
    <row r="499" spans="2:9" ht="14.4">
      <c r="B499" s="60"/>
      <c r="C499" s="60"/>
      <c r="E499" s="61"/>
      <c r="F499" s="61"/>
      <c r="G499" s="61"/>
      <c r="I499" s="62"/>
    </row>
    <row r="500" spans="2:9" ht="14.4">
      <c r="B500" s="60"/>
      <c r="C500" s="60"/>
      <c r="E500" s="61"/>
      <c r="F500" s="61"/>
      <c r="G500" s="61"/>
      <c r="I500" s="62"/>
    </row>
    <row r="501" spans="2:9" ht="14.4">
      <c r="B501" s="60"/>
      <c r="C501" s="60"/>
      <c r="E501" s="61"/>
      <c r="F501" s="61"/>
      <c r="G501" s="61"/>
      <c r="I501" s="62"/>
    </row>
    <row r="502" spans="2:9" ht="14.4">
      <c r="B502" s="60"/>
      <c r="C502" s="60"/>
      <c r="E502" s="61"/>
      <c r="F502" s="61"/>
      <c r="G502" s="61"/>
      <c r="I502" s="62"/>
    </row>
    <row r="503" spans="2:9" ht="14.4">
      <c r="B503" s="60"/>
      <c r="C503" s="60"/>
      <c r="E503" s="61"/>
      <c r="F503" s="61"/>
      <c r="G503" s="61"/>
      <c r="I503" s="62"/>
    </row>
    <row r="504" spans="2:9" ht="14.4">
      <c r="B504" s="60"/>
      <c r="C504" s="60"/>
      <c r="E504" s="61"/>
      <c r="F504" s="61"/>
      <c r="G504" s="61"/>
      <c r="I504" s="62"/>
    </row>
    <row r="505" spans="2:9" ht="14.4">
      <c r="B505" s="60"/>
      <c r="C505" s="60"/>
      <c r="E505" s="61"/>
      <c r="F505" s="61"/>
      <c r="G505" s="61"/>
      <c r="I505" s="62"/>
    </row>
    <row r="506" spans="2:9" ht="14.4">
      <c r="B506" s="60"/>
      <c r="C506" s="60"/>
      <c r="E506" s="61"/>
      <c r="F506" s="61"/>
      <c r="G506" s="61"/>
      <c r="I506" s="62"/>
    </row>
    <row r="507" spans="2:9" ht="14.4">
      <c r="B507" s="60"/>
      <c r="C507" s="60"/>
      <c r="E507" s="61"/>
      <c r="F507" s="61"/>
      <c r="G507" s="61"/>
      <c r="I507" s="62"/>
    </row>
    <row r="508" spans="2:9" ht="14.4">
      <c r="B508" s="60"/>
      <c r="C508" s="60"/>
      <c r="E508" s="61"/>
      <c r="F508" s="61"/>
      <c r="G508" s="61"/>
      <c r="I508" s="62"/>
    </row>
    <row r="509" spans="2:9" ht="14.4">
      <c r="B509" s="60"/>
      <c r="C509" s="60"/>
      <c r="E509" s="61"/>
      <c r="F509" s="61"/>
      <c r="G509" s="61"/>
      <c r="I509" s="62"/>
    </row>
    <row r="510" spans="2:9" ht="14.4">
      <c r="B510" s="60"/>
      <c r="C510" s="60"/>
      <c r="E510" s="61"/>
      <c r="F510" s="61"/>
      <c r="G510" s="61"/>
      <c r="I510" s="62"/>
    </row>
    <row r="511" spans="2:9" ht="14.4">
      <c r="B511" s="60"/>
      <c r="C511" s="60"/>
      <c r="E511" s="61"/>
      <c r="F511" s="61"/>
      <c r="G511" s="61"/>
      <c r="I511" s="62"/>
    </row>
    <row r="512" spans="2:9" ht="14.4">
      <c r="B512" s="60"/>
      <c r="C512" s="60"/>
      <c r="E512" s="61"/>
      <c r="F512" s="61"/>
      <c r="G512" s="61"/>
      <c r="I512" s="62"/>
    </row>
    <row r="513" spans="2:9" ht="14.4">
      <c r="B513" s="60"/>
      <c r="C513" s="60"/>
      <c r="E513" s="61"/>
      <c r="F513" s="61"/>
      <c r="G513" s="61"/>
      <c r="I513" s="62"/>
    </row>
    <row r="514" spans="2:9" ht="14.4">
      <c r="B514" s="60"/>
      <c r="C514" s="60"/>
      <c r="E514" s="61"/>
      <c r="F514" s="61"/>
      <c r="G514" s="61"/>
      <c r="I514" s="62"/>
    </row>
    <row r="515" spans="2:9" ht="14.4">
      <c r="B515" s="60"/>
      <c r="C515" s="60"/>
      <c r="E515" s="61"/>
      <c r="F515" s="61"/>
      <c r="G515" s="61"/>
      <c r="I515" s="62"/>
    </row>
    <row r="516" spans="2:9" ht="14.4">
      <c r="B516" s="60"/>
      <c r="C516" s="60"/>
      <c r="E516" s="61"/>
      <c r="F516" s="61"/>
      <c r="G516" s="61"/>
      <c r="I516" s="62"/>
    </row>
    <row r="517" spans="2:9" ht="14.4">
      <c r="B517" s="60"/>
      <c r="C517" s="60"/>
      <c r="E517" s="61"/>
      <c r="F517" s="61"/>
      <c r="G517" s="61"/>
      <c r="I517" s="62"/>
    </row>
    <row r="518" spans="2:9" ht="14.4">
      <c r="B518" s="60"/>
      <c r="C518" s="60"/>
      <c r="E518" s="61"/>
      <c r="F518" s="61"/>
      <c r="G518" s="61"/>
      <c r="I518" s="62"/>
    </row>
    <row r="519" spans="2:9" ht="14.4">
      <c r="B519" s="60"/>
      <c r="C519" s="60"/>
      <c r="E519" s="61"/>
      <c r="F519" s="61"/>
      <c r="G519" s="61"/>
      <c r="I519" s="62"/>
    </row>
    <row r="520" spans="2:9" ht="14.4">
      <c r="B520" s="60"/>
      <c r="C520" s="60"/>
      <c r="E520" s="61"/>
      <c r="F520" s="61"/>
      <c r="G520" s="61"/>
      <c r="I520" s="62"/>
    </row>
    <row r="521" spans="2:9" ht="14.4">
      <c r="B521" s="60"/>
      <c r="C521" s="60"/>
      <c r="E521" s="61"/>
      <c r="F521" s="61"/>
      <c r="G521" s="61"/>
      <c r="I521" s="62"/>
    </row>
    <row r="522" spans="2:9" ht="14.4">
      <c r="B522" s="60"/>
      <c r="C522" s="60"/>
      <c r="E522" s="61"/>
      <c r="F522" s="61"/>
      <c r="G522" s="61"/>
      <c r="I522" s="62"/>
    </row>
    <row r="523" spans="2:9" ht="14.4">
      <c r="B523" s="60"/>
      <c r="C523" s="60"/>
      <c r="E523" s="61"/>
      <c r="F523" s="61"/>
      <c r="G523" s="61"/>
      <c r="I523" s="62"/>
    </row>
    <row r="524" spans="2:9" ht="14.4">
      <c r="B524" s="60"/>
      <c r="C524" s="60"/>
      <c r="E524" s="61"/>
      <c r="F524" s="61"/>
      <c r="G524" s="61"/>
      <c r="I524" s="62"/>
    </row>
    <row r="525" spans="2:9" ht="14.4">
      <c r="B525" s="60"/>
      <c r="C525" s="60"/>
      <c r="E525" s="61"/>
      <c r="F525" s="61"/>
      <c r="G525" s="61"/>
      <c r="I525" s="62"/>
    </row>
    <row r="526" spans="2:9" ht="14.4">
      <c r="B526" s="60"/>
      <c r="C526" s="60"/>
      <c r="E526" s="61"/>
      <c r="F526" s="61"/>
      <c r="G526" s="61"/>
      <c r="I526" s="62"/>
    </row>
    <row r="527" spans="2:9" ht="14.4">
      <c r="B527" s="60"/>
      <c r="C527" s="60"/>
      <c r="E527" s="61"/>
      <c r="F527" s="61"/>
      <c r="G527" s="61"/>
      <c r="I527" s="62"/>
    </row>
    <row r="528" spans="2:9" ht="14.4">
      <c r="B528" s="60"/>
      <c r="C528" s="60"/>
      <c r="E528" s="61"/>
      <c r="F528" s="61"/>
      <c r="G528" s="61"/>
      <c r="I528" s="62"/>
    </row>
    <row r="529" spans="2:9" ht="14.4">
      <c r="B529" s="60"/>
      <c r="C529" s="60"/>
      <c r="E529" s="61"/>
      <c r="F529" s="61"/>
      <c r="G529" s="61"/>
      <c r="I529" s="62"/>
    </row>
    <row r="530" spans="2:9" ht="14.4">
      <c r="B530" s="60"/>
      <c r="C530" s="60"/>
      <c r="E530" s="61"/>
      <c r="F530" s="61"/>
      <c r="G530" s="61"/>
      <c r="I530" s="62"/>
    </row>
    <row r="531" spans="2:9" ht="14.4">
      <c r="B531" s="60"/>
      <c r="C531" s="60"/>
      <c r="E531" s="61"/>
      <c r="F531" s="61"/>
      <c r="G531" s="61"/>
      <c r="I531" s="62"/>
    </row>
    <row r="532" spans="2:9" ht="14.4">
      <c r="B532" s="60"/>
      <c r="C532" s="60"/>
      <c r="E532" s="61"/>
      <c r="F532" s="61"/>
      <c r="G532" s="61"/>
      <c r="I532" s="62"/>
    </row>
    <row r="533" spans="2:9" ht="14.4">
      <c r="B533" s="60"/>
      <c r="C533" s="60"/>
      <c r="E533" s="61"/>
      <c r="F533" s="61"/>
      <c r="G533" s="61"/>
      <c r="I533" s="62"/>
    </row>
    <row r="534" spans="2:9" ht="14.4">
      <c r="B534" s="60"/>
      <c r="C534" s="60"/>
      <c r="E534" s="61"/>
      <c r="F534" s="61"/>
      <c r="G534" s="61"/>
      <c r="I534" s="62"/>
    </row>
    <row r="535" spans="2:9" ht="14.4">
      <c r="B535" s="60"/>
      <c r="C535" s="60"/>
      <c r="E535" s="61"/>
      <c r="F535" s="61"/>
      <c r="G535" s="61"/>
      <c r="I535" s="62"/>
    </row>
    <row r="536" spans="2:9" ht="14.4">
      <c r="B536" s="60"/>
      <c r="C536" s="60"/>
      <c r="E536" s="61"/>
      <c r="F536" s="61"/>
      <c r="G536" s="61"/>
      <c r="I536" s="62"/>
    </row>
    <row r="537" spans="2:9" ht="14.4">
      <c r="B537" s="60"/>
      <c r="C537" s="60"/>
      <c r="E537" s="61"/>
      <c r="F537" s="61"/>
      <c r="G537" s="61"/>
      <c r="I537" s="62"/>
    </row>
    <row r="538" spans="2:9" ht="14.4">
      <c r="B538" s="60"/>
      <c r="C538" s="60"/>
      <c r="E538" s="61"/>
      <c r="F538" s="61"/>
      <c r="G538" s="61"/>
      <c r="I538" s="62"/>
    </row>
    <row r="539" spans="2:9" ht="14.4">
      <c r="B539" s="60"/>
      <c r="C539" s="60"/>
      <c r="E539" s="61"/>
      <c r="F539" s="61"/>
      <c r="G539" s="61"/>
      <c r="I539" s="62"/>
    </row>
    <row r="540" spans="2:9" ht="14.4">
      <c r="B540" s="60"/>
      <c r="C540" s="60"/>
      <c r="E540" s="61"/>
      <c r="F540" s="61"/>
      <c r="G540" s="61"/>
      <c r="I540" s="62"/>
    </row>
    <row r="541" spans="2:9" ht="14.4">
      <c r="B541" s="60"/>
      <c r="C541" s="60"/>
      <c r="E541" s="61"/>
      <c r="F541" s="61"/>
      <c r="G541" s="61"/>
      <c r="I541" s="62"/>
    </row>
    <row r="542" spans="2:9" ht="14.4">
      <c r="B542" s="60"/>
      <c r="C542" s="60"/>
      <c r="E542" s="61"/>
      <c r="F542" s="61"/>
      <c r="G542" s="61"/>
      <c r="I542" s="62"/>
    </row>
    <row r="543" spans="2:9" ht="14.4">
      <c r="B543" s="60"/>
      <c r="C543" s="60"/>
      <c r="E543" s="61"/>
      <c r="F543" s="61"/>
      <c r="G543" s="61"/>
      <c r="I543" s="62"/>
    </row>
    <row r="544" spans="2:9" ht="14.4">
      <c r="B544" s="60"/>
      <c r="C544" s="60"/>
      <c r="E544" s="61"/>
      <c r="F544" s="61"/>
      <c r="G544" s="61"/>
      <c r="I544" s="62"/>
    </row>
    <row r="545" spans="2:9" ht="14.4">
      <c r="B545" s="60"/>
      <c r="C545" s="60"/>
      <c r="E545" s="61"/>
      <c r="F545" s="61"/>
      <c r="G545" s="61"/>
      <c r="I545" s="62"/>
    </row>
    <row r="546" spans="2:9" ht="14.4">
      <c r="B546" s="60"/>
      <c r="C546" s="60"/>
      <c r="E546" s="61"/>
      <c r="F546" s="61"/>
      <c r="G546" s="61"/>
      <c r="I546" s="62"/>
    </row>
    <row r="547" spans="2:9" ht="14.4">
      <c r="B547" s="60"/>
      <c r="C547" s="60"/>
      <c r="E547" s="61"/>
      <c r="F547" s="61"/>
      <c r="G547" s="61"/>
      <c r="I547" s="62"/>
    </row>
    <row r="548" spans="2:9" ht="14.4">
      <c r="B548" s="60"/>
      <c r="C548" s="60"/>
      <c r="E548" s="61"/>
      <c r="F548" s="61"/>
      <c r="G548" s="61"/>
      <c r="I548" s="62"/>
    </row>
    <row r="549" spans="2:9" ht="14.4">
      <c r="B549" s="60"/>
      <c r="C549" s="60"/>
      <c r="E549" s="61"/>
      <c r="F549" s="61"/>
      <c r="G549" s="61"/>
      <c r="I549" s="62"/>
    </row>
    <row r="550" spans="2:9" ht="14.4">
      <c r="B550" s="60"/>
      <c r="C550" s="60"/>
      <c r="E550" s="61"/>
      <c r="F550" s="61"/>
      <c r="G550" s="61"/>
      <c r="I550" s="62"/>
    </row>
    <row r="551" spans="2:9" ht="14.4">
      <c r="B551" s="60"/>
      <c r="C551" s="60"/>
      <c r="E551" s="61"/>
      <c r="F551" s="61"/>
      <c r="G551" s="61"/>
      <c r="I551" s="62"/>
    </row>
    <row r="552" spans="2:9" ht="14.4">
      <c r="B552" s="60"/>
      <c r="C552" s="60"/>
      <c r="E552" s="61"/>
      <c r="F552" s="61"/>
      <c r="G552" s="61"/>
      <c r="I552" s="62"/>
    </row>
    <row r="553" spans="2:9" ht="14.4">
      <c r="B553" s="60"/>
      <c r="C553" s="60"/>
      <c r="E553" s="61"/>
      <c r="F553" s="61"/>
      <c r="G553" s="61"/>
      <c r="I553" s="62"/>
    </row>
    <row r="554" spans="2:9" ht="14.4">
      <c r="B554" s="60"/>
      <c r="C554" s="60"/>
      <c r="E554" s="61"/>
      <c r="F554" s="61"/>
      <c r="G554" s="61"/>
      <c r="I554" s="62"/>
    </row>
    <row r="555" spans="2:9" ht="14.4">
      <c r="B555" s="60"/>
      <c r="C555" s="60"/>
      <c r="E555" s="61"/>
      <c r="F555" s="61"/>
      <c r="G555" s="61"/>
      <c r="I555" s="62"/>
    </row>
    <row r="556" spans="2:9" ht="14.4">
      <c r="B556" s="60"/>
      <c r="C556" s="60"/>
      <c r="E556" s="61"/>
      <c r="F556" s="61"/>
      <c r="G556" s="61"/>
      <c r="I556" s="62"/>
    </row>
    <row r="557" spans="2:9" ht="14.4">
      <c r="B557" s="60"/>
      <c r="C557" s="60"/>
      <c r="E557" s="61"/>
      <c r="F557" s="61"/>
      <c r="G557" s="61"/>
      <c r="I557" s="62"/>
    </row>
    <row r="558" spans="2:9" ht="14.4">
      <c r="B558" s="60"/>
      <c r="C558" s="60"/>
      <c r="E558" s="61"/>
      <c r="F558" s="61"/>
      <c r="G558" s="61"/>
      <c r="I558" s="62"/>
    </row>
    <row r="559" spans="2:9" ht="14.4">
      <c r="B559" s="60"/>
      <c r="C559" s="60"/>
      <c r="E559" s="61"/>
      <c r="F559" s="61"/>
      <c r="G559" s="61"/>
      <c r="I559" s="62"/>
    </row>
    <row r="560" spans="2:9" ht="14.4">
      <c r="B560" s="60"/>
      <c r="C560" s="60"/>
      <c r="E560" s="61"/>
      <c r="F560" s="61"/>
      <c r="G560" s="61"/>
      <c r="I560" s="62"/>
    </row>
    <row r="561" spans="2:9" ht="14.4">
      <c r="B561" s="60"/>
      <c r="C561" s="60"/>
      <c r="E561" s="61"/>
      <c r="F561" s="61"/>
      <c r="G561" s="61"/>
      <c r="I561" s="62"/>
    </row>
    <row r="562" spans="2:9" ht="14.4">
      <c r="B562" s="60"/>
      <c r="C562" s="60"/>
      <c r="E562" s="61"/>
      <c r="F562" s="61"/>
      <c r="G562" s="61"/>
      <c r="I562" s="62"/>
    </row>
    <row r="563" spans="2:9" ht="14.4">
      <c r="B563" s="60"/>
      <c r="C563" s="60"/>
      <c r="E563" s="61"/>
      <c r="F563" s="61"/>
      <c r="G563" s="61"/>
      <c r="I563" s="62"/>
    </row>
    <row r="564" spans="2:9" ht="14.4">
      <c r="B564" s="60"/>
      <c r="C564" s="60"/>
      <c r="E564" s="61"/>
      <c r="F564" s="61"/>
      <c r="G564" s="61"/>
      <c r="I564" s="62"/>
    </row>
    <row r="565" spans="2:9" ht="14.4">
      <c r="B565" s="60"/>
      <c r="C565" s="60"/>
      <c r="E565" s="61"/>
      <c r="F565" s="61"/>
      <c r="G565" s="61"/>
      <c r="I565" s="62"/>
    </row>
    <row r="566" spans="2:9" ht="14.4">
      <c r="B566" s="60"/>
      <c r="C566" s="60"/>
      <c r="E566" s="61"/>
      <c r="F566" s="61"/>
      <c r="G566" s="61"/>
      <c r="I566" s="62"/>
    </row>
    <row r="567" spans="2:9" ht="14.4">
      <c r="B567" s="60"/>
      <c r="C567" s="60"/>
      <c r="E567" s="61"/>
      <c r="F567" s="61"/>
      <c r="G567" s="61"/>
      <c r="I567" s="62"/>
    </row>
    <row r="568" spans="2:9" ht="14.4">
      <c r="B568" s="60"/>
      <c r="C568" s="60"/>
      <c r="E568" s="61"/>
      <c r="F568" s="61"/>
      <c r="G568" s="61"/>
      <c r="I568" s="62"/>
    </row>
    <row r="569" spans="2:9" ht="14.4">
      <c r="B569" s="60"/>
      <c r="C569" s="60"/>
      <c r="E569" s="61"/>
      <c r="F569" s="61"/>
      <c r="G569" s="61"/>
      <c r="I569" s="62"/>
    </row>
    <row r="570" spans="2:9" ht="14.4">
      <c r="B570" s="60"/>
      <c r="C570" s="60"/>
      <c r="E570" s="61"/>
      <c r="F570" s="61"/>
      <c r="G570" s="61"/>
      <c r="I570" s="62"/>
    </row>
    <row r="571" spans="2:9" ht="14.4">
      <c r="B571" s="60"/>
      <c r="C571" s="60"/>
      <c r="E571" s="61"/>
      <c r="F571" s="61"/>
      <c r="G571" s="61"/>
      <c r="I571" s="62"/>
    </row>
    <row r="572" spans="2:9" ht="14.4">
      <c r="B572" s="60"/>
      <c r="C572" s="60"/>
      <c r="E572" s="61"/>
      <c r="F572" s="61"/>
      <c r="G572" s="61"/>
      <c r="I572" s="62"/>
    </row>
    <row r="573" spans="2:9" ht="14.4">
      <c r="B573" s="60"/>
      <c r="C573" s="60"/>
      <c r="E573" s="61"/>
      <c r="F573" s="61"/>
      <c r="G573" s="61"/>
      <c r="I573" s="62"/>
    </row>
    <row r="574" spans="2:9" ht="14.4">
      <c r="B574" s="60"/>
      <c r="C574" s="60"/>
      <c r="E574" s="61"/>
      <c r="F574" s="61"/>
      <c r="G574" s="61"/>
      <c r="I574" s="62"/>
    </row>
    <row r="575" spans="2:9" ht="14.4">
      <c r="B575" s="60"/>
      <c r="C575" s="60"/>
      <c r="E575" s="61"/>
      <c r="F575" s="61"/>
      <c r="G575" s="61"/>
      <c r="I575" s="62"/>
    </row>
    <row r="576" spans="2:9" ht="14.4">
      <c r="B576" s="60"/>
      <c r="C576" s="60"/>
      <c r="E576" s="61"/>
      <c r="F576" s="61"/>
      <c r="G576" s="61"/>
      <c r="I576" s="62"/>
    </row>
    <row r="577" spans="2:9" ht="14.4">
      <c r="B577" s="60"/>
      <c r="C577" s="60"/>
      <c r="E577" s="61"/>
      <c r="F577" s="61"/>
      <c r="G577" s="61"/>
      <c r="I577" s="62"/>
    </row>
    <row r="578" spans="2:9" ht="14.4">
      <c r="B578" s="60"/>
      <c r="C578" s="60"/>
      <c r="E578" s="61"/>
      <c r="F578" s="61"/>
      <c r="G578" s="61"/>
      <c r="I578" s="62"/>
    </row>
    <row r="579" spans="2:9" ht="14.4">
      <c r="B579" s="60"/>
      <c r="C579" s="60"/>
      <c r="E579" s="61"/>
      <c r="F579" s="61"/>
      <c r="G579" s="61"/>
      <c r="I579" s="62"/>
    </row>
    <row r="580" spans="2:9" ht="14.4">
      <c r="B580" s="60"/>
      <c r="C580" s="60"/>
      <c r="E580" s="61"/>
      <c r="F580" s="61"/>
      <c r="G580" s="61"/>
      <c r="I580" s="62"/>
    </row>
    <row r="581" spans="2:9" ht="14.4">
      <c r="B581" s="60"/>
      <c r="C581" s="60"/>
      <c r="E581" s="61"/>
      <c r="F581" s="61"/>
      <c r="G581" s="61"/>
      <c r="I581" s="62"/>
    </row>
    <row r="582" spans="2:9" ht="14.4">
      <c r="B582" s="60"/>
      <c r="C582" s="60"/>
      <c r="E582" s="61"/>
      <c r="F582" s="61"/>
      <c r="G582" s="61"/>
      <c r="I582" s="62"/>
    </row>
    <row r="583" spans="2:9" ht="14.4">
      <c r="B583" s="60"/>
      <c r="C583" s="60"/>
      <c r="E583" s="61"/>
      <c r="F583" s="61"/>
      <c r="G583" s="61"/>
      <c r="I583" s="62"/>
    </row>
    <row r="584" spans="2:9" ht="14.4">
      <c r="B584" s="60"/>
      <c r="C584" s="60"/>
      <c r="E584" s="61"/>
      <c r="F584" s="61"/>
      <c r="G584" s="61"/>
      <c r="I584" s="62"/>
    </row>
    <row r="585" spans="2:9" ht="14.4">
      <c r="B585" s="60"/>
      <c r="C585" s="60"/>
      <c r="E585" s="61"/>
      <c r="F585" s="61"/>
      <c r="G585" s="61"/>
      <c r="I585" s="62"/>
    </row>
    <row r="586" spans="2:9" ht="14.4">
      <c r="B586" s="60"/>
      <c r="C586" s="60"/>
      <c r="E586" s="61"/>
      <c r="F586" s="61"/>
      <c r="G586" s="61"/>
      <c r="I586" s="62"/>
    </row>
    <row r="587" spans="2:9" ht="14.4">
      <c r="B587" s="60"/>
      <c r="C587" s="60"/>
      <c r="E587" s="61"/>
      <c r="F587" s="61"/>
      <c r="G587" s="61"/>
      <c r="I587" s="62"/>
    </row>
    <row r="588" spans="2:9" ht="14.4">
      <c r="B588" s="60"/>
      <c r="C588" s="60"/>
      <c r="E588" s="61"/>
      <c r="F588" s="61"/>
      <c r="G588" s="61"/>
      <c r="I588" s="62"/>
    </row>
    <row r="589" spans="2:9" ht="14.4">
      <c r="B589" s="60"/>
      <c r="C589" s="60"/>
      <c r="E589" s="61"/>
      <c r="F589" s="61"/>
      <c r="G589" s="61"/>
      <c r="I589" s="62"/>
    </row>
    <row r="590" spans="2:9" ht="14.4">
      <c r="B590" s="60"/>
      <c r="C590" s="60"/>
      <c r="E590" s="61"/>
      <c r="F590" s="61"/>
      <c r="G590" s="61"/>
      <c r="I590" s="62"/>
    </row>
    <row r="591" spans="2:9" ht="14.4">
      <c r="B591" s="60"/>
      <c r="C591" s="60"/>
      <c r="E591" s="61"/>
      <c r="F591" s="61"/>
      <c r="G591" s="61"/>
      <c r="I591" s="62"/>
    </row>
    <row r="592" spans="2:9" ht="14.4">
      <c r="B592" s="60"/>
      <c r="C592" s="60"/>
      <c r="E592" s="61"/>
      <c r="F592" s="61"/>
      <c r="G592" s="61"/>
      <c r="I592" s="62"/>
    </row>
    <row r="593" spans="2:9" ht="14.4">
      <c r="B593" s="60"/>
      <c r="C593" s="60"/>
      <c r="E593" s="61"/>
      <c r="F593" s="61"/>
      <c r="G593" s="61"/>
      <c r="I593" s="62"/>
    </row>
    <row r="594" spans="2:9" ht="14.4">
      <c r="B594" s="60"/>
      <c r="C594" s="60"/>
      <c r="E594" s="61"/>
      <c r="F594" s="61"/>
      <c r="G594" s="61"/>
      <c r="I594" s="62"/>
    </row>
    <row r="595" spans="2:9" ht="14.4">
      <c r="B595" s="60"/>
      <c r="C595" s="60"/>
      <c r="E595" s="61"/>
      <c r="F595" s="61"/>
      <c r="G595" s="61"/>
      <c r="I595" s="62"/>
    </row>
    <row r="596" spans="2:9" ht="14.4">
      <c r="B596" s="60"/>
      <c r="C596" s="60"/>
      <c r="E596" s="61"/>
      <c r="F596" s="61"/>
      <c r="G596" s="61"/>
      <c r="I596" s="62"/>
    </row>
    <row r="597" spans="2:9" ht="14.4">
      <c r="B597" s="60"/>
      <c r="C597" s="60"/>
      <c r="E597" s="61"/>
      <c r="F597" s="61"/>
      <c r="G597" s="61"/>
      <c r="I597" s="62"/>
    </row>
    <row r="598" spans="2:9" ht="14.4">
      <c r="B598" s="60"/>
      <c r="C598" s="60"/>
      <c r="E598" s="61"/>
      <c r="F598" s="61"/>
      <c r="G598" s="61"/>
      <c r="I598" s="62"/>
    </row>
    <row r="599" spans="2:9" ht="14.4">
      <c r="B599" s="60"/>
      <c r="C599" s="60"/>
      <c r="E599" s="61"/>
      <c r="F599" s="61"/>
      <c r="G599" s="61"/>
      <c r="I599" s="62"/>
    </row>
    <row r="600" spans="2:9" ht="14.4">
      <c r="B600" s="60"/>
      <c r="C600" s="60"/>
      <c r="E600" s="61"/>
      <c r="F600" s="61"/>
      <c r="G600" s="61"/>
      <c r="I600" s="62"/>
    </row>
    <row r="601" spans="2:9" ht="14.4">
      <c r="B601" s="60"/>
      <c r="C601" s="60"/>
      <c r="E601" s="61"/>
      <c r="F601" s="61"/>
      <c r="G601" s="61"/>
      <c r="I601" s="62"/>
    </row>
    <row r="602" spans="2:9" ht="14.4">
      <c r="B602" s="60"/>
      <c r="C602" s="60"/>
      <c r="E602" s="61"/>
      <c r="F602" s="61"/>
      <c r="G602" s="61"/>
      <c r="I602" s="62"/>
    </row>
    <row r="603" spans="2:9" ht="14.4">
      <c r="B603" s="60"/>
      <c r="C603" s="60"/>
      <c r="E603" s="61"/>
      <c r="F603" s="61"/>
      <c r="G603" s="61"/>
      <c r="I603" s="62"/>
    </row>
    <row r="604" spans="2:9" ht="14.4">
      <c r="B604" s="60"/>
      <c r="C604" s="60"/>
      <c r="E604" s="61"/>
      <c r="F604" s="61"/>
      <c r="G604" s="61"/>
      <c r="I604" s="62"/>
    </row>
    <row r="605" spans="2:9" ht="14.4">
      <c r="B605" s="60"/>
      <c r="C605" s="60"/>
      <c r="E605" s="61"/>
      <c r="F605" s="61"/>
      <c r="G605" s="61"/>
      <c r="I605" s="62"/>
    </row>
    <row r="606" spans="2:9" ht="14.4">
      <c r="B606" s="60"/>
      <c r="C606" s="60"/>
      <c r="E606" s="61"/>
      <c r="F606" s="61"/>
      <c r="G606" s="61"/>
      <c r="I606" s="62"/>
    </row>
    <row r="607" spans="2:9" ht="14.4">
      <c r="B607" s="60"/>
      <c r="C607" s="60"/>
      <c r="E607" s="61"/>
      <c r="F607" s="61"/>
      <c r="G607" s="61"/>
      <c r="I607" s="62"/>
    </row>
    <row r="608" spans="2:9" ht="14.4">
      <c r="B608" s="60"/>
      <c r="C608" s="60"/>
      <c r="E608" s="61"/>
      <c r="F608" s="61"/>
      <c r="G608" s="61"/>
      <c r="I608" s="62"/>
    </row>
    <row r="609" spans="2:9" ht="14.4">
      <c r="B609" s="60"/>
      <c r="C609" s="60"/>
      <c r="E609" s="61"/>
      <c r="F609" s="61"/>
      <c r="G609" s="61"/>
      <c r="I609" s="62"/>
    </row>
    <row r="610" spans="2:9" ht="14.4">
      <c r="B610" s="60"/>
      <c r="C610" s="60"/>
      <c r="E610" s="61"/>
      <c r="F610" s="61"/>
      <c r="G610" s="61"/>
      <c r="I610" s="62"/>
    </row>
    <row r="611" spans="2:9" ht="14.4">
      <c r="B611" s="60"/>
      <c r="C611" s="60"/>
      <c r="E611" s="61"/>
      <c r="F611" s="61"/>
      <c r="G611" s="61"/>
      <c r="I611" s="62"/>
    </row>
    <row r="612" spans="2:9" ht="14.4">
      <c r="B612" s="60"/>
      <c r="C612" s="60"/>
      <c r="E612" s="61"/>
      <c r="F612" s="61"/>
      <c r="G612" s="61"/>
      <c r="I612" s="62"/>
    </row>
    <row r="613" spans="2:9" ht="14.4">
      <c r="B613" s="60"/>
      <c r="C613" s="60"/>
      <c r="E613" s="61"/>
      <c r="F613" s="61"/>
      <c r="G613" s="61"/>
      <c r="I613" s="62"/>
    </row>
    <row r="614" spans="2:9" ht="14.4">
      <c r="B614" s="60"/>
      <c r="C614" s="60"/>
      <c r="E614" s="61"/>
      <c r="F614" s="61"/>
      <c r="G614" s="61"/>
      <c r="I614" s="62"/>
    </row>
    <row r="615" spans="2:9" ht="14.4">
      <c r="B615" s="60"/>
      <c r="C615" s="60"/>
      <c r="E615" s="61"/>
      <c r="F615" s="61"/>
      <c r="G615" s="61"/>
      <c r="I615" s="62"/>
    </row>
    <row r="616" spans="2:9" ht="14.4">
      <c r="B616" s="60"/>
      <c r="C616" s="60"/>
      <c r="E616" s="61"/>
      <c r="F616" s="61"/>
      <c r="G616" s="61"/>
      <c r="I616" s="62"/>
    </row>
    <row r="617" spans="2:9" ht="14.4">
      <c r="B617" s="60"/>
      <c r="C617" s="60"/>
      <c r="E617" s="61"/>
      <c r="F617" s="61"/>
      <c r="G617" s="61"/>
      <c r="I617" s="62"/>
    </row>
    <row r="618" spans="2:9" ht="14.4">
      <c r="B618" s="60"/>
      <c r="C618" s="60"/>
      <c r="E618" s="61"/>
      <c r="F618" s="61"/>
      <c r="G618" s="61"/>
      <c r="I618" s="62"/>
    </row>
    <row r="619" spans="2:9" ht="14.4">
      <c r="B619" s="60"/>
      <c r="C619" s="60"/>
      <c r="E619" s="61"/>
      <c r="F619" s="61"/>
      <c r="G619" s="61"/>
      <c r="I619" s="62"/>
    </row>
    <row r="620" spans="2:9" ht="14.4">
      <c r="B620" s="60"/>
      <c r="C620" s="60"/>
      <c r="E620" s="61"/>
      <c r="F620" s="61"/>
      <c r="G620" s="61"/>
      <c r="I620" s="62"/>
    </row>
    <row r="621" spans="2:9" ht="14.4">
      <c r="B621" s="60"/>
      <c r="C621" s="60"/>
      <c r="E621" s="61"/>
      <c r="F621" s="61"/>
      <c r="G621" s="61"/>
      <c r="I621" s="62"/>
    </row>
    <row r="622" spans="2:9" ht="14.4">
      <c r="B622" s="60"/>
      <c r="C622" s="60"/>
      <c r="E622" s="61"/>
      <c r="F622" s="61"/>
      <c r="G622" s="61"/>
      <c r="I622" s="62"/>
    </row>
    <row r="623" spans="2:9" ht="14.4">
      <c r="B623" s="60"/>
      <c r="C623" s="60"/>
      <c r="E623" s="61"/>
      <c r="F623" s="61"/>
      <c r="G623" s="61"/>
      <c r="I623" s="62"/>
    </row>
    <row r="624" spans="2:9" ht="14.4">
      <c r="B624" s="60"/>
      <c r="C624" s="60"/>
      <c r="E624" s="61"/>
      <c r="F624" s="61"/>
      <c r="G624" s="61"/>
      <c r="I624" s="62"/>
    </row>
    <row r="625" spans="2:9" ht="14.4">
      <c r="B625" s="60"/>
      <c r="C625" s="60"/>
      <c r="E625" s="61"/>
      <c r="F625" s="61"/>
      <c r="G625" s="61"/>
      <c r="I625" s="62"/>
    </row>
    <row r="626" spans="2:9" ht="14.4">
      <c r="B626" s="60"/>
      <c r="C626" s="60"/>
      <c r="E626" s="61"/>
      <c r="F626" s="61"/>
      <c r="G626" s="61"/>
      <c r="I626" s="62"/>
    </row>
    <row r="627" spans="2:9" ht="14.4">
      <c r="B627" s="60"/>
      <c r="C627" s="60"/>
      <c r="E627" s="61"/>
      <c r="F627" s="61"/>
      <c r="G627" s="61"/>
      <c r="I627" s="62"/>
    </row>
    <row r="628" spans="2:9" ht="14.4">
      <c r="B628" s="60"/>
      <c r="C628" s="60"/>
      <c r="E628" s="61"/>
      <c r="F628" s="61"/>
      <c r="G628" s="61"/>
      <c r="I628" s="62"/>
    </row>
    <row r="629" spans="2:9" ht="14.4">
      <c r="B629" s="60"/>
      <c r="C629" s="60"/>
      <c r="E629" s="61"/>
      <c r="F629" s="61"/>
      <c r="G629" s="61"/>
      <c r="I629" s="62"/>
    </row>
    <row r="630" spans="2:9" ht="14.4">
      <c r="B630" s="60"/>
      <c r="C630" s="60"/>
      <c r="E630" s="61"/>
      <c r="F630" s="61"/>
      <c r="G630" s="61"/>
      <c r="I630" s="62"/>
    </row>
    <row r="631" spans="2:9" ht="14.4">
      <c r="B631" s="60"/>
      <c r="C631" s="60"/>
      <c r="E631" s="61"/>
      <c r="F631" s="61"/>
      <c r="G631" s="61"/>
      <c r="I631" s="62"/>
    </row>
    <row r="632" spans="2:9" ht="14.4">
      <c r="B632" s="60"/>
      <c r="C632" s="60"/>
      <c r="E632" s="61"/>
      <c r="F632" s="61"/>
      <c r="G632" s="61"/>
      <c r="I632" s="62"/>
    </row>
    <row r="633" spans="2:9" ht="14.4">
      <c r="B633" s="60"/>
      <c r="C633" s="60"/>
      <c r="E633" s="61"/>
      <c r="F633" s="61"/>
      <c r="G633" s="61"/>
      <c r="I633" s="62"/>
    </row>
    <row r="634" spans="2:9" ht="14.4">
      <c r="B634" s="60"/>
      <c r="C634" s="60"/>
      <c r="E634" s="61"/>
      <c r="F634" s="61"/>
      <c r="G634" s="61"/>
      <c r="I634" s="62"/>
    </row>
    <row r="635" spans="2:9" ht="14.4">
      <c r="B635" s="60"/>
      <c r="C635" s="60"/>
      <c r="E635" s="61"/>
      <c r="F635" s="61"/>
      <c r="G635" s="61"/>
      <c r="I635" s="62"/>
    </row>
    <row r="636" spans="2:9" ht="14.4">
      <c r="B636" s="60"/>
      <c r="C636" s="60"/>
      <c r="E636" s="61"/>
      <c r="F636" s="61"/>
      <c r="G636" s="61"/>
      <c r="I636" s="62"/>
    </row>
    <row r="637" spans="2:9" ht="14.4">
      <c r="B637" s="60"/>
      <c r="C637" s="60"/>
      <c r="E637" s="61"/>
      <c r="F637" s="61"/>
      <c r="G637" s="61"/>
      <c r="I637" s="62"/>
    </row>
    <row r="638" spans="2:9" ht="14.4">
      <c r="B638" s="60"/>
      <c r="C638" s="60"/>
      <c r="E638" s="61"/>
      <c r="F638" s="61"/>
      <c r="G638" s="61"/>
      <c r="I638" s="62"/>
    </row>
    <row r="639" spans="2:9" ht="14.4">
      <c r="B639" s="60"/>
      <c r="C639" s="60"/>
      <c r="E639" s="61"/>
      <c r="F639" s="61"/>
      <c r="G639" s="61"/>
      <c r="I639" s="62"/>
    </row>
    <row r="640" spans="2:9" ht="14.4">
      <c r="B640" s="60"/>
      <c r="C640" s="60"/>
      <c r="E640" s="61"/>
      <c r="F640" s="61"/>
      <c r="G640" s="61"/>
      <c r="I640" s="62"/>
    </row>
    <row r="641" spans="2:9" ht="14.4">
      <c r="B641" s="60"/>
      <c r="C641" s="60"/>
      <c r="E641" s="61"/>
      <c r="F641" s="61"/>
      <c r="G641" s="61"/>
      <c r="I641" s="62"/>
    </row>
    <row r="642" spans="2:9" ht="14.4">
      <c r="B642" s="60"/>
      <c r="C642" s="60"/>
      <c r="E642" s="61"/>
      <c r="F642" s="61"/>
      <c r="G642" s="61"/>
      <c r="I642" s="62"/>
    </row>
    <row r="643" spans="2:9" ht="14.4">
      <c r="B643" s="60"/>
      <c r="C643" s="60"/>
      <c r="E643" s="61"/>
      <c r="F643" s="61"/>
      <c r="G643" s="61"/>
      <c r="I643" s="62"/>
    </row>
    <row r="644" spans="2:9" ht="14.4">
      <c r="B644" s="60"/>
      <c r="C644" s="60"/>
      <c r="E644" s="61"/>
      <c r="F644" s="61"/>
      <c r="G644" s="61"/>
      <c r="I644" s="62"/>
    </row>
    <row r="645" spans="2:9" ht="14.4">
      <c r="B645" s="60"/>
      <c r="C645" s="60"/>
      <c r="E645" s="61"/>
      <c r="F645" s="61"/>
      <c r="G645" s="61"/>
      <c r="I645" s="62"/>
    </row>
    <row r="646" spans="2:9" ht="14.4">
      <c r="B646" s="60"/>
      <c r="C646" s="60"/>
      <c r="E646" s="61"/>
      <c r="F646" s="61"/>
      <c r="G646" s="61"/>
      <c r="I646" s="62"/>
    </row>
    <row r="647" spans="2:9" ht="14.4">
      <c r="B647" s="60"/>
      <c r="C647" s="60"/>
      <c r="E647" s="61"/>
      <c r="F647" s="61"/>
      <c r="G647" s="61"/>
      <c r="I647" s="62"/>
    </row>
    <row r="648" spans="2:9" ht="14.4">
      <c r="B648" s="60"/>
      <c r="C648" s="60"/>
      <c r="E648" s="61"/>
      <c r="F648" s="61"/>
      <c r="G648" s="61"/>
      <c r="I648" s="62"/>
    </row>
    <row r="649" spans="2:9" ht="14.4">
      <c r="B649" s="60"/>
      <c r="C649" s="60"/>
      <c r="E649" s="61"/>
      <c r="F649" s="61"/>
      <c r="G649" s="61"/>
      <c r="I649" s="62"/>
    </row>
    <row r="650" spans="2:9" ht="14.4">
      <c r="B650" s="60"/>
      <c r="C650" s="60"/>
      <c r="E650" s="61"/>
      <c r="F650" s="61"/>
      <c r="G650" s="61"/>
      <c r="I650" s="62"/>
    </row>
    <row r="651" spans="2:9" ht="14.4">
      <c r="B651" s="60"/>
      <c r="C651" s="60"/>
      <c r="E651" s="61"/>
      <c r="F651" s="61"/>
      <c r="G651" s="61"/>
      <c r="I651" s="62"/>
    </row>
    <row r="652" spans="2:9" ht="14.4">
      <c r="B652" s="60"/>
      <c r="C652" s="60"/>
      <c r="E652" s="61"/>
      <c r="F652" s="61"/>
      <c r="G652" s="61"/>
      <c r="I652" s="62"/>
    </row>
    <row r="653" spans="2:9" ht="14.4">
      <c r="B653" s="60"/>
      <c r="C653" s="60"/>
      <c r="E653" s="61"/>
      <c r="F653" s="61"/>
      <c r="G653" s="61"/>
      <c r="I653" s="62"/>
    </row>
    <row r="654" spans="2:9" ht="14.4">
      <c r="B654" s="60"/>
      <c r="C654" s="60"/>
      <c r="E654" s="61"/>
      <c r="F654" s="61"/>
      <c r="G654" s="61"/>
      <c r="I654" s="62"/>
    </row>
    <row r="655" spans="2:9" ht="14.4">
      <c r="B655" s="60"/>
      <c r="C655" s="60"/>
      <c r="E655" s="61"/>
      <c r="F655" s="61"/>
      <c r="G655" s="61"/>
      <c r="I655" s="62"/>
    </row>
    <row r="656" spans="2:9" ht="14.4">
      <c r="B656" s="60"/>
      <c r="C656" s="60"/>
      <c r="E656" s="61"/>
      <c r="F656" s="61"/>
      <c r="G656" s="61"/>
      <c r="I656" s="62"/>
    </row>
    <row r="657" spans="2:9" ht="14.4">
      <c r="B657" s="60"/>
      <c r="C657" s="60"/>
      <c r="E657" s="61"/>
      <c r="F657" s="61"/>
      <c r="G657" s="61"/>
      <c r="I657" s="62"/>
    </row>
    <row r="658" spans="2:9" ht="14.4">
      <c r="B658" s="60"/>
      <c r="C658" s="60"/>
      <c r="E658" s="61"/>
      <c r="F658" s="61"/>
      <c r="G658" s="61"/>
      <c r="I658" s="62"/>
    </row>
    <row r="659" spans="2:9" ht="14.4">
      <c r="B659" s="60"/>
      <c r="C659" s="60"/>
      <c r="E659" s="61"/>
      <c r="F659" s="61"/>
      <c r="G659" s="61"/>
      <c r="I659" s="62"/>
    </row>
    <row r="660" spans="2:9" ht="14.4">
      <c r="B660" s="60"/>
      <c r="C660" s="60"/>
      <c r="E660" s="61"/>
      <c r="F660" s="61"/>
      <c r="G660" s="61"/>
      <c r="I660" s="62"/>
    </row>
    <row r="661" spans="2:9" ht="14.4">
      <c r="B661" s="60"/>
      <c r="C661" s="60"/>
      <c r="E661" s="61"/>
      <c r="F661" s="61"/>
      <c r="G661" s="61"/>
      <c r="I661" s="62"/>
    </row>
    <row r="662" spans="2:9" ht="14.4">
      <c r="B662" s="60"/>
      <c r="C662" s="60"/>
      <c r="E662" s="61"/>
      <c r="F662" s="61"/>
      <c r="G662" s="61"/>
      <c r="I662" s="62"/>
    </row>
    <row r="663" spans="2:9" ht="14.4">
      <c r="B663" s="60"/>
      <c r="C663" s="60"/>
      <c r="E663" s="61"/>
      <c r="F663" s="61"/>
      <c r="G663" s="61"/>
      <c r="I663" s="62"/>
    </row>
    <row r="664" spans="2:9" ht="14.4">
      <c r="B664" s="60"/>
      <c r="C664" s="60"/>
      <c r="E664" s="61"/>
      <c r="F664" s="61"/>
      <c r="G664" s="61"/>
      <c r="I664" s="62"/>
    </row>
    <row r="665" spans="2:9" ht="14.4">
      <c r="B665" s="60"/>
      <c r="C665" s="60"/>
      <c r="E665" s="61"/>
      <c r="F665" s="61"/>
      <c r="G665" s="61"/>
      <c r="I665" s="62"/>
    </row>
    <row r="666" spans="2:9" ht="14.4">
      <c r="B666" s="60"/>
      <c r="C666" s="60"/>
      <c r="E666" s="61"/>
      <c r="F666" s="61"/>
      <c r="G666" s="61"/>
      <c r="I666" s="62"/>
    </row>
    <row r="667" spans="2:9" ht="14.4">
      <c r="B667" s="60"/>
      <c r="C667" s="60"/>
      <c r="E667" s="61"/>
      <c r="F667" s="61"/>
      <c r="G667" s="61"/>
      <c r="I667" s="62"/>
    </row>
    <row r="668" spans="2:9" ht="14.4">
      <c r="B668" s="60"/>
      <c r="C668" s="60"/>
      <c r="E668" s="61"/>
      <c r="F668" s="61"/>
      <c r="G668" s="61"/>
      <c r="I668" s="62"/>
    </row>
    <row r="669" spans="2:9" ht="14.4">
      <c r="B669" s="60"/>
      <c r="C669" s="60"/>
      <c r="E669" s="61"/>
      <c r="F669" s="61"/>
      <c r="G669" s="61"/>
      <c r="I669" s="62"/>
    </row>
    <row r="670" spans="2:9" ht="14.4">
      <c r="B670" s="60"/>
      <c r="C670" s="60"/>
      <c r="E670" s="61"/>
      <c r="F670" s="61"/>
      <c r="G670" s="61"/>
      <c r="I670" s="62"/>
    </row>
    <row r="671" spans="2:9" ht="14.4">
      <c r="B671" s="60"/>
      <c r="C671" s="60"/>
      <c r="E671" s="61"/>
      <c r="F671" s="61"/>
      <c r="G671" s="61"/>
      <c r="I671" s="62"/>
    </row>
    <row r="672" spans="2:9" ht="14.4">
      <c r="B672" s="60"/>
      <c r="C672" s="60"/>
      <c r="E672" s="61"/>
      <c r="F672" s="61"/>
      <c r="G672" s="61"/>
      <c r="I672" s="62"/>
    </row>
    <row r="673" spans="2:9" ht="14.4">
      <c r="B673" s="60"/>
      <c r="C673" s="60"/>
      <c r="E673" s="61"/>
      <c r="F673" s="61"/>
      <c r="G673" s="61"/>
      <c r="I673" s="62"/>
    </row>
    <row r="674" spans="2:9" ht="14.4">
      <c r="B674" s="60"/>
      <c r="C674" s="60"/>
      <c r="E674" s="61"/>
      <c r="F674" s="61"/>
      <c r="G674" s="61"/>
      <c r="I674" s="62"/>
    </row>
    <row r="675" spans="2:9" ht="14.4">
      <c r="B675" s="60"/>
      <c r="C675" s="60"/>
      <c r="E675" s="61"/>
      <c r="F675" s="61"/>
      <c r="G675" s="61"/>
      <c r="I675" s="62"/>
    </row>
    <row r="676" spans="2:9" ht="14.4">
      <c r="B676" s="60"/>
      <c r="C676" s="60"/>
      <c r="E676" s="61"/>
      <c r="F676" s="61"/>
      <c r="G676" s="61"/>
      <c r="I676" s="62"/>
    </row>
    <row r="677" spans="2:9" ht="14.4">
      <c r="B677" s="60"/>
      <c r="C677" s="60"/>
      <c r="E677" s="61"/>
      <c r="F677" s="61"/>
      <c r="G677" s="61"/>
      <c r="I677" s="62"/>
    </row>
    <row r="678" spans="2:9" ht="14.4">
      <c r="B678" s="60"/>
      <c r="C678" s="60"/>
      <c r="E678" s="61"/>
      <c r="F678" s="61"/>
      <c r="G678" s="61"/>
      <c r="I678" s="62"/>
    </row>
    <row r="679" spans="2:9" ht="14.4">
      <c r="B679" s="60"/>
      <c r="C679" s="60"/>
      <c r="E679" s="61"/>
      <c r="F679" s="61"/>
      <c r="G679" s="61"/>
      <c r="I679" s="62"/>
    </row>
    <row r="680" spans="2:9" ht="14.4">
      <c r="B680" s="60"/>
      <c r="C680" s="60"/>
      <c r="E680" s="61"/>
      <c r="F680" s="61"/>
      <c r="G680" s="61"/>
      <c r="I680" s="62"/>
    </row>
    <row r="681" spans="2:9" ht="14.4">
      <c r="B681" s="60"/>
      <c r="C681" s="60"/>
      <c r="E681" s="61"/>
      <c r="F681" s="61"/>
      <c r="G681" s="61"/>
      <c r="I681" s="62"/>
    </row>
    <row r="682" spans="2:9" ht="14.4">
      <c r="B682" s="60"/>
      <c r="C682" s="60"/>
      <c r="E682" s="61"/>
      <c r="F682" s="61"/>
      <c r="G682" s="61"/>
      <c r="I682" s="62"/>
    </row>
    <row r="683" spans="2:9" ht="14.4">
      <c r="B683" s="60"/>
      <c r="C683" s="60"/>
      <c r="E683" s="61"/>
      <c r="F683" s="61"/>
      <c r="G683" s="61"/>
      <c r="I683" s="62"/>
    </row>
    <row r="684" spans="2:9" ht="14.4">
      <c r="B684" s="60"/>
      <c r="C684" s="60"/>
      <c r="E684" s="61"/>
      <c r="F684" s="61"/>
      <c r="G684" s="61"/>
      <c r="I684" s="62"/>
    </row>
    <row r="685" spans="2:9" ht="14.4">
      <c r="B685" s="60"/>
      <c r="C685" s="60"/>
      <c r="E685" s="61"/>
      <c r="F685" s="61"/>
      <c r="G685" s="61"/>
      <c r="I685" s="62"/>
    </row>
    <row r="686" spans="2:9" ht="14.4">
      <c r="B686" s="60"/>
      <c r="C686" s="60"/>
      <c r="E686" s="61"/>
      <c r="F686" s="61"/>
      <c r="G686" s="61"/>
      <c r="I686" s="62"/>
    </row>
    <row r="687" spans="2:9" ht="14.4">
      <c r="B687" s="60"/>
      <c r="C687" s="60"/>
      <c r="E687" s="61"/>
      <c r="F687" s="61"/>
      <c r="G687" s="61"/>
      <c r="I687" s="62"/>
    </row>
    <row r="688" spans="2:9" ht="14.4">
      <c r="B688" s="60"/>
      <c r="C688" s="60"/>
      <c r="E688" s="61"/>
      <c r="F688" s="61"/>
      <c r="G688" s="61"/>
      <c r="I688" s="62"/>
    </row>
    <row r="689" spans="2:9" ht="14.4">
      <c r="B689" s="60"/>
      <c r="C689" s="60"/>
      <c r="E689" s="61"/>
      <c r="F689" s="61"/>
      <c r="G689" s="61"/>
      <c r="I689" s="62"/>
    </row>
    <row r="690" spans="2:9" ht="14.4">
      <c r="B690" s="60"/>
      <c r="C690" s="60"/>
      <c r="E690" s="61"/>
      <c r="F690" s="61"/>
      <c r="G690" s="61"/>
      <c r="I690" s="62"/>
    </row>
    <row r="691" spans="2:9" ht="14.4">
      <c r="B691" s="60"/>
      <c r="C691" s="60"/>
      <c r="E691" s="61"/>
      <c r="F691" s="61"/>
      <c r="G691" s="61"/>
      <c r="I691" s="62"/>
    </row>
    <row r="692" spans="2:9" ht="14.4">
      <c r="B692" s="60"/>
      <c r="C692" s="60"/>
      <c r="E692" s="61"/>
      <c r="F692" s="61"/>
      <c r="G692" s="61"/>
      <c r="I692" s="62"/>
    </row>
    <row r="693" spans="2:9" ht="14.4">
      <c r="B693" s="60"/>
      <c r="C693" s="60"/>
      <c r="E693" s="61"/>
      <c r="F693" s="61"/>
      <c r="G693" s="61"/>
      <c r="I693" s="62"/>
    </row>
    <row r="694" spans="2:9" ht="14.4">
      <c r="B694" s="60"/>
      <c r="C694" s="60"/>
      <c r="E694" s="61"/>
      <c r="F694" s="61"/>
      <c r="G694" s="61"/>
      <c r="I694" s="62"/>
    </row>
    <row r="695" spans="2:9" ht="14.4">
      <c r="B695" s="60"/>
      <c r="C695" s="60"/>
      <c r="E695" s="61"/>
      <c r="F695" s="61"/>
      <c r="G695" s="61"/>
      <c r="I695" s="62"/>
    </row>
    <row r="696" spans="2:9" ht="14.4">
      <c r="B696" s="60"/>
      <c r="C696" s="60"/>
      <c r="E696" s="61"/>
      <c r="F696" s="61"/>
      <c r="G696" s="61"/>
      <c r="I696" s="62"/>
    </row>
    <row r="697" spans="2:9" ht="14.4">
      <c r="B697" s="60"/>
      <c r="C697" s="60"/>
      <c r="E697" s="61"/>
      <c r="F697" s="61"/>
      <c r="G697" s="61"/>
      <c r="I697" s="62"/>
    </row>
    <row r="698" spans="2:9" ht="14.4">
      <c r="B698" s="60"/>
      <c r="C698" s="60"/>
      <c r="E698" s="61"/>
      <c r="F698" s="61"/>
      <c r="G698" s="61"/>
      <c r="I698" s="62"/>
    </row>
    <row r="699" spans="2:9" ht="14.4">
      <c r="B699" s="60"/>
      <c r="C699" s="60"/>
      <c r="E699" s="61"/>
      <c r="F699" s="61"/>
      <c r="G699" s="61"/>
      <c r="I699" s="62"/>
    </row>
    <row r="700" spans="2:9" ht="14.4">
      <c r="B700" s="60"/>
      <c r="C700" s="60"/>
      <c r="E700" s="61"/>
      <c r="F700" s="61"/>
      <c r="G700" s="61"/>
      <c r="I700" s="62"/>
    </row>
    <row r="701" spans="2:9" ht="14.4">
      <c r="B701" s="60"/>
      <c r="C701" s="60"/>
      <c r="E701" s="61"/>
      <c r="F701" s="61"/>
      <c r="G701" s="61"/>
      <c r="I701" s="62"/>
    </row>
    <row r="702" spans="2:9" ht="14.4">
      <c r="B702" s="60"/>
      <c r="C702" s="60"/>
      <c r="E702" s="61"/>
      <c r="F702" s="61"/>
      <c r="G702" s="61"/>
      <c r="I702" s="62"/>
    </row>
    <row r="703" spans="2:9" ht="14.4">
      <c r="B703" s="60"/>
      <c r="C703" s="60"/>
      <c r="E703" s="61"/>
      <c r="F703" s="61"/>
      <c r="G703" s="61"/>
      <c r="I703" s="62"/>
    </row>
    <row r="704" spans="2:9" ht="14.4">
      <c r="B704" s="60"/>
      <c r="C704" s="60"/>
      <c r="E704" s="61"/>
      <c r="F704" s="61"/>
      <c r="G704" s="61"/>
      <c r="I704" s="62"/>
    </row>
    <row r="705" spans="2:9" ht="14.4">
      <c r="B705" s="60"/>
      <c r="C705" s="60"/>
      <c r="E705" s="61"/>
      <c r="F705" s="61"/>
      <c r="G705" s="61"/>
      <c r="I705" s="62"/>
    </row>
    <row r="706" spans="2:9" ht="14.4">
      <c r="B706" s="60"/>
      <c r="C706" s="60"/>
      <c r="E706" s="61"/>
      <c r="F706" s="61"/>
      <c r="G706" s="61"/>
      <c r="I706" s="62"/>
    </row>
    <row r="707" spans="2:9" ht="14.4">
      <c r="B707" s="60"/>
      <c r="C707" s="60"/>
      <c r="E707" s="61"/>
      <c r="F707" s="61"/>
      <c r="G707" s="61"/>
      <c r="I707" s="62"/>
    </row>
    <row r="708" spans="2:9" ht="14.4">
      <c r="B708" s="60"/>
      <c r="C708" s="60"/>
      <c r="E708" s="61"/>
      <c r="F708" s="61"/>
      <c r="G708" s="61"/>
      <c r="I708" s="62"/>
    </row>
    <row r="709" spans="2:9" ht="14.4">
      <c r="B709" s="60"/>
      <c r="C709" s="60"/>
      <c r="E709" s="61"/>
      <c r="F709" s="61"/>
      <c r="G709" s="61"/>
      <c r="I709" s="62"/>
    </row>
    <row r="710" spans="2:9" ht="14.4">
      <c r="B710" s="60"/>
      <c r="C710" s="60"/>
      <c r="E710" s="61"/>
      <c r="F710" s="61"/>
      <c r="G710" s="61"/>
      <c r="I710" s="62"/>
    </row>
    <row r="711" spans="2:9" ht="14.4">
      <c r="B711" s="60"/>
      <c r="C711" s="60"/>
      <c r="E711" s="61"/>
      <c r="F711" s="61"/>
      <c r="G711" s="61"/>
      <c r="I711" s="62"/>
    </row>
    <row r="712" spans="2:9" ht="14.4">
      <c r="B712" s="60"/>
      <c r="C712" s="60"/>
      <c r="E712" s="61"/>
      <c r="F712" s="61"/>
      <c r="G712" s="61"/>
      <c r="I712" s="62"/>
    </row>
    <row r="713" spans="2:9" ht="14.4">
      <c r="B713" s="60"/>
      <c r="C713" s="60"/>
      <c r="E713" s="61"/>
      <c r="F713" s="61"/>
      <c r="G713" s="61"/>
      <c r="I713" s="62"/>
    </row>
    <row r="714" spans="2:9" ht="14.4">
      <c r="B714" s="60"/>
      <c r="C714" s="60"/>
      <c r="E714" s="61"/>
      <c r="F714" s="61"/>
      <c r="G714" s="61"/>
      <c r="I714" s="62"/>
    </row>
    <row r="715" spans="2:9" ht="14.4">
      <c r="B715" s="60"/>
      <c r="C715" s="60"/>
      <c r="E715" s="61"/>
      <c r="F715" s="61"/>
      <c r="G715" s="61"/>
      <c r="I715" s="62"/>
    </row>
    <row r="716" spans="2:9" ht="14.4">
      <c r="B716" s="60"/>
      <c r="C716" s="60"/>
      <c r="E716" s="61"/>
      <c r="F716" s="61"/>
      <c r="G716" s="61"/>
      <c r="I716" s="62"/>
    </row>
    <row r="717" spans="2:9" ht="14.4">
      <c r="B717" s="60"/>
      <c r="C717" s="60"/>
      <c r="E717" s="61"/>
      <c r="F717" s="61"/>
      <c r="G717" s="61"/>
      <c r="I717" s="62"/>
    </row>
    <row r="718" spans="2:9" ht="14.4">
      <c r="B718" s="60"/>
      <c r="C718" s="60"/>
      <c r="E718" s="61"/>
      <c r="F718" s="61"/>
      <c r="G718" s="61"/>
      <c r="I718" s="62"/>
    </row>
    <row r="719" spans="2:9" ht="14.4">
      <c r="B719" s="60"/>
      <c r="C719" s="60"/>
      <c r="E719" s="61"/>
      <c r="F719" s="61"/>
      <c r="G719" s="61"/>
      <c r="I719" s="62"/>
    </row>
    <row r="720" spans="2:9" ht="14.4">
      <c r="B720" s="60"/>
      <c r="C720" s="60"/>
      <c r="E720" s="61"/>
      <c r="F720" s="61"/>
      <c r="G720" s="61"/>
      <c r="I720" s="62"/>
    </row>
    <row r="721" spans="2:9" ht="14.4">
      <c r="B721" s="60"/>
      <c r="C721" s="60"/>
      <c r="E721" s="61"/>
      <c r="F721" s="61"/>
      <c r="G721" s="61"/>
      <c r="I721" s="62"/>
    </row>
    <row r="722" spans="2:9" ht="14.4">
      <c r="B722" s="60"/>
      <c r="C722" s="60"/>
      <c r="E722" s="61"/>
      <c r="F722" s="61"/>
      <c r="G722" s="61"/>
      <c r="I722" s="62"/>
    </row>
    <row r="723" spans="2:9" ht="14.4">
      <c r="B723" s="60"/>
      <c r="C723" s="60"/>
      <c r="E723" s="61"/>
      <c r="F723" s="61"/>
      <c r="G723" s="61"/>
      <c r="I723" s="62"/>
    </row>
    <row r="724" spans="2:9" ht="14.4">
      <c r="B724" s="60"/>
      <c r="C724" s="60"/>
      <c r="E724" s="61"/>
      <c r="F724" s="61"/>
      <c r="G724" s="61"/>
      <c r="I724" s="62"/>
    </row>
    <row r="725" spans="2:9" ht="14.4">
      <c r="B725" s="60"/>
      <c r="C725" s="60"/>
      <c r="E725" s="61"/>
      <c r="F725" s="61"/>
      <c r="G725" s="61"/>
      <c r="I725" s="62"/>
    </row>
    <row r="726" spans="2:9" ht="14.4">
      <c r="B726" s="60"/>
      <c r="C726" s="60"/>
      <c r="E726" s="61"/>
      <c r="F726" s="61"/>
      <c r="G726" s="61"/>
      <c r="I726" s="62"/>
    </row>
    <row r="727" spans="2:9" ht="14.4">
      <c r="B727" s="60"/>
      <c r="C727" s="60"/>
      <c r="E727" s="61"/>
      <c r="F727" s="61"/>
      <c r="G727" s="61"/>
      <c r="I727" s="62"/>
    </row>
    <row r="728" spans="2:9" ht="14.4">
      <c r="B728" s="60"/>
      <c r="C728" s="60"/>
      <c r="E728" s="61"/>
      <c r="F728" s="61"/>
      <c r="G728" s="61"/>
      <c r="I728" s="62"/>
    </row>
    <row r="729" spans="2:9" ht="14.4">
      <c r="B729" s="60"/>
      <c r="C729" s="60"/>
      <c r="E729" s="61"/>
      <c r="F729" s="61"/>
      <c r="G729" s="61"/>
      <c r="I729" s="62"/>
    </row>
    <row r="730" spans="2:9" ht="14.4">
      <c r="B730" s="60"/>
      <c r="C730" s="60"/>
      <c r="E730" s="61"/>
      <c r="F730" s="61"/>
      <c r="G730" s="61"/>
      <c r="I730" s="62"/>
    </row>
    <row r="731" spans="2:9" ht="14.4">
      <c r="B731" s="60"/>
      <c r="C731" s="60"/>
      <c r="E731" s="61"/>
      <c r="F731" s="61"/>
      <c r="G731" s="61"/>
      <c r="I731" s="62"/>
    </row>
    <row r="732" spans="2:9" ht="14.4">
      <c r="B732" s="60"/>
      <c r="C732" s="60"/>
      <c r="E732" s="61"/>
      <c r="F732" s="61"/>
      <c r="G732" s="61"/>
      <c r="I732" s="62"/>
    </row>
    <row r="733" spans="2:9" ht="14.4">
      <c r="B733" s="60"/>
      <c r="C733" s="60"/>
      <c r="E733" s="61"/>
      <c r="F733" s="61"/>
      <c r="G733" s="61"/>
      <c r="I733" s="62"/>
    </row>
    <row r="734" spans="2:9" ht="14.4">
      <c r="B734" s="60"/>
      <c r="C734" s="60"/>
      <c r="E734" s="61"/>
      <c r="F734" s="61"/>
      <c r="G734" s="61"/>
      <c r="I734" s="62"/>
    </row>
    <row r="735" spans="2:9" ht="14.4">
      <c r="B735" s="60"/>
      <c r="C735" s="60"/>
      <c r="E735" s="61"/>
      <c r="F735" s="61"/>
      <c r="G735" s="61"/>
      <c r="I735" s="62"/>
    </row>
    <row r="736" spans="2:9" ht="14.4">
      <c r="B736" s="60"/>
      <c r="C736" s="60"/>
      <c r="E736" s="61"/>
      <c r="F736" s="61"/>
      <c r="G736" s="61"/>
      <c r="I736" s="62"/>
    </row>
    <row r="737" spans="2:9" ht="14.4">
      <c r="B737" s="60"/>
      <c r="C737" s="60"/>
      <c r="E737" s="61"/>
      <c r="F737" s="61"/>
      <c r="G737" s="61"/>
      <c r="I737" s="62"/>
    </row>
    <row r="738" spans="2:9" ht="14.4">
      <c r="B738" s="60"/>
      <c r="C738" s="60"/>
      <c r="E738" s="61"/>
      <c r="F738" s="61"/>
      <c r="G738" s="61"/>
      <c r="I738" s="62"/>
    </row>
    <row r="739" spans="2:9" ht="14.4">
      <c r="B739" s="60"/>
      <c r="C739" s="60"/>
      <c r="E739" s="61"/>
      <c r="F739" s="61"/>
      <c r="G739" s="61"/>
      <c r="I739" s="62"/>
    </row>
    <row r="740" spans="2:9" ht="14.4">
      <c r="B740" s="60"/>
      <c r="C740" s="60"/>
      <c r="E740" s="61"/>
      <c r="F740" s="61"/>
      <c r="G740" s="61"/>
      <c r="I740" s="62"/>
    </row>
    <row r="741" spans="2:9" ht="14.4">
      <c r="B741" s="60"/>
      <c r="C741" s="60"/>
      <c r="E741" s="61"/>
      <c r="F741" s="61"/>
      <c r="G741" s="61"/>
      <c r="I741" s="62"/>
    </row>
    <row r="742" spans="2:9" ht="14.4">
      <c r="B742" s="60"/>
      <c r="C742" s="60"/>
      <c r="E742" s="61"/>
      <c r="F742" s="61"/>
      <c r="G742" s="61"/>
      <c r="I742" s="62"/>
    </row>
    <row r="743" spans="2:9" ht="14.4">
      <c r="B743" s="60"/>
      <c r="C743" s="60"/>
      <c r="E743" s="61"/>
      <c r="F743" s="61"/>
      <c r="G743" s="61"/>
      <c r="I743" s="62"/>
    </row>
    <row r="744" spans="2:9" ht="14.4">
      <c r="B744" s="60"/>
      <c r="C744" s="60"/>
      <c r="E744" s="61"/>
      <c r="F744" s="61"/>
      <c r="G744" s="61"/>
      <c r="I744" s="62"/>
    </row>
    <row r="745" spans="2:9" ht="14.4">
      <c r="B745" s="60"/>
      <c r="C745" s="60"/>
      <c r="E745" s="61"/>
      <c r="F745" s="61"/>
      <c r="G745" s="61"/>
      <c r="I745" s="62"/>
    </row>
    <row r="746" spans="2:9" ht="14.4">
      <c r="B746" s="60"/>
      <c r="C746" s="60"/>
      <c r="E746" s="61"/>
      <c r="F746" s="61"/>
      <c r="G746" s="61"/>
      <c r="I746" s="62"/>
    </row>
    <row r="747" spans="2:9" ht="14.4">
      <c r="B747" s="60"/>
      <c r="C747" s="60"/>
      <c r="E747" s="61"/>
      <c r="F747" s="61"/>
      <c r="G747" s="61"/>
      <c r="I747" s="62"/>
    </row>
    <row r="748" spans="2:9" ht="14.4">
      <c r="B748" s="60"/>
      <c r="C748" s="60"/>
      <c r="E748" s="61"/>
      <c r="F748" s="61"/>
      <c r="G748" s="61"/>
      <c r="I748" s="62"/>
    </row>
    <row r="749" spans="2:9" ht="14.4">
      <c r="B749" s="60"/>
      <c r="C749" s="60"/>
      <c r="E749" s="61"/>
      <c r="F749" s="61"/>
      <c r="G749" s="61"/>
      <c r="I749" s="62"/>
    </row>
    <row r="750" spans="2:9" ht="14.4">
      <c r="B750" s="60"/>
      <c r="C750" s="60"/>
      <c r="E750" s="61"/>
      <c r="F750" s="61"/>
      <c r="G750" s="61"/>
      <c r="I750" s="62"/>
    </row>
    <row r="751" spans="2:9" ht="14.4">
      <c r="B751" s="60"/>
      <c r="C751" s="60"/>
      <c r="E751" s="61"/>
      <c r="F751" s="61"/>
      <c r="G751" s="61"/>
      <c r="I751" s="62"/>
    </row>
    <row r="752" spans="2:9" ht="14.4">
      <c r="B752" s="60"/>
      <c r="C752" s="60"/>
      <c r="E752" s="61"/>
      <c r="F752" s="61"/>
      <c r="G752" s="61"/>
      <c r="I752" s="62"/>
    </row>
    <row r="753" spans="2:9" ht="14.4">
      <c r="B753" s="60"/>
      <c r="C753" s="60"/>
      <c r="E753" s="61"/>
      <c r="F753" s="61"/>
      <c r="G753" s="61"/>
      <c r="I753" s="62"/>
    </row>
    <row r="754" spans="2:9" ht="14.4">
      <c r="B754" s="60"/>
      <c r="C754" s="60"/>
      <c r="E754" s="61"/>
      <c r="F754" s="61"/>
      <c r="G754" s="61"/>
      <c r="I754" s="62"/>
    </row>
    <row r="755" spans="2:9" ht="14.4">
      <c r="B755" s="60"/>
      <c r="C755" s="60"/>
      <c r="E755" s="61"/>
      <c r="F755" s="61"/>
      <c r="G755" s="61"/>
      <c r="I755" s="62"/>
    </row>
    <row r="756" spans="2:9" ht="14.4">
      <c r="B756" s="60"/>
      <c r="C756" s="60"/>
      <c r="E756" s="61"/>
      <c r="F756" s="61"/>
      <c r="G756" s="61"/>
      <c r="I756" s="62"/>
    </row>
    <row r="757" spans="2:9" ht="14.4">
      <c r="B757" s="60"/>
      <c r="C757" s="60"/>
      <c r="E757" s="61"/>
      <c r="F757" s="61"/>
      <c r="G757" s="61"/>
      <c r="I757" s="62"/>
    </row>
    <row r="758" spans="2:9" ht="14.4">
      <c r="B758" s="60"/>
      <c r="C758" s="60"/>
      <c r="E758" s="61"/>
      <c r="F758" s="61"/>
      <c r="G758" s="61"/>
      <c r="I758" s="62"/>
    </row>
    <row r="759" spans="2:9" ht="14.4">
      <c r="B759" s="60"/>
      <c r="C759" s="60"/>
      <c r="E759" s="61"/>
      <c r="F759" s="61"/>
      <c r="G759" s="61"/>
      <c r="I759" s="62"/>
    </row>
    <row r="760" spans="2:9" ht="14.4">
      <c r="B760" s="60"/>
      <c r="C760" s="60"/>
      <c r="E760" s="61"/>
      <c r="F760" s="61"/>
      <c r="G760" s="61"/>
      <c r="I760" s="62"/>
    </row>
    <row r="761" spans="2:9" ht="14.4">
      <c r="B761" s="60"/>
      <c r="C761" s="60"/>
      <c r="E761" s="61"/>
      <c r="F761" s="61"/>
      <c r="G761" s="61"/>
      <c r="I761" s="62"/>
    </row>
    <row r="762" spans="2:9" ht="14.4">
      <c r="B762" s="60"/>
      <c r="C762" s="60"/>
      <c r="E762" s="61"/>
      <c r="F762" s="61"/>
      <c r="G762" s="61"/>
      <c r="I762" s="62"/>
    </row>
    <row r="763" spans="2:9" ht="14.4">
      <c r="B763" s="60"/>
      <c r="C763" s="60"/>
      <c r="E763" s="61"/>
      <c r="F763" s="61"/>
      <c r="G763" s="61"/>
      <c r="I763" s="62"/>
    </row>
    <row r="764" spans="2:9" ht="14.4">
      <c r="B764" s="60"/>
      <c r="C764" s="60"/>
      <c r="E764" s="61"/>
      <c r="F764" s="61"/>
      <c r="G764" s="61"/>
      <c r="I764" s="62"/>
    </row>
    <row r="765" spans="2:9" ht="14.4">
      <c r="B765" s="60"/>
      <c r="C765" s="60"/>
      <c r="E765" s="61"/>
      <c r="F765" s="61"/>
      <c r="G765" s="61"/>
      <c r="I765" s="62"/>
    </row>
    <row r="766" spans="2:9" ht="14.4">
      <c r="B766" s="60"/>
      <c r="C766" s="60"/>
      <c r="E766" s="61"/>
      <c r="F766" s="61"/>
      <c r="G766" s="61"/>
      <c r="I766" s="62"/>
    </row>
    <row r="767" spans="2:9" ht="14.4">
      <c r="B767" s="60"/>
      <c r="C767" s="60"/>
      <c r="E767" s="61"/>
      <c r="F767" s="61"/>
      <c r="G767" s="61"/>
      <c r="I767" s="62"/>
    </row>
    <row r="768" spans="2:9" ht="14.4">
      <c r="B768" s="60"/>
      <c r="C768" s="60"/>
      <c r="E768" s="61"/>
      <c r="F768" s="61"/>
      <c r="G768" s="61"/>
      <c r="I768" s="62"/>
    </row>
    <row r="769" spans="2:9" ht="14.4">
      <c r="B769" s="60"/>
      <c r="C769" s="60"/>
      <c r="E769" s="61"/>
      <c r="F769" s="61"/>
      <c r="G769" s="61"/>
      <c r="I769" s="62"/>
    </row>
    <row r="770" spans="2:9" ht="14.4">
      <c r="B770" s="60"/>
      <c r="C770" s="60"/>
      <c r="E770" s="61"/>
      <c r="F770" s="61"/>
      <c r="G770" s="61"/>
      <c r="I770" s="62"/>
    </row>
    <row r="771" spans="2:9" ht="14.4">
      <c r="B771" s="60"/>
      <c r="C771" s="60"/>
      <c r="E771" s="61"/>
      <c r="F771" s="61"/>
      <c r="G771" s="61"/>
      <c r="I771" s="62"/>
    </row>
    <row r="772" spans="2:9" ht="14.4">
      <c r="B772" s="60"/>
      <c r="C772" s="60"/>
      <c r="E772" s="61"/>
      <c r="F772" s="61"/>
      <c r="G772" s="61"/>
      <c r="I772" s="62"/>
    </row>
    <row r="773" spans="2:9" ht="14.4">
      <c r="B773" s="60"/>
      <c r="C773" s="60"/>
      <c r="E773" s="61"/>
      <c r="F773" s="61"/>
      <c r="G773" s="61"/>
      <c r="I773" s="62"/>
    </row>
    <row r="774" spans="2:9" ht="14.4">
      <c r="B774" s="60"/>
      <c r="C774" s="60"/>
      <c r="E774" s="61"/>
      <c r="F774" s="61"/>
      <c r="G774" s="61"/>
      <c r="I774" s="62"/>
    </row>
    <row r="775" spans="2:9" ht="14.4">
      <c r="B775" s="60"/>
      <c r="C775" s="60"/>
      <c r="E775" s="61"/>
      <c r="F775" s="61"/>
      <c r="G775" s="61"/>
      <c r="I775" s="62"/>
    </row>
    <row r="776" spans="2:9" ht="14.4">
      <c r="B776" s="60"/>
      <c r="C776" s="60"/>
      <c r="E776" s="61"/>
      <c r="F776" s="61"/>
      <c r="G776" s="61"/>
      <c r="I776" s="62"/>
    </row>
    <row r="777" spans="2:9" ht="14.4">
      <c r="B777" s="60"/>
      <c r="C777" s="60"/>
      <c r="E777" s="61"/>
      <c r="F777" s="61"/>
      <c r="G777" s="61"/>
      <c r="I777" s="62"/>
    </row>
    <row r="778" spans="2:9" ht="14.4">
      <c r="B778" s="60"/>
      <c r="C778" s="60"/>
      <c r="E778" s="61"/>
      <c r="F778" s="61"/>
      <c r="G778" s="61"/>
      <c r="I778" s="62"/>
    </row>
    <row r="779" spans="2:9" ht="14.4">
      <c r="B779" s="60"/>
      <c r="C779" s="60"/>
      <c r="E779" s="61"/>
      <c r="F779" s="61"/>
      <c r="G779" s="61"/>
      <c r="I779" s="62"/>
    </row>
    <row r="780" spans="2:9" ht="14.4">
      <c r="B780" s="60"/>
      <c r="C780" s="60"/>
      <c r="E780" s="61"/>
      <c r="F780" s="61"/>
      <c r="G780" s="61"/>
      <c r="I780" s="62"/>
    </row>
    <row r="781" spans="2:9" ht="14.4">
      <c r="B781" s="60"/>
      <c r="C781" s="60"/>
      <c r="E781" s="61"/>
      <c r="F781" s="61"/>
      <c r="G781" s="61"/>
      <c r="I781" s="62"/>
    </row>
    <row r="782" spans="2:9" ht="14.4">
      <c r="B782" s="60"/>
      <c r="C782" s="60"/>
      <c r="E782" s="61"/>
      <c r="F782" s="61"/>
      <c r="G782" s="61"/>
      <c r="I782" s="62"/>
    </row>
    <row r="783" spans="2:9" ht="14.4">
      <c r="B783" s="60"/>
      <c r="C783" s="60"/>
      <c r="E783" s="61"/>
      <c r="F783" s="61"/>
      <c r="G783" s="61"/>
      <c r="I783" s="62"/>
    </row>
    <row r="784" spans="2:9" ht="14.4">
      <c r="B784" s="60"/>
      <c r="C784" s="60"/>
      <c r="E784" s="61"/>
      <c r="F784" s="61"/>
      <c r="G784" s="61"/>
      <c r="I784" s="62"/>
    </row>
    <row r="785" spans="2:9" ht="14.4">
      <c r="B785" s="60"/>
      <c r="C785" s="60"/>
      <c r="E785" s="61"/>
      <c r="F785" s="61"/>
      <c r="G785" s="61"/>
      <c r="I785" s="62"/>
    </row>
    <row r="786" spans="2:9" ht="14.4">
      <c r="B786" s="60"/>
      <c r="C786" s="60"/>
      <c r="E786" s="61"/>
      <c r="F786" s="61"/>
      <c r="G786" s="61"/>
      <c r="I786" s="62"/>
    </row>
    <row r="787" spans="2:9" ht="14.4">
      <c r="B787" s="60"/>
      <c r="C787" s="60"/>
      <c r="E787" s="61"/>
      <c r="F787" s="61"/>
      <c r="G787" s="61"/>
      <c r="I787" s="62"/>
    </row>
    <row r="788" spans="2:9" ht="14.4">
      <c r="B788" s="60"/>
      <c r="C788" s="60"/>
      <c r="E788" s="61"/>
      <c r="F788" s="61"/>
      <c r="G788" s="61"/>
      <c r="I788" s="62"/>
    </row>
    <row r="789" spans="2:9" ht="14.4">
      <c r="B789" s="60"/>
      <c r="C789" s="60"/>
      <c r="E789" s="61"/>
      <c r="F789" s="61"/>
      <c r="G789" s="61"/>
      <c r="I789" s="62"/>
    </row>
    <row r="790" spans="2:9" ht="14.4">
      <c r="B790" s="60"/>
      <c r="C790" s="60"/>
      <c r="E790" s="61"/>
      <c r="F790" s="61"/>
      <c r="G790" s="61"/>
      <c r="I790" s="62"/>
    </row>
    <row r="791" spans="2:9" ht="14.4">
      <c r="B791" s="60"/>
      <c r="C791" s="60"/>
      <c r="E791" s="61"/>
      <c r="F791" s="61"/>
      <c r="G791" s="61"/>
      <c r="I791" s="62"/>
    </row>
    <row r="792" spans="2:9" ht="14.4">
      <c r="B792" s="60"/>
      <c r="C792" s="60"/>
      <c r="E792" s="61"/>
      <c r="F792" s="61"/>
      <c r="G792" s="61"/>
      <c r="I792" s="62"/>
    </row>
    <row r="793" spans="2:9" ht="14.4">
      <c r="B793" s="60"/>
      <c r="C793" s="60"/>
      <c r="E793" s="61"/>
      <c r="F793" s="61"/>
      <c r="G793" s="61"/>
      <c r="I793" s="62"/>
    </row>
    <row r="794" spans="2:9" ht="14.4">
      <c r="B794" s="60"/>
      <c r="C794" s="60"/>
      <c r="E794" s="61"/>
      <c r="F794" s="61"/>
      <c r="G794" s="61"/>
      <c r="I794" s="62"/>
    </row>
    <row r="795" spans="2:9" ht="14.4">
      <c r="B795" s="60"/>
      <c r="C795" s="60"/>
      <c r="E795" s="61"/>
      <c r="F795" s="61"/>
      <c r="G795" s="61"/>
      <c r="I795" s="62"/>
    </row>
    <row r="796" spans="2:9" ht="14.4">
      <c r="B796" s="60"/>
      <c r="C796" s="60"/>
      <c r="E796" s="61"/>
      <c r="F796" s="61"/>
      <c r="G796" s="61"/>
      <c r="I796" s="62"/>
    </row>
    <row r="797" spans="2:9" ht="14.4">
      <c r="B797" s="60"/>
      <c r="C797" s="60"/>
      <c r="E797" s="61"/>
      <c r="F797" s="61"/>
      <c r="G797" s="61"/>
      <c r="I797" s="62"/>
    </row>
    <row r="798" spans="2:9" ht="14.4">
      <c r="B798" s="60"/>
      <c r="C798" s="60"/>
      <c r="E798" s="61"/>
      <c r="F798" s="61"/>
      <c r="G798" s="61"/>
      <c r="I798" s="62"/>
    </row>
    <row r="799" spans="2:9" ht="14.4">
      <c r="B799" s="60"/>
      <c r="C799" s="60"/>
      <c r="E799" s="61"/>
      <c r="F799" s="61"/>
      <c r="G799" s="61"/>
      <c r="I799" s="62"/>
    </row>
    <row r="800" spans="2:9" ht="14.4">
      <c r="B800" s="60"/>
      <c r="C800" s="60"/>
      <c r="E800" s="61"/>
      <c r="F800" s="61"/>
      <c r="G800" s="61"/>
      <c r="I800" s="62"/>
    </row>
    <row r="801" spans="2:9" ht="14.4">
      <c r="B801" s="60"/>
      <c r="C801" s="60"/>
      <c r="E801" s="61"/>
      <c r="F801" s="61"/>
      <c r="G801" s="61"/>
      <c r="I801" s="62"/>
    </row>
    <row r="802" spans="2:9" ht="14.4">
      <c r="B802" s="60"/>
      <c r="C802" s="60"/>
      <c r="E802" s="61"/>
      <c r="F802" s="61"/>
      <c r="G802" s="61"/>
      <c r="I802" s="62"/>
    </row>
    <row r="803" spans="2:9" ht="14.4">
      <c r="B803" s="60"/>
      <c r="C803" s="60"/>
      <c r="E803" s="61"/>
      <c r="F803" s="61"/>
      <c r="G803" s="61"/>
      <c r="I803" s="62"/>
    </row>
    <row r="804" spans="2:9" ht="14.4">
      <c r="B804" s="60"/>
      <c r="C804" s="60"/>
      <c r="E804" s="61"/>
      <c r="F804" s="61"/>
      <c r="G804" s="61"/>
      <c r="I804" s="62"/>
    </row>
    <row r="805" spans="2:9" ht="14.4">
      <c r="B805" s="60"/>
      <c r="C805" s="60"/>
      <c r="E805" s="61"/>
      <c r="F805" s="61"/>
      <c r="G805" s="61"/>
      <c r="I805" s="62"/>
    </row>
    <row r="806" spans="2:9" ht="14.4">
      <c r="B806" s="60"/>
      <c r="C806" s="60"/>
      <c r="E806" s="61"/>
      <c r="F806" s="61"/>
      <c r="G806" s="61"/>
      <c r="I806" s="62"/>
    </row>
    <row r="807" spans="2:9" ht="14.4">
      <c r="B807" s="60"/>
      <c r="C807" s="60"/>
      <c r="E807" s="61"/>
      <c r="F807" s="61"/>
      <c r="G807" s="61"/>
      <c r="I807" s="62"/>
    </row>
    <row r="808" spans="2:9" ht="14.4">
      <c r="B808" s="60"/>
      <c r="C808" s="60"/>
      <c r="E808" s="61"/>
      <c r="F808" s="61"/>
      <c r="G808" s="61"/>
      <c r="I808" s="62"/>
    </row>
    <row r="809" spans="2:9" ht="14.4">
      <c r="B809" s="60"/>
      <c r="C809" s="60"/>
      <c r="E809" s="61"/>
      <c r="F809" s="61"/>
      <c r="G809" s="61"/>
      <c r="I809" s="62"/>
    </row>
    <row r="810" spans="2:9" ht="14.4">
      <c r="B810" s="60"/>
      <c r="C810" s="60"/>
      <c r="E810" s="61"/>
      <c r="F810" s="61"/>
      <c r="G810" s="61"/>
      <c r="I810" s="62"/>
    </row>
    <row r="811" spans="2:9" ht="14.4">
      <c r="B811" s="60"/>
      <c r="C811" s="60"/>
      <c r="E811" s="61"/>
      <c r="F811" s="61"/>
      <c r="G811" s="61"/>
      <c r="I811" s="62"/>
    </row>
    <row r="812" spans="2:9" ht="14.4">
      <c r="B812" s="60"/>
      <c r="C812" s="60"/>
      <c r="E812" s="61"/>
      <c r="F812" s="61"/>
      <c r="G812" s="61"/>
      <c r="I812" s="62"/>
    </row>
    <row r="813" spans="2:9" ht="14.4">
      <c r="B813" s="60"/>
      <c r="C813" s="60"/>
      <c r="E813" s="61"/>
      <c r="F813" s="61"/>
      <c r="G813" s="61"/>
      <c r="I813" s="62"/>
    </row>
    <row r="814" spans="2:9" ht="14.4">
      <c r="B814" s="60"/>
      <c r="C814" s="60"/>
      <c r="E814" s="61"/>
      <c r="F814" s="61"/>
      <c r="G814" s="61"/>
      <c r="I814" s="62"/>
    </row>
    <row r="815" spans="2:9" ht="14.4">
      <c r="B815" s="60"/>
      <c r="C815" s="60"/>
      <c r="E815" s="61"/>
      <c r="F815" s="61"/>
      <c r="G815" s="61"/>
      <c r="I815" s="62"/>
    </row>
    <row r="816" spans="2:9" ht="14.4">
      <c r="B816" s="60"/>
      <c r="C816" s="60"/>
      <c r="E816" s="61"/>
      <c r="F816" s="61"/>
      <c r="G816" s="61"/>
      <c r="I816" s="62"/>
    </row>
    <row r="817" spans="2:9" ht="14.4">
      <c r="B817" s="60"/>
      <c r="C817" s="60"/>
      <c r="E817" s="61"/>
      <c r="F817" s="61"/>
      <c r="G817" s="61"/>
      <c r="I817" s="62"/>
    </row>
    <row r="818" spans="2:9" ht="14.4">
      <c r="B818" s="60"/>
      <c r="C818" s="60"/>
      <c r="E818" s="61"/>
      <c r="F818" s="61"/>
      <c r="G818" s="61"/>
      <c r="I818" s="62"/>
    </row>
    <row r="819" spans="2:9" ht="14.4">
      <c r="B819" s="60"/>
      <c r="C819" s="60"/>
      <c r="E819" s="61"/>
      <c r="F819" s="61"/>
      <c r="G819" s="61"/>
      <c r="I819" s="62"/>
    </row>
    <row r="820" spans="2:9" ht="14.4">
      <c r="B820" s="60"/>
      <c r="C820" s="60"/>
      <c r="E820" s="61"/>
      <c r="F820" s="61"/>
      <c r="G820" s="61"/>
      <c r="I820" s="62"/>
    </row>
    <row r="821" spans="2:9" ht="14.4">
      <c r="B821" s="60"/>
      <c r="C821" s="60"/>
      <c r="E821" s="61"/>
      <c r="F821" s="61"/>
      <c r="G821" s="61"/>
      <c r="I821" s="62"/>
    </row>
    <row r="822" spans="2:9" ht="14.4">
      <c r="B822" s="60"/>
      <c r="C822" s="60"/>
      <c r="E822" s="61"/>
      <c r="F822" s="61"/>
      <c r="G822" s="61"/>
      <c r="I822" s="62"/>
    </row>
    <row r="823" spans="2:9" ht="14.4">
      <c r="B823" s="60"/>
      <c r="C823" s="60"/>
      <c r="E823" s="61"/>
      <c r="F823" s="61"/>
      <c r="G823" s="61"/>
      <c r="I823" s="62"/>
    </row>
    <row r="824" spans="2:9" ht="14.4">
      <c r="B824" s="60"/>
      <c r="C824" s="60"/>
      <c r="E824" s="61"/>
      <c r="F824" s="61"/>
      <c r="G824" s="61"/>
      <c r="I824" s="62"/>
    </row>
    <row r="825" spans="2:9" ht="14.4">
      <c r="B825" s="60"/>
      <c r="C825" s="60"/>
      <c r="E825" s="61"/>
      <c r="F825" s="61"/>
      <c r="G825" s="61"/>
      <c r="I825" s="62"/>
    </row>
    <row r="826" spans="2:9" ht="14.4">
      <c r="B826" s="60"/>
      <c r="C826" s="60"/>
      <c r="E826" s="61"/>
      <c r="F826" s="61"/>
      <c r="G826" s="61"/>
      <c r="I826" s="62"/>
    </row>
    <row r="827" spans="2:9" ht="14.4">
      <c r="B827" s="60"/>
      <c r="C827" s="60"/>
      <c r="E827" s="61"/>
      <c r="F827" s="61"/>
      <c r="G827" s="61"/>
      <c r="I827" s="62"/>
    </row>
    <row r="828" spans="2:9" ht="14.4">
      <c r="B828" s="60"/>
      <c r="C828" s="60"/>
      <c r="E828" s="61"/>
      <c r="F828" s="61"/>
      <c r="G828" s="61"/>
      <c r="I828" s="62"/>
    </row>
    <row r="829" spans="2:9" ht="14.4">
      <c r="B829" s="60"/>
      <c r="C829" s="60"/>
      <c r="E829" s="61"/>
      <c r="F829" s="61"/>
      <c r="G829" s="61"/>
      <c r="I829" s="62"/>
    </row>
    <row r="830" spans="2:9" ht="14.4">
      <c r="B830" s="60"/>
      <c r="C830" s="60"/>
      <c r="E830" s="61"/>
      <c r="F830" s="61"/>
      <c r="G830" s="61"/>
      <c r="I830" s="62"/>
    </row>
    <row r="831" spans="2:9" ht="14.4">
      <c r="B831" s="60"/>
      <c r="C831" s="60"/>
      <c r="E831" s="61"/>
      <c r="F831" s="61"/>
      <c r="G831" s="61"/>
      <c r="I831" s="62"/>
    </row>
    <row r="832" spans="2:9" ht="14.4">
      <c r="B832" s="60"/>
      <c r="C832" s="60"/>
      <c r="E832" s="61"/>
      <c r="F832" s="61"/>
      <c r="G832" s="61"/>
      <c r="I832" s="62"/>
    </row>
    <row r="833" spans="2:9" ht="14.4">
      <c r="B833" s="60"/>
      <c r="C833" s="60"/>
      <c r="E833" s="61"/>
      <c r="F833" s="61"/>
      <c r="G833" s="61"/>
      <c r="I833" s="62"/>
    </row>
    <row r="834" spans="2:9" ht="14.4">
      <c r="B834" s="60"/>
      <c r="C834" s="60"/>
      <c r="E834" s="61"/>
      <c r="F834" s="61"/>
      <c r="G834" s="61"/>
      <c r="I834" s="62"/>
    </row>
    <row r="835" spans="2:9" ht="14.4">
      <c r="B835" s="60"/>
      <c r="C835" s="60"/>
      <c r="E835" s="61"/>
      <c r="F835" s="61"/>
      <c r="G835" s="61"/>
      <c r="I835" s="62"/>
    </row>
    <row r="836" spans="2:9" ht="14.4">
      <c r="B836" s="60"/>
      <c r="C836" s="60"/>
      <c r="E836" s="61"/>
      <c r="F836" s="61"/>
      <c r="G836" s="61"/>
      <c r="I836" s="62"/>
    </row>
    <row r="837" spans="2:9" ht="14.4">
      <c r="B837" s="60"/>
      <c r="C837" s="60"/>
      <c r="E837" s="61"/>
      <c r="F837" s="61"/>
      <c r="G837" s="61"/>
      <c r="I837" s="62"/>
    </row>
    <row r="838" spans="2:9" ht="14.4">
      <c r="B838" s="60"/>
      <c r="C838" s="60"/>
      <c r="E838" s="61"/>
      <c r="F838" s="61"/>
      <c r="G838" s="61"/>
      <c r="I838" s="62"/>
    </row>
    <row r="839" spans="2:9" ht="14.4">
      <c r="B839" s="60"/>
      <c r="C839" s="60"/>
      <c r="E839" s="61"/>
      <c r="F839" s="61"/>
      <c r="G839" s="61"/>
      <c r="I839" s="62"/>
    </row>
    <row r="840" spans="2:9" ht="14.4">
      <c r="B840" s="60"/>
      <c r="C840" s="60"/>
      <c r="E840" s="61"/>
      <c r="F840" s="61"/>
      <c r="G840" s="61"/>
      <c r="I840" s="62"/>
    </row>
    <row r="841" spans="2:9" ht="14.4">
      <c r="B841" s="60"/>
      <c r="C841" s="60"/>
      <c r="E841" s="61"/>
      <c r="F841" s="61"/>
      <c r="G841" s="61"/>
      <c r="I841" s="62"/>
    </row>
    <row r="842" spans="2:9" ht="14.4">
      <c r="B842" s="60"/>
      <c r="C842" s="60"/>
      <c r="E842" s="61"/>
      <c r="F842" s="61"/>
      <c r="G842" s="61"/>
      <c r="I842" s="62"/>
    </row>
    <row r="843" spans="2:9" ht="14.4">
      <c r="B843" s="60"/>
      <c r="C843" s="60"/>
      <c r="E843" s="61"/>
      <c r="F843" s="61"/>
      <c r="G843" s="61"/>
      <c r="I843" s="62"/>
    </row>
    <row r="844" spans="2:9" ht="14.4">
      <c r="B844" s="60"/>
      <c r="C844" s="60"/>
      <c r="E844" s="61"/>
      <c r="F844" s="61"/>
      <c r="G844" s="61"/>
      <c r="I844" s="62"/>
    </row>
    <row r="845" spans="2:9" ht="14.4">
      <c r="B845" s="60"/>
      <c r="C845" s="60"/>
      <c r="E845" s="61"/>
      <c r="F845" s="61"/>
      <c r="G845" s="61"/>
      <c r="I845" s="62"/>
    </row>
    <row r="846" spans="2:9" ht="14.4">
      <c r="B846" s="60"/>
      <c r="C846" s="60"/>
      <c r="E846" s="61"/>
      <c r="F846" s="61"/>
      <c r="G846" s="61"/>
      <c r="I846" s="62"/>
    </row>
    <row r="847" spans="2:9" ht="14.4">
      <c r="B847" s="60"/>
      <c r="C847" s="60"/>
      <c r="E847" s="61"/>
      <c r="F847" s="61"/>
      <c r="G847" s="61"/>
      <c r="I847" s="62"/>
    </row>
    <row r="848" spans="2:9" ht="14.4">
      <c r="B848" s="60"/>
      <c r="C848" s="60"/>
      <c r="E848" s="61"/>
      <c r="F848" s="61"/>
      <c r="G848" s="61"/>
      <c r="I848" s="62"/>
    </row>
    <row r="849" spans="2:9" ht="14.4">
      <c r="B849" s="60"/>
      <c r="C849" s="60"/>
      <c r="E849" s="61"/>
      <c r="F849" s="61"/>
      <c r="G849" s="61"/>
      <c r="I849" s="62"/>
    </row>
    <row r="850" spans="2:9" ht="14.4">
      <c r="B850" s="60"/>
      <c r="C850" s="60"/>
      <c r="E850" s="61"/>
      <c r="F850" s="61"/>
      <c r="G850" s="61"/>
      <c r="I850" s="62"/>
    </row>
    <row r="851" spans="2:9" ht="14.4">
      <c r="B851" s="60"/>
      <c r="C851" s="60"/>
      <c r="E851" s="61"/>
      <c r="F851" s="61"/>
      <c r="G851" s="61"/>
      <c r="I851" s="62"/>
    </row>
    <row r="852" spans="2:9" ht="14.4">
      <c r="B852" s="60"/>
      <c r="C852" s="60"/>
      <c r="E852" s="61"/>
      <c r="F852" s="61"/>
      <c r="G852" s="61"/>
      <c r="I852" s="62"/>
    </row>
    <row r="853" spans="2:9" ht="14.4">
      <c r="B853" s="60"/>
      <c r="C853" s="60"/>
      <c r="E853" s="61"/>
      <c r="F853" s="61"/>
      <c r="G853" s="61"/>
      <c r="I853" s="62"/>
    </row>
    <row r="854" spans="2:9" ht="14.4">
      <c r="B854" s="60"/>
      <c r="C854" s="60"/>
      <c r="E854" s="61"/>
      <c r="F854" s="61"/>
      <c r="G854" s="61"/>
      <c r="I854" s="62"/>
    </row>
    <row r="855" spans="2:9" ht="14.4">
      <c r="B855" s="60"/>
      <c r="C855" s="60"/>
      <c r="E855" s="61"/>
      <c r="F855" s="61"/>
      <c r="G855" s="61"/>
      <c r="I855" s="62"/>
    </row>
    <row r="856" spans="2:9" ht="14.4">
      <c r="B856" s="60"/>
      <c r="C856" s="60"/>
      <c r="E856" s="61"/>
      <c r="F856" s="61"/>
      <c r="G856" s="61"/>
      <c r="I856" s="62"/>
    </row>
    <row r="857" spans="2:9" ht="14.4">
      <c r="B857" s="60"/>
      <c r="C857" s="60"/>
      <c r="E857" s="61"/>
      <c r="F857" s="61"/>
      <c r="G857" s="61"/>
      <c r="I857" s="62"/>
    </row>
    <row r="858" spans="2:9" ht="14.4">
      <c r="B858" s="60"/>
      <c r="C858" s="60"/>
      <c r="E858" s="61"/>
      <c r="F858" s="61"/>
      <c r="G858" s="61"/>
      <c r="I858" s="62"/>
    </row>
    <row r="859" spans="2:9" ht="14.4">
      <c r="B859" s="60"/>
      <c r="C859" s="60"/>
      <c r="E859" s="61"/>
      <c r="F859" s="61"/>
      <c r="G859" s="61"/>
      <c r="I859" s="62"/>
    </row>
    <row r="860" spans="2:9" ht="14.4">
      <c r="B860" s="60"/>
      <c r="C860" s="60"/>
      <c r="E860" s="61"/>
      <c r="F860" s="61"/>
      <c r="G860" s="61"/>
      <c r="I860" s="62"/>
    </row>
    <row r="861" spans="2:9" ht="14.4">
      <c r="B861" s="60"/>
      <c r="C861" s="60"/>
      <c r="E861" s="61"/>
      <c r="F861" s="61"/>
      <c r="G861" s="61"/>
      <c r="I861" s="62"/>
    </row>
    <row r="862" spans="2:9" ht="14.4">
      <c r="B862" s="60"/>
      <c r="C862" s="60"/>
      <c r="E862" s="61"/>
      <c r="F862" s="61"/>
      <c r="G862" s="61"/>
      <c r="I862" s="62"/>
    </row>
    <row r="863" spans="2:9" ht="14.4">
      <c r="B863" s="60"/>
      <c r="C863" s="60"/>
      <c r="E863" s="61"/>
      <c r="F863" s="61"/>
      <c r="G863" s="61"/>
      <c r="I863" s="62"/>
    </row>
    <row r="864" spans="2:9" ht="14.4">
      <c r="B864" s="60"/>
      <c r="C864" s="60"/>
      <c r="E864" s="61"/>
      <c r="F864" s="61"/>
      <c r="G864" s="61"/>
      <c r="I864" s="62"/>
    </row>
    <row r="865" spans="2:9" ht="14.4">
      <c r="B865" s="60"/>
      <c r="C865" s="60"/>
      <c r="E865" s="61"/>
      <c r="F865" s="61"/>
      <c r="G865" s="61"/>
      <c r="I865" s="62"/>
    </row>
    <row r="866" spans="2:9" ht="14.4">
      <c r="B866" s="60"/>
      <c r="C866" s="60"/>
      <c r="E866" s="61"/>
      <c r="F866" s="61"/>
      <c r="G866" s="61"/>
      <c r="I866" s="62"/>
    </row>
    <row r="867" spans="2:9" ht="14.4">
      <c r="B867" s="60"/>
      <c r="C867" s="60"/>
      <c r="E867" s="61"/>
      <c r="F867" s="61"/>
      <c r="G867" s="61"/>
      <c r="I867" s="62"/>
    </row>
    <row r="868" spans="2:9" ht="14.4">
      <c r="B868" s="60"/>
      <c r="C868" s="60"/>
      <c r="E868" s="61"/>
      <c r="F868" s="61"/>
      <c r="G868" s="61"/>
      <c r="I868" s="62"/>
    </row>
    <row r="869" spans="2:9" ht="14.4">
      <c r="B869" s="60"/>
      <c r="C869" s="60"/>
      <c r="E869" s="61"/>
      <c r="F869" s="61"/>
      <c r="G869" s="61"/>
      <c r="I869" s="62"/>
    </row>
    <row r="870" spans="2:9" ht="14.4">
      <c r="B870" s="60"/>
      <c r="C870" s="60"/>
      <c r="E870" s="61"/>
      <c r="F870" s="61"/>
      <c r="G870" s="61"/>
      <c r="I870" s="62"/>
    </row>
    <row r="871" spans="2:9" ht="14.4">
      <c r="B871" s="60"/>
      <c r="C871" s="60"/>
      <c r="E871" s="61"/>
      <c r="F871" s="61"/>
      <c r="G871" s="61"/>
      <c r="I871" s="62"/>
    </row>
    <row r="872" spans="2:9" ht="14.4">
      <c r="B872" s="60"/>
      <c r="C872" s="60"/>
      <c r="E872" s="61"/>
      <c r="F872" s="61"/>
      <c r="G872" s="61"/>
      <c r="I872" s="62"/>
    </row>
    <row r="873" spans="2:9" ht="14.4">
      <c r="B873" s="60"/>
      <c r="C873" s="60"/>
      <c r="E873" s="61"/>
      <c r="F873" s="61"/>
      <c r="G873" s="61"/>
      <c r="I873" s="62"/>
    </row>
    <row r="874" spans="2:9" ht="14.4">
      <c r="B874" s="60"/>
      <c r="C874" s="60"/>
      <c r="E874" s="61"/>
      <c r="F874" s="61"/>
      <c r="G874" s="61"/>
      <c r="I874" s="62"/>
    </row>
    <row r="875" spans="2:9" ht="14.4">
      <c r="B875" s="60"/>
      <c r="C875" s="60"/>
      <c r="E875" s="61"/>
      <c r="F875" s="61"/>
      <c r="G875" s="61"/>
      <c r="I875" s="62"/>
    </row>
    <row r="876" spans="2:9" ht="14.4">
      <c r="B876" s="60"/>
      <c r="C876" s="60"/>
      <c r="E876" s="61"/>
      <c r="F876" s="61"/>
      <c r="G876" s="61"/>
      <c r="I876" s="62"/>
    </row>
    <row r="877" spans="2:9" ht="14.4">
      <c r="B877" s="60"/>
      <c r="C877" s="60"/>
      <c r="E877" s="61"/>
      <c r="F877" s="61"/>
      <c r="G877" s="61"/>
      <c r="I877" s="62"/>
    </row>
    <row r="878" spans="2:9" ht="14.4">
      <c r="B878" s="60"/>
      <c r="C878" s="60"/>
      <c r="E878" s="61"/>
      <c r="F878" s="61"/>
      <c r="G878" s="61"/>
      <c r="I878" s="62"/>
    </row>
    <row r="879" spans="2:9" ht="14.4">
      <c r="B879" s="60"/>
      <c r="C879" s="60"/>
      <c r="E879" s="61"/>
      <c r="F879" s="61"/>
      <c r="G879" s="61"/>
      <c r="I879" s="62"/>
    </row>
    <row r="880" spans="2:9" ht="14.4">
      <c r="B880" s="60"/>
      <c r="C880" s="60"/>
      <c r="E880" s="61"/>
      <c r="F880" s="61"/>
      <c r="G880" s="61"/>
      <c r="I880" s="62"/>
    </row>
    <row r="881" spans="2:9" ht="14.4">
      <c r="B881" s="60"/>
      <c r="C881" s="60"/>
      <c r="E881" s="61"/>
      <c r="F881" s="61"/>
      <c r="G881" s="61"/>
      <c r="I881" s="62"/>
    </row>
    <row r="882" spans="2:9" ht="14.4">
      <c r="B882" s="60"/>
      <c r="C882" s="60"/>
      <c r="E882" s="61"/>
      <c r="F882" s="61"/>
      <c r="G882" s="61"/>
      <c r="I882" s="62"/>
    </row>
    <row r="883" spans="2:9" ht="14.4">
      <c r="B883" s="60"/>
      <c r="C883" s="60"/>
      <c r="E883" s="61"/>
      <c r="F883" s="61"/>
      <c r="G883" s="61"/>
      <c r="I883" s="62"/>
    </row>
    <row r="884" spans="2:9" ht="14.4">
      <c r="B884" s="60"/>
      <c r="C884" s="60"/>
      <c r="E884" s="61"/>
      <c r="F884" s="61"/>
      <c r="G884" s="61"/>
      <c r="I884" s="62"/>
    </row>
    <row r="885" spans="2:9" ht="14.4">
      <c r="B885" s="60"/>
      <c r="C885" s="60"/>
      <c r="E885" s="61"/>
      <c r="F885" s="61"/>
      <c r="G885" s="61"/>
      <c r="I885" s="62"/>
    </row>
    <row r="886" spans="2:9" ht="14.4">
      <c r="B886" s="60"/>
      <c r="C886" s="60"/>
      <c r="E886" s="61"/>
      <c r="F886" s="61"/>
      <c r="G886" s="61"/>
      <c r="I886" s="62"/>
    </row>
    <row r="887" spans="2:9" ht="14.4">
      <c r="B887" s="60"/>
      <c r="C887" s="60"/>
      <c r="E887" s="61"/>
      <c r="F887" s="61"/>
      <c r="G887" s="61"/>
      <c r="I887" s="62"/>
    </row>
    <row r="888" spans="2:9" ht="14.4">
      <c r="B888" s="60"/>
      <c r="C888" s="60"/>
      <c r="E888" s="61"/>
      <c r="F888" s="61"/>
      <c r="G888" s="61"/>
      <c r="I888" s="62"/>
    </row>
    <row r="889" spans="2:9" ht="14.4">
      <c r="B889" s="60"/>
      <c r="C889" s="60"/>
      <c r="E889" s="61"/>
      <c r="F889" s="61"/>
      <c r="G889" s="61"/>
      <c r="I889" s="62"/>
    </row>
    <row r="890" spans="2:9" ht="14.4">
      <c r="B890" s="60"/>
      <c r="C890" s="60"/>
      <c r="E890" s="61"/>
      <c r="F890" s="61"/>
      <c r="G890" s="61"/>
      <c r="I890" s="62"/>
    </row>
    <row r="891" spans="2:9" ht="14.4">
      <c r="B891" s="60"/>
      <c r="C891" s="60"/>
      <c r="E891" s="61"/>
      <c r="F891" s="61"/>
      <c r="G891" s="61"/>
      <c r="I891" s="62"/>
    </row>
    <row r="892" spans="2:9" ht="14.4">
      <c r="B892" s="60"/>
      <c r="C892" s="60"/>
      <c r="E892" s="61"/>
      <c r="F892" s="61"/>
      <c r="G892" s="61"/>
      <c r="I892" s="62"/>
    </row>
    <row r="893" spans="2:9" ht="14.4">
      <c r="B893" s="60"/>
      <c r="C893" s="60"/>
      <c r="E893" s="61"/>
      <c r="F893" s="61"/>
      <c r="G893" s="61"/>
      <c r="I893" s="62"/>
    </row>
    <row r="894" spans="2:9" ht="14.4">
      <c r="B894" s="60"/>
      <c r="C894" s="60"/>
      <c r="E894" s="61"/>
      <c r="F894" s="61"/>
      <c r="G894" s="61"/>
      <c r="I894" s="62"/>
    </row>
    <row r="895" spans="2:9" ht="14.4">
      <c r="B895" s="60"/>
      <c r="C895" s="60"/>
      <c r="E895" s="61"/>
      <c r="F895" s="61"/>
      <c r="G895" s="61"/>
      <c r="I895" s="62"/>
    </row>
    <row r="896" spans="2:9" ht="14.4">
      <c r="B896" s="60"/>
      <c r="C896" s="60"/>
      <c r="E896" s="61"/>
      <c r="F896" s="61"/>
      <c r="G896" s="61"/>
      <c r="I896" s="62"/>
    </row>
    <row r="897" spans="2:9" ht="14.4">
      <c r="B897" s="60"/>
      <c r="C897" s="60"/>
      <c r="E897" s="61"/>
      <c r="F897" s="61"/>
      <c r="G897" s="61"/>
      <c r="I897" s="62"/>
    </row>
    <row r="898" spans="2:9" ht="14.4">
      <c r="B898" s="60"/>
      <c r="C898" s="60"/>
      <c r="E898" s="61"/>
      <c r="F898" s="61"/>
      <c r="G898" s="61"/>
      <c r="I898" s="62"/>
    </row>
    <row r="899" spans="2:9" ht="14.4">
      <c r="B899" s="60"/>
      <c r="C899" s="60"/>
      <c r="E899" s="61"/>
      <c r="F899" s="61"/>
      <c r="G899" s="61"/>
      <c r="I899" s="62"/>
    </row>
    <row r="900" spans="2:9" ht="14.4">
      <c r="B900" s="60"/>
      <c r="C900" s="60"/>
      <c r="E900" s="61"/>
      <c r="F900" s="61"/>
      <c r="G900" s="61"/>
      <c r="I900" s="62"/>
    </row>
    <row r="901" spans="2:9" ht="14.4">
      <c r="B901" s="60"/>
      <c r="C901" s="60"/>
      <c r="E901" s="61"/>
      <c r="F901" s="61"/>
      <c r="G901" s="61"/>
      <c r="I901" s="62"/>
    </row>
    <row r="902" spans="2:9" ht="14.4">
      <c r="B902" s="60"/>
      <c r="C902" s="60"/>
      <c r="E902" s="61"/>
      <c r="F902" s="61"/>
      <c r="G902" s="61"/>
      <c r="I902" s="62"/>
    </row>
    <row r="903" spans="2:9" ht="14.4">
      <c r="B903" s="60"/>
      <c r="C903" s="60"/>
      <c r="E903" s="61"/>
      <c r="F903" s="61"/>
      <c r="G903" s="61"/>
      <c r="I903" s="62"/>
    </row>
    <row r="904" spans="2:9" ht="14.4">
      <c r="B904" s="60"/>
      <c r="C904" s="60"/>
      <c r="E904" s="61"/>
      <c r="F904" s="61"/>
      <c r="G904" s="61"/>
      <c r="I904" s="62"/>
    </row>
    <row r="905" spans="2:9" ht="14.4">
      <c r="B905" s="60"/>
      <c r="C905" s="60"/>
      <c r="E905" s="61"/>
      <c r="F905" s="61"/>
      <c r="G905" s="61"/>
      <c r="I905" s="62"/>
    </row>
    <row r="906" spans="2:9" ht="14.4">
      <c r="B906" s="60"/>
      <c r="C906" s="60"/>
      <c r="E906" s="61"/>
      <c r="F906" s="61"/>
      <c r="G906" s="61"/>
      <c r="I906" s="62"/>
    </row>
    <row r="907" spans="2:9" ht="14.4">
      <c r="B907" s="60"/>
      <c r="C907" s="60"/>
      <c r="E907" s="61"/>
      <c r="F907" s="61"/>
      <c r="G907" s="61"/>
      <c r="I907" s="62"/>
    </row>
    <row r="908" spans="2:9" ht="14.4">
      <c r="B908" s="60"/>
      <c r="C908" s="60"/>
      <c r="E908" s="61"/>
      <c r="F908" s="61"/>
      <c r="G908" s="61"/>
      <c r="I908" s="62"/>
    </row>
    <row r="909" spans="2:9" ht="14.4">
      <c r="B909" s="60"/>
      <c r="C909" s="60"/>
      <c r="E909" s="61"/>
      <c r="F909" s="61"/>
      <c r="G909" s="61"/>
      <c r="I909" s="62"/>
    </row>
    <row r="910" spans="2:9" ht="14.4">
      <c r="B910" s="60"/>
      <c r="C910" s="60"/>
      <c r="E910" s="61"/>
      <c r="F910" s="61"/>
      <c r="G910" s="61"/>
      <c r="I910" s="62"/>
    </row>
    <row r="911" spans="2:9" ht="14.4">
      <c r="B911" s="60"/>
      <c r="C911" s="60"/>
      <c r="E911" s="61"/>
      <c r="F911" s="61"/>
      <c r="G911" s="61"/>
      <c r="I911" s="62"/>
    </row>
    <row r="912" spans="2:9" ht="14.4">
      <c r="B912" s="60"/>
      <c r="C912" s="60"/>
      <c r="E912" s="61"/>
      <c r="F912" s="61"/>
      <c r="G912" s="61"/>
      <c r="I912" s="62"/>
    </row>
    <row r="913" spans="2:9" ht="14.4">
      <c r="B913" s="60"/>
      <c r="C913" s="60"/>
      <c r="E913" s="61"/>
      <c r="F913" s="61"/>
      <c r="G913" s="61"/>
      <c r="I913" s="62"/>
    </row>
    <row r="914" spans="2:9" ht="14.4">
      <c r="B914" s="60"/>
      <c r="C914" s="60"/>
      <c r="E914" s="61"/>
      <c r="F914" s="61"/>
      <c r="G914" s="61"/>
      <c r="I914" s="62"/>
    </row>
    <row r="915" spans="2:9" ht="14.4">
      <c r="B915" s="60"/>
      <c r="C915" s="60"/>
      <c r="E915" s="61"/>
      <c r="F915" s="61"/>
      <c r="G915" s="61"/>
      <c r="I915" s="62"/>
    </row>
    <row r="916" spans="2:9" ht="14.4">
      <c r="B916" s="60"/>
      <c r="C916" s="60"/>
      <c r="E916" s="61"/>
      <c r="F916" s="61"/>
      <c r="G916" s="61"/>
      <c r="I916" s="62"/>
    </row>
    <row r="917" spans="2:9" ht="14.4">
      <c r="B917" s="60"/>
      <c r="C917" s="60"/>
      <c r="E917" s="61"/>
      <c r="F917" s="61"/>
      <c r="G917" s="61"/>
      <c r="I917" s="62"/>
    </row>
    <row r="918" spans="2:9" ht="14.4">
      <c r="B918" s="60"/>
      <c r="C918" s="60"/>
      <c r="E918" s="61"/>
      <c r="F918" s="61"/>
      <c r="G918" s="61"/>
      <c r="I918" s="62"/>
    </row>
    <row r="919" spans="2:9" ht="14.4">
      <c r="B919" s="60"/>
      <c r="C919" s="60"/>
      <c r="E919" s="61"/>
      <c r="F919" s="61"/>
      <c r="G919" s="61"/>
      <c r="I919" s="62"/>
    </row>
    <row r="920" spans="2:9" ht="14.4">
      <c r="B920" s="60"/>
      <c r="C920" s="60"/>
      <c r="E920" s="61"/>
      <c r="F920" s="61"/>
      <c r="G920" s="61"/>
      <c r="I920" s="62"/>
    </row>
    <row r="921" spans="2:9" ht="14.4">
      <c r="B921" s="60"/>
      <c r="C921" s="60"/>
      <c r="E921" s="61"/>
      <c r="F921" s="61"/>
      <c r="G921" s="61"/>
      <c r="I921" s="62"/>
    </row>
    <row r="922" spans="2:9" ht="14.4">
      <c r="B922" s="60"/>
      <c r="C922" s="60"/>
      <c r="E922" s="61"/>
      <c r="F922" s="61"/>
      <c r="G922" s="61"/>
      <c r="I922" s="62"/>
    </row>
    <row r="923" spans="2:9" ht="14.4">
      <c r="B923" s="60"/>
      <c r="C923" s="60"/>
      <c r="E923" s="61"/>
      <c r="F923" s="61"/>
      <c r="G923" s="61"/>
      <c r="I923" s="62"/>
    </row>
    <row r="924" spans="2:9" ht="14.4">
      <c r="B924" s="60"/>
      <c r="C924" s="60"/>
      <c r="E924" s="61"/>
      <c r="F924" s="61"/>
      <c r="G924" s="61"/>
      <c r="I924" s="62"/>
    </row>
    <row r="925" spans="2:9" ht="14.4">
      <c r="B925" s="60"/>
      <c r="C925" s="60"/>
      <c r="E925" s="61"/>
      <c r="F925" s="61"/>
      <c r="G925" s="61"/>
      <c r="I925" s="62"/>
    </row>
    <row r="926" spans="2:9" ht="14.4">
      <c r="B926" s="60"/>
      <c r="C926" s="60"/>
      <c r="E926" s="61"/>
      <c r="F926" s="61"/>
      <c r="G926" s="61"/>
      <c r="I926" s="62"/>
    </row>
    <row r="927" spans="2:9" ht="14.4">
      <c r="B927" s="60"/>
      <c r="C927" s="60"/>
      <c r="E927" s="61"/>
      <c r="F927" s="61"/>
      <c r="G927" s="61"/>
      <c r="I927" s="62"/>
    </row>
    <row r="928" spans="2:9" ht="14.4">
      <c r="B928" s="60"/>
      <c r="C928" s="60"/>
      <c r="E928" s="61"/>
      <c r="F928" s="61"/>
      <c r="G928" s="61"/>
      <c r="I928" s="62"/>
    </row>
    <row r="929" spans="2:9" ht="14.4">
      <c r="B929" s="60"/>
      <c r="C929" s="60"/>
      <c r="E929" s="61"/>
      <c r="F929" s="61"/>
      <c r="G929" s="61"/>
      <c r="I929" s="62"/>
    </row>
    <row r="930" spans="2:9" ht="14.4">
      <c r="B930" s="60"/>
      <c r="C930" s="60"/>
      <c r="E930" s="61"/>
      <c r="F930" s="61"/>
      <c r="G930" s="61"/>
      <c r="I930" s="62"/>
    </row>
    <row r="931" spans="2:9" ht="14.4">
      <c r="B931" s="60"/>
      <c r="C931" s="60"/>
      <c r="E931" s="61"/>
      <c r="F931" s="61"/>
      <c r="G931" s="61"/>
      <c r="I931" s="62"/>
    </row>
    <row r="932" spans="2:9" ht="14.4">
      <c r="B932" s="60"/>
      <c r="C932" s="60"/>
      <c r="E932" s="61"/>
      <c r="F932" s="61"/>
      <c r="G932" s="61"/>
      <c r="I932" s="62"/>
    </row>
    <row r="933" spans="2:9" ht="14.4">
      <c r="B933" s="60"/>
      <c r="C933" s="60"/>
      <c r="E933" s="61"/>
      <c r="F933" s="61"/>
      <c r="G933" s="61"/>
      <c r="I933" s="62"/>
    </row>
    <row r="934" spans="2:9" ht="14.4">
      <c r="B934" s="60"/>
      <c r="C934" s="60"/>
      <c r="E934" s="61"/>
      <c r="F934" s="61"/>
      <c r="G934" s="61"/>
      <c r="I934" s="62"/>
    </row>
    <row r="935" spans="2:9" ht="14.4">
      <c r="B935" s="60"/>
      <c r="C935" s="60"/>
      <c r="E935" s="61"/>
      <c r="F935" s="61"/>
      <c r="G935" s="61"/>
      <c r="I935" s="62"/>
    </row>
    <row r="936" spans="2:9" ht="14.4">
      <c r="B936" s="60"/>
      <c r="C936" s="60"/>
      <c r="E936" s="61"/>
      <c r="F936" s="61"/>
      <c r="G936" s="61"/>
      <c r="I936" s="62"/>
    </row>
    <row r="937" spans="2:9" ht="14.4">
      <c r="B937" s="60"/>
      <c r="C937" s="60"/>
      <c r="E937" s="61"/>
      <c r="F937" s="61"/>
      <c r="G937" s="61"/>
      <c r="I937" s="62"/>
    </row>
    <row r="938" spans="2:9" ht="14.4">
      <c r="B938" s="60"/>
      <c r="C938" s="60"/>
      <c r="E938" s="61"/>
      <c r="F938" s="61"/>
      <c r="G938" s="61"/>
      <c r="I938" s="62"/>
    </row>
    <row r="939" spans="2:9" ht="14.4">
      <c r="B939" s="60"/>
      <c r="C939" s="60"/>
      <c r="E939" s="61"/>
      <c r="F939" s="61"/>
      <c r="G939" s="61"/>
      <c r="I939" s="62"/>
    </row>
    <row r="940" spans="2:9" ht="14.4">
      <c r="B940" s="60"/>
      <c r="C940" s="60"/>
      <c r="E940" s="61"/>
      <c r="F940" s="61"/>
      <c r="G940" s="61"/>
      <c r="I940" s="62"/>
    </row>
    <row r="941" spans="2:9" ht="14.4">
      <c r="B941" s="60"/>
      <c r="C941" s="60"/>
      <c r="E941" s="61"/>
      <c r="F941" s="61"/>
      <c r="G941" s="61"/>
      <c r="I941" s="62"/>
    </row>
    <row r="942" spans="2:9" ht="14.4">
      <c r="B942" s="60"/>
      <c r="C942" s="60"/>
      <c r="E942" s="61"/>
      <c r="F942" s="61"/>
      <c r="G942" s="61"/>
      <c r="I942" s="62"/>
    </row>
    <row r="943" spans="2:9" ht="14.4">
      <c r="B943" s="60"/>
      <c r="C943" s="60"/>
      <c r="E943" s="61"/>
      <c r="F943" s="61"/>
      <c r="G943" s="61"/>
      <c r="I943" s="62"/>
    </row>
    <row r="944" spans="2:9" ht="14.4">
      <c r="B944" s="60"/>
      <c r="C944" s="60"/>
      <c r="E944" s="61"/>
      <c r="F944" s="61"/>
      <c r="G944" s="61"/>
      <c r="I944" s="62"/>
    </row>
    <row r="945" spans="2:9" ht="14.4">
      <c r="B945" s="60"/>
      <c r="C945" s="60"/>
      <c r="E945" s="61"/>
      <c r="F945" s="61"/>
      <c r="G945" s="61"/>
      <c r="I945" s="62"/>
    </row>
    <row r="946" spans="2:9" ht="14.4">
      <c r="B946" s="60"/>
      <c r="C946" s="60"/>
      <c r="E946" s="61"/>
      <c r="F946" s="61"/>
      <c r="G946" s="61"/>
      <c r="I946" s="62"/>
    </row>
    <row r="947" spans="2:9" ht="14.4">
      <c r="B947" s="60"/>
      <c r="C947" s="60"/>
      <c r="E947" s="61"/>
      <c r="F947" s="61"/>
      <c r="G947" s="61"/>
      <c r="I947" s="62"/>
    </row>
    <row r="948" spans="2:9" ht="14.4">
      <c r="B948" s="60"/>
      <c r="C948" s="60"/>
      <c r="E948" s="61"/>
      <c r="F948" s="61"/>
      <c r="G948" s="61"/>
      <c r="I948" s="62"/>
    </row>
    <row r="949" spans="2:9" ht="14.4">
      <c r="B949" s="60"/>
      <c r="C949" s="60"/>
      <c r="E949" s="61"/>
      <c r="F949" s="61"/>
      <c r="G949" s="61"/>
      <c r="I949" s="62"/>
    </row>
    <row r="950" spans="2:9" ht="14.4">
      <c r="B950" s="60"/>
      <c r="C950" s="60"/>
      <c r="E950" s="61"/>
      <c r="F950" s="61"/>
      <c r="G950" s="61"/>
      <c r="I950" s="62"/>
    </row>
    <row r="951" spans="2:9" ht="14.4">
      <c r="B951" s="60"/>
      <c r="C951" s="60"/>
      <c r="E951" s="61"/>
      <c r="F951" s="61"/>
      <c r="G951" s="61"/>
      <c r="I951" s="62"/>
    </row>
    <row r="952" spans="2:9" ht="14.4">
      <c r="B952" s="60"/>
      <c r="C952" s="60"/>
      <c r="E952" s="61"/>
      <c r="F952" s="61"/>
      <c r="G952" s="61"/>
      <c r="I952" s="62"/>
    </row>
    <row r="953" spans="2:9" ht="14.4">
      <c r="B953" s="60"/>
      <c r="C953" s="60"/>
      <c r="E953" s="61"/>
      <c r="F953" s="61"/>
      <c r="G953" s="61"/>
      <c r="I953" s="62"/>
    </row>
    <row r="954" spans="2:9" ht="14.4">
      <c r="B954" s="60"/>
      <c r="C954" s="60"/>
      <c r="E954" s="61"/>
      <c r="F954" s="61"/>
      <c r="G954" s="61"/>
      <c r="I954" s="62"/>
    </row>
    <row r="955" spans="2:9" ht="14.4">
      <c r="B955" s="60"/>
      <c r="C955" s="60"/>
      <c r="E955" s="61"/>
      <c r="F955" s="61"/>
      <c r="G955" s="61"/>
      <c r="I955" s="62"/>
    </row>
    <row r="956" spans="2:9" ht="14.4">
      <c r="B956" s="60"/>
      <c r="C956" s="60"/>
      <c r="E956" s="61"/>
      <c r="F956" s="61"/>
      <c r="G956" s="61"/>
      <c r="I956" s="62"/>
    </row>
    <row r="957" spans="2:9" ht="14.4">
      <c r="B957" s="60"/>
      <c r="C957" s="60"/>
      <c r="E957" s="61"/>
      <c r="F957" s="61"/>
      <c r="G957" s="61"/>
      <c r="I957" s="62"/>
    </row>
    <row r="958" spans="2:9" ht="14.4">
      <c r="B958" s="60"/>
      <c r="C958" s="60"/>
      <c r="E958" s="61"/>
      <c r="F958" s="61"/>
      <c r="G958" s="61"/>
      <c r="I958" s="62"/>
    </row>
    <row r="959" spans="2:9" ht="14.4">
      <c r="B959" s="60"/>
      <c r="C959" s="60"/>
      <c r="E959" s="61"/>
      <c r="F959" s="61"/>
      <c r="G959" s="61"/>
      <c r="I959" s="62"/>
    </row>
    <row r="960" spans="2:9" ht="14.4">
      <c r="B960" s="60"/>
      <c r="C960" s="60"/>
      <c r="E960" s="61"/>
      <c r="F960" s="61"/>
      <c r="G960" s="61"/>
      <c r="I960" s="62"/>
    </row>
    <row r="961" spans="2:9" ht="14.4">
      <c r="B961" s="60"/>
      <c r="C961" s="60"/>
      <c r="E961" s="61"/>
      <c r="F961" s="61"/>
      <c r="G961" s="61"/>
      <c r="I961" s="62"/>
    </row>
    <row r="962" spans="2:9" ht="14.4">
      <c r="B962" s="60"/>
      <c r="C962" s="60"/>
      <c r="E962" s="61"/>
      <c r="F962" s="61"/>
      <c r="G962" s="61"/>
      <c r="I962" s="62"/>
    </row>
    <row r="963" spans="2:9" ht="14.4">
      <c r="B963" s="60"/>
      <c r="C963" s="60"/>
      <c r="E963" s="61"/>
      <c r="F963" s="61"/>
      <c r="G963" s="61"/>
      <c r="I963" s="62"/>
    </row>
    <row r="964" spans="2:9" ht="14.4">
      <c r="B964" s="60"/>
      <c r="C964" s="60"/>
      <c r="E964" s="61"/>
      <c r="F964" s="61"/>
      <c r="G964" s="61"/>
      <c r="I964" s="62"/>
    </row>
    <row r="965" spans="2:9" ht="14.4">
      <c r="B965" s="60"/>
      <c r="C965" s="60"/>
      <c r="E965" s="61"/>
      <c r="F965" s="61"/>
      <c r="G965" s="61"/>
      <c r="I965" s="62"/>
    </row>
    <row r="966" spans="2:9" ht="14.4">
      <c r="B966" s="60"/>
      <c r="C966" s="60"/>
      <c r="E966" s="61"/>
      <c r="F966" s="61"/>
      <c r="G966" s="61"/>
      <c r="I966" s="62"/>
    </row>
    <row r="967" spans="2:9" ht="14.4">
      <c r="B967" s="60"/>
      <c r="C967" s="60"/>
      <c r="E967" s="61"/>
      <c r="F967" s="61"/>
      <c r="G967" s="61"/>
      <c r="I967" s="62"/>
    </row>
    <row r="968" spans="2:9" ht="14.4">
      <c r="B968" s="60"/>
      <c r="C968" s="60"/>
      <c r="E968" s="61"/>
      <c r="F968" s="61"/>
      <c r="G968" s="61"/>
      <c r="I968" s="62"/>
    </row>
    <row r="969" spans="2:9" ht="14.4">
      <c r="B969" s="60"/>
      <c r="C969" s="60"/>
      <c r="E969" s="61"/>
      <c r="F969" s="61"/>
      <c r="G969" s="61"/>
      <c r="I969" s="62"/>
    </row>
    <row r="970" spans="2:9" ht="14.4">
      <c r="B970" s="60"/>
      <c r="C970" s="60"/>
      <c r="E970" s="61"/>
      <c r="F970" s="61"/>
      <c r="G970" s="61"/>
      <c r="I970" s="62"/>
    </row>
    <row r="971" spans="2:9" ht="14.4">
      <c r="B971" s="60"/>
      <c r="C971" s="60"/>
      <c r="E971" s="61"/>
      <c r="F971" s="61"/>
      <c r="G971" s="61"/>
      <c r="I971" s="62"/>
    </row>
    <row r="972" spans="2:9" ht="14.4">
      <c r="B972" s="60"/>
      <c r="C972" s="60"/>
      <c r="E972" s="61"/>
      <c r="F972" s="61"/>
      <c r="G972" s="61"/>
      <c r="I972" s="62"/>
    </row>
    <row r="973" spans="2:9" ht="14.4">
      <c r="B973" s="60"/>
      <c r="C973" s="60"/>
      <c r="E973" s="61"/>
      <c r="F973" s="61"/>
      <c r="G973" s="61"/>
      <c r="I973" s="62"/>
    </row>
    <row r="974" spans="2:9" ht="14.4">
      <c r="B974" s="60"/>
      <c r="C974" s="60"/>
      <c r="E974" s="61"/>
      <c r="F974" s="61"/>
      <c r="G974" s="61"/>
      <c r="I974" s="62"/>
    </row>
    <row r="975" spans="2:9" ht="14.4">
      <c r="B975" s="60"/>
      <c r="C975" s="60"/>
      <c r="E975" s="61"/>
      <c r="F975" s="61"/>
      <c r="G975" s="61"/>
      <c r="I975" s="62"/>
    </row>
    <row r="976" spans="2:9" ht="14.4">
      <c r="B976" s="60"/>
      <c r="C976" s="60"/>
      <c r="E976" s="61"/>
      <c r="F976" s="61"/>
      <c r="G976" s="61"/>
      <c r="I976" s="62"/>
    </row>
    <row r="977" spans="2:9" ht="14.4">
      <c r="B977" s="60"/>
      <c r="C977" s="60"/>
      <c r="E977" s="61"/>
      <c r="F977" s="61"/>
      <c r="G977" s="61"/>
      <c r="I977" s="62"/>
    </row>
    <row r="978" spans="2:9" ht="14.4">
      <c r="B978" s="60"/>
      <c r="C978" s="60"/>
      <c r="E978" s="61"/>
      <c r="F978" s="61"/>
      <c r="G978" s="61"/>
      <c r="I978" s="62"/>
    </row>
    <row r="979" spans="2:9" ht="14.4">
      <c r="B979" s="60"/>
      <c r="C979" s="60"/>
      <c r="E979" s="61"/>
      <c r="F979" s="61"/>
      <c r="G979" s="61"/>
      <c r="I979" s="62"/>
    </row>
    <row r="980" spans="2:9" ht="14.4">
      <c r="B980" s="60"/>
      <c r="C980" s="60"/>
      <c r="E980" s="61"/>
      <c r="F980" s="61"/>
      <c r="G980" s="61"/>
      <c r="I980" s="62"/>
    </row>
    <row r="981" spans="2:9" ht="14.4">
      <c r="B981" s="60"/>
      <c r="C981" s="60"/>
      <c r="E981" s="61"/>
      <c r="F981" s="61"/>
      <c r="G981" s="61"/>
      <c r="I981" s="62"/>
    </row>
    <row r="982" spans="2:9" ht="14.4">
      <c r="B982" s="60"/>
      <c r="C982" s="60"/>
      <c r="E982" s="61"/>
      <c r="F982" s="61"/>
      <c r="G982" s="61"/>
      <c r="I982" s="62"/>
    </row>
    <row r="983" spans="2:9" ht="14.4">
      <c r="B983" s="60"/>
      <c r="C983" s="60"/>
      <c r="E983" s="61"/>
      <c r="F983" s="61"/>
      <c r="G983" s="61"/>
      <c r="I983" s="62"/>
    </row>
    <row r="984" spans="2:9" ht="14.4">
      <c r="B984" s="60"/>
      <c r="C984" s="60"/>
      <c r="E984" s="61"/>
      <c r="F984" s="61"/>
      <c r="G984" s="61"/>
      <c r="I984" s="62"/>
    </row>
    <row r="985" spans="2:9" ht="14.4">
      <c r="B985" s="60"/>
      <c r="C985" s="60"/>
      <c r="E985" s="61"/>
      <c r="F985" s="61"/>
      <c r="G985" s="61"/>
      <c r="I985" s="62"/>
    </row>
    <row r="986" spans="2:9" ht="14.4">
      <c r="B986" s="60"/>
      <c r="C986" s="60"/>
      <c r="E986" s="61"/>
      <c r="F986" s="61"/>
      <c r="G986" s="61"/>
      <c r="I986" s="62"/>
    </row>
    <row r="987" spans="2:9" ht="14.4">
      <c r="B987" s="60"/>
      <c r="C987" s="60"/>
      <c r="E987" s="61"/>
      <c r="F987" s="61"/>
      <c r="G987" s="61"/>
      <c r="I987" s="62"/>
    </row>
    <row r="988" spans="2:9" ht="14.4">
      <c r="B988" s="60"/>
      <c r="C988" s="60"/>
      <c r="E988" s="61"/>
      <c r="F988" s="61"/>
      <c r="G988" s="61"/>
      <c r="I988" s="62"/>
    </row>
    <row r="989" spans="2:9" ht="14.4">
      <c r="B989" s="60"/>
      <c r="C989" s="60"/>
      <c r="E989" s="61"/>
      <c r="F989" s="61"/>
      <c r="G989" s="61"/>
      <c r="I989" s="62"/>
    </row>
    <row r="990" spans="2:9" ht="14.4">
      <c r="B990" s="60"/>
      <c r="C990" s="60"/>
      <c r="E990" s="61"/>
      <c r="F990" s="61"/>
      <c r="G990" s="61"/>
      <c r="I990" s="62"/>
    </row>
    <row r="991" spans="2:9" ht="14.4">
      <c r="B991" s="60"/>
      <c r="C991" s="60"/>
      <c r="E991" s="61"/>
      <c r="F991" s="61"/>
      <c r="G991" s="61"/>
      <c r="I991" s="62"/>
    </row>
    <row r="992" spans="2:9" ht="14.4">
      <c r="B992" s="60"/>
      <c r="C992" s="60"/>
      <c r="E992" s="61"/>
      <c r="F992" s="61"/>
      <c r="G992" s="61"/>
      <c r="I992" s="62"/>
    </row>
    <row r="993" spans="2:9" ht="14.4">
      <c r="B993" s="60"/>
      <c r="C993" s="60"/>
      <c r="E993" s="61"/>
      <c r="F993" s="61"/>
      <c r="G993" s="61"/>
      <c r="I993" s="62"/>
    </row>
    <row r="994" spans="2:9" ht="14.4">
      <c r="B994" s="60"/>
      <c r="C994" s="60"/>
      <c r="E994" s="61"/>
      <c r="F994" s="61"/>
      <c r="G994" s="61"/>
      <c r="I994" s="62"/>
    </row>
    <row r="995" spans="2:9" ht="14.4">
      <c r="B995" s="60"/>
      <c r="C995" s="60"/>
      <c r="E995" s="61"/>
      <c r="F995" s="61"/>
      <c r="G995" s="61"/>
      <c r="I995" s="62"/>
    </row>
    <row r="996" spans="2:9" ht="14.4">
      <c r="B996" s="60"/>
      <c r="C996" s="60"/>
      <c r="E996" s="61"/>
      <c r="F996" s="61"/>
      <c r="G996" s="61"/>
      <c r="I996" s="62"/>
    </row>
    <row r="997" spans="2:9" ht="14.4">
      <c r="B997" s="60"/>
      <c r="C997" s="60"/>
      <c r="E997" s="61"/>
      <c r="F997" s="61"/>
      <c r="G997" s="61"/>
      <c r="I997" s="62"/>
    </row>
    <row r="998" spans="2:9" ht="14.4">
      <c r="B998" s="60"/>
      <c r="C998" s="60"/>
      <c r="E998" s="61"/>
      <c r="F998" s="61"/>
      <c r="G998" s="61"/>
      <c r="I998" s="62"/>
    </row>
    <row r="999" spans="2:9" ht="14.4">
      <c r="B999" s="60"/>
      <c r="C999" s="60"/>
      <c r="E999" s="61"/>
      <c r="F999" s="61"/>
      <c r="G999" s="61"/>
      <c r="I999" s="62"/>
    </row>
    <row r="1000" spans="2:9" ht="14.4">
      <c r="B1000" s="60"/>
      <c r="C1000" s="60"/>
      <c r="E1000" s="61"/>
      <c r="F1000" s="61"/>
      <c r="G1000" s="61"/>
      <c r="I1000" s="62"/>
    </row>
    <row r="1001" spans="2:9" ht="14.4">
      <c r="B1001" s="60"/>
      <c r="C1001" s="60"/>
      <c r="E1001" s="61"/>
      <c r="F1001" s="61"/>
      <c r="G1001" s="61"/>
      <c r="I1001" s="62"/>
    </row>
    <row r="1002" spans="2:9" ht="14.4">
      <c r="B1002" s="60"/>
      <c r="C1002" s="60"/>
      <c r="E1002" s="61"/>
      <c r="F1002" s="61"/>
      <c r="G1002" s="61"/>
      <c r="I1002" s="62"/>
    </row>
    <row r="1003" spans="2:9" ht="14.4">
      <c r="B1003" s="60"/>
      <c r="C1003" s="60"/>
      <c r="E1003" s="61"/>
      <c r="F1003" s="61"/>
      <c r="G1003" s="61"/>
      <c r="I1003" s="62"/>
    </row>
    <row r="1004" spans="2:9" ht="14.4">
      <c r="B1004" s="60"/>
      <c r="C1004" s="60"/>
      <c r="E1004" s="61"/>
      <c r="F1004" s="61"/>
      <c r="G1004" s="61"/>
      <c r="I1004" s="62"/>
    </row>
    <row r="1005" spans="2:9" ht="14.4">
      <c r="B1005" s="60"/>
      <c r="C1005" s="60"/>
      <c r="E1005" s="61"/>
      <c r="F1005" s="61"/>
      <c r="G1005" s="61"/>
      <c r="I1005" s="6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000"/>
  <sheetViews>
    <sheetView workbookViewId="0">
      <pane ySplit="1" topLeftCell="A2" activePane="bottomLeft" state="frozen"/>
      <selection pane="bottomLeft" sqref="A1:XFD1"/>
    </sheetView>
  </sheetViews>
  <sheetFormatPr defaultColWidth="12.5546875" defaultRowHeight="15.75" customHeight="1"/>
  <cols>
    <col min="1" max="1" width="13.5546875" customWidth="1"/>
    <col min="2" max="2" width="11.44140625" customWidth="1"/>
    <col min="3" max="3" width="15" customWidth="1"/>
    <col min="4" max="4" width="27.6640625" customWidth="1"/>
    <col min="5" max="7" width="13.6640625" customWidth="1"/>
    <col min="8" max="8" width="50.88671875" customWidth="1"/>
    <col min="9" max="9" width="10.109375" customWidth="1"/>
    <col min="10" max="10" width="56.44140625" customWidth="1"/>
  </cols>
  <sheetData>
    <row r="1" spans="1:27" s="756" customFormat="1" ht="29.4" thickBot="1">
      <c r="A1" s="757" t="s">
        <v>10</v>
      </c>
      <c r="B1" s="767" t="s">
        <v>11</v>
      </c>
      <c r="C1" s="763" t="s">
        <v>12</v>
      </c>
      <c r="D1" s="764" t="s">
        <v>13</v>
      </c>
      <c r="E1" s="764" t="s">
        <v>14</v>
      </c>
      <c r="F1" s="765" t="s">
        <v>15</v>
      </c>
      <c r="G1" s="766" t="s">
        <v>16</v>
      </c>
      <c r="H1" s="764" t="s">
        <v>532</v>
      </c>
      <c r="I1" s="762" t="s">
        <v>17</v>
      </c>
      <c r="J1" s="755"/>
      <c r="K1" s="755"/>
      <c r="L1" s="755"/>
      <c r="M1" s="755"/>
      <c r="N1" s="755"/>
      <c r="O1" s="755"/>
      <c r="P1" s="755"/>
      <c r="Q1" s="755"/>
      <c r="R1" s="755"/>
      <c r="S1" s="755"/>
      <c r="T1" s="755"/>
      <c r="U1" s="755"/>
      <c r="V1" s="755"/>
      <c r="W1" s="755"/>
      <c r="X1" s="755"/>
      <c r="Y1" s="755"/>
      <c r="Z1" s="755"/>
      <c r="AA1" s="755"/>
    </row>
    <row r="2" spans="1:27" ht="15.75" customHeight="1">
      <c r="A2" s="15"/>
      <c r="B2" s="15"/>
      <c r="C2" s="15"/>
      <c r="D2" s="16"/>
      <c r="E2" s="17"/>
      <c r="F2" s="18"/>
      <c r="G2" s="18"/>
      <c r="H2" s="16"/>
      <c r="I2" s="15"/>
      <c r="J2" s="16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</row>
    <row r="3" spans="1:27" ht="15.75" customHeight="1">
      <c r="A3" s="24"/>
      <c r="B3" s="24"/>
      <c r="C3" s="24"/>
      <c r="D3" s="25"/>
      <c r="E3" s="19"/>
      <c r="F3" s="19"/>
      <c r="G3" s="19"/>
      <c r="H3" s="25"/>
      <c r="I3" s="24"/>
      <c r="J3" s="2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</row>
    <row r="4" spans="1:27" ht="15.75" customHeight="1">
      <c r="A4" s="15"/>
      <c r="B4" s="15"/>
      <c r="C4" s="15"/>
      <c r="D4" s="16"/>
      <c r="E4" s="17"/>
      <c r="F4" s="18"/>
      <c r="G4" s="18"/>
      <c r="H4" s="16"/>
      <c r="I4" s="15"/>
      <c r="J4" s="16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</row>
    <row r="5" spans="1:27" ht="15.75" customHeight="1">
      <c r="A5" s="15"/>
      <c r="B5" s="15"/>
      <c r="C5" s="15"/>
      <c r="D5" s="16"/>
      <c r="E5" s="17"/>
      <c r="F5" s="18"/>
      <c r="G5" s="18"/>
      <c r="H5" s="16"/>
      <c r="I5" s="15"/>
      <c r="J5" s="16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</row>
    <row r="6" spans="1:27" ht="15.75" customHeight="1">
      <c r="A6" s="15"/>
      <c r="B6" s="15"/>
      <c r="C6" s="15"/>
      <c r="D6" s="16"/>
      <c r="E6" s="17"/>
      <c r="F6" s="18"/>
      <c r="G6" s="18"/>
      <c r="H6" s="16"/>
      <c r="I6" s="15"/>
      <c r="J6" s="16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</row>
    <row r="7" spans="1:27" ht="15.75" customHeight="1">
      <c r="A7" s="20"/>
      <c r="B7" s="20"/>
      <c r="C7" s="20"/>
      <c r="D7" s="21"/>
      <c r="E7" s="22"/>
      <c r="F7" s="22"/>
      <c r="G7" s="52"/>
      <c r="H7" s="21"/>
      <c r="I7" s="20"/>
      <c r="J7" s="21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</row>
    <row r="8" spans="1:27" ht="15.75" customHeight="1">
      <c r="A8" s="20"/>
      <c r="B8" s="20"/>
      <c r="C8" s="20"/>
      <c r="D8" s="21"/>
      <c r="E8" s="22"/>
      <c r="F8" s="22"/>
      <c r="G8" s="52"/>
      <c r="H8" s="21"/>
      <c r="I8" s="20"/>
      <c r="J8" s="21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</row>
    <row r="9" spans="1:27" ht="15.75" customHeight="1">
      <c r="A9" s="24"/>
      <c r="B9" s="24"/>
      <c r="C9" s="24"/>
      <c r="D9" s="25"/>
      <c r="E9" s="19"/>
      <c r="F9" s="19"/>
      <c r="G9" s="19"/>
      <c r="H9" s="25"/>
      <c r="I9" s="24"/>
      <c r="J9" s="2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</row>
    <row r="10" spans="1:27" ht="15.75" customHeight="1">
      <c r="A10" s="20"/>
      <c r="B10" s="20"/>
      <c r="C10" s="20"/>
      <c r="D10" s="21"/>
      <c r="E10" s="22"/>
      <c r="F10" s="22"/>
      <c r="G10" s="50"/>
      <c r="H10" s="21"/>
      <c r="I10" s="20"/>
      <c r="J10" s="21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</row>
    <row r="11" spans="1:27" ht="15.75" customHeight="1">
      <c r="A11" s="20"/>
      <c r="B11" s="20"/>
      <c r="C11" s="20"/>
      <c r="D11" s="21"/>
      <c r="E11" s="22"/>
      <c r="F11" s="22"/>
      <c r="G11" s="52"/>
      <c r="H11" s="21"/>
      <c r="I11" s="20"/>
      <c r="J11" s="21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</row>
    <row r="12" spans="1:27" ht="15.75" customHeight="1">
      <c r="A12" s="24"/>
      <c r="B12" s="24"/>
      <c r="C12" s="24"/>
      <c r="D12" s="25"/>
      <c r="E12" s="19"/>
      <c r="F12" s="18"/>
      <c r="G12" s="19"/>
      <c r="H12" s="25"/>
      <c r="I12" s="24"/>
      <c r="J12" s="2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</row>
    <row r="13" spans="1:27" ht="15.75" customHeight="1">
      <c r="A13" s="20"/>
      <c r="B13" s="20"/>
      <c r="C13" s="20"/>
      <c r="D13" s="21"/>
      <c r="E13" s="22"/>
      <c r="F13" s="22"/>
      <c r="G13" s="52"/>
      <c r="H13" s="21"/>
      <c r="I13" s="20"/>
      <c r="J13" s="21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 spans="1:27" ht="15.75" customHeight="1">
      <c r="A14" s="15"/>
      <c r="B14" s="15"/>
      <c r="C14" s="15"/>
      <c r="D14" s="16"/>
      <c r="E14" s="17"/>
      <c r="F14" s="18"/>
      <c r="G14" s="18"/>
      <c r="H14" s="16"/>
      <c r="I14" s="15"/>
      <c r="J14" s="16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</row>
    <row r="15" spans="1:27" ht="15.75" customHeight="1">
      <c r="A15" s="15"/>
      <c r="B15" s="15"/>
      <c r="C15" s="15"/>
      <c r="D15" s="16"/>
      <c r="E15" s="17"/>
      <c r="F15" s="18"/>
      <c r="G15" s="18"/>
      <c r="H15" s="16"/>
      <c r="I15" s="15"/>
      <c r="J15" s="16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</row>
    <row r="16" spans="1:27" ht="15.75" customHeight="1">
      <c r="A16" s="15"/>
      <c r="B16" s="15"/>
      <c r="C16" s="15"/>
      <c r="D16" s="16"/>
      <c r="E16" s="17"/>
      <c r="F16" s="18"/>
      <c r="G16" s="18"/>
      <c r="H16" s="16"/>
      <c r="I16" s="15"/>
      <c r="J16" s="16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</row>
    <row r="17" spans="1:27" ht="15.75" customHeight="1">
      <c r="A17" s="20"/>
      <c r="B17" s="20"/>
      <c r="C17" s="20"/>
      <c r="D17" s="21"/>
      <c r="E17" s="22"/>
      <c r="F17" s="22"/>
      <c r="G17" s="52"/>
      <c r="H17" s="21"/>
      <c r="I17" s="20"/>
      <c r="J17" s="21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</row>
    <row r="18" spans="1:27" ht="15.75" customHeight="1">
      <c r="A18" s="20"/>
      <c r="B18" s="20"/>
      <c r="C18" s="20"/>
      <c r="D18" s="21"/>
      <c r="E18" s="22"/>
      <c r="F18" s="22"/>
      <c r="G18" s="52"/>
      <c r="H18" s="21"/>
      <c r="I18" s="20"/>
      <c r="J18" s="21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</row>
    <row r="19" spans="1:27" ht="15.75" customHeight="1">
      <c r="A19" s="15"/>
      <c r="B19" s="15"/>
      <c r="C19" s="15"/>
      <c r="D19" s="16"/>
      <c r="E19" s="17"/>
      <c r="F19" s="18"/>
      <c r="G19" s="18"/>
      <c r="H19" s="16"/>
      <c r="I19" s="15"/>
      <c r="J19" s="16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</row>
    <row r="20" spans="1:27" ht="15.75" customHeight="1">
      <c r="A20" s="15"/>
      <c r="B20" s="15"/>
      <c r="C20" s="15"/>
      <c r="D20" s="16"/>
      <c r="E20" s="28"/>
      <c r="F20" s="18"/>
      <c r="G20" s="18"/>
      <c r="H20" s="66"/>
      <c r="I20" s="15"/>
      <c r="J20" s="16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</row>
    <row r="21" spans="1:27" ht="15.75" customHeight="1">
      <c r="A21" s="15"/>
      <c r="B21" s="15"/>
      <c r="C21" s="15"/>
      <c r="D21" s="16"/>
      <c r="E21" s="17"/>
      <c r="F21" s="18"/>
      <c r="G21" s="18"/>
      <c r="H21" s="16"/>
      <c r="I21" s="15"/>
      <c r="J21" s="16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</row>
    <row r="22" spans="1:27" ht="15.75" customHeight="1">
      <c r="A22" s="15"/>
      <c r="B22" s="15"/>
      <c r="C22" s="15"/>
      <c r="D22" s="16"/>
      <c r="E22" s="17"/>
      <c r="F22" s="18"/>
      <c r="G22" s="18"/>
      <c r="H22" s="16"/>
      <c r="I22" s="15"/>
      <c r="J22" s="16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</row>
    <row r="23" spans="1:27" ht="15.75" customHeight="1">
      <c r="A23" s="20"/>
      <c r="B23" s="20"/>
      <c r="C23" s="20"/>
      <c r="D23" s="21"/>
      <c r="E23" s="22"/>
      <c r="F23" s="22"/>
      <c r="G23" s="52"/>
      <c r="H23" s="21"/>
      <c r="I23" s="20"/>
      <c r="J23" s="21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</row>
    <row r="24" spans="1:27" ht="15.75" customHeight="1">
      <c r="A24" s="15"/>
      <c r="B24" s="15"/>
      <c r="C24" s="15"/>
      <c r="D24" s="16"/>
      <c r="E24" s="17"/>
      <c r="F24" s="18"/>
      <c r="G24" s="18"/>
      <c r="H24" s="16"/>
      <c r="I24" s="15"/>
      <c r="J24" s="16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 spans="1:27" ht="14.4">
      <c r="A25" s="15"/>
      <c r="B25" s="15"/>
      <c r="C25" s="15"/>
      <c r="D25" s="16"/>
      <c r="E25" s="17"/>
      <c r="F25" s="18"/>
      <c r="G25" s="18"/>
      <c r="H25" s="16"/>
      <c r="I25" s="15"/>
      <c r="J25" s="16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 spans="1:27" ht="14.4">
      <c r="A26" s="15"/>
      <c r="B26" s="15"/>
      <c r="C26" s="15"/>
      <c r="D26" s="16"/>
      <c r="E26" s="17"/>
      <c r="F26" s="18"/>
      <c r="G26" s="18"/>
      <c r="H26" s="16"/>
      <c r="I26" s="15"/>
      <c r="J26" s="16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</row>
    <row r="27" spans="1:27" ht="14.4">
      <c r="A27" s="15"/>
      <c r="B27" s="15"/>
      <c r="C27" s="15"/>
      <c r="D27" s="16"/>
      <c r="E27" s="17"/>
      <c r="F27" s="18"/>
      <c r="G27" s="18"/>
      <c r="H27" s="16"/>
      <c r="I27" s="15"/>
      <c r="J27" s="16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</row>
    <row r="28" spans="1:27" ht="14.4">
      <c r="A28" s="15"/>
      <c r="B28" s="15"/>
      <c r="C28" s="15"/>
      <c r="D28" s="16"/>
      <c r="E28" s="17"/>
      <c r="F28" s="18"/>
      <c r="G28" s="18"/>
      <c r="H28" s="16"/>
      <c r="I28" s="15"/>
      <c r="J28" s="16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</row>
    <row r="29" spans="1:27" ht="14.4">
      <c r="A29" s="15"/>
      <c r="B29" s="15"/>
      <c r="C29" s="15"/>
      <c r="D29" s="16"/>
      <c r="E29" s="28"/>
      <c r="F29" s="18"/>
      <c r="G29" s="18"/>
      <c r="H29" s="16"/>
      <c r="I29" s="15"/>
      <c r="J29" s="16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</row>
    <row r="30" spans="1:27" ht="14.4">
      <c r="A30" s="20"/>
      <c r="B30" s="20"/>
      <c r="C30" s="20"/>
      <c r="D30" s="21"/>
      <c r="E30" s="22"/>
      <c r="F30" s="22"/>
      <c r="G30" s="50"/>
      <c r="H30" s="21"/>
      <c r="I30" s="20"/>
      <c r="J30" s="21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</row>
    <row r="31" spans="1:27" ht="14.4">
      <c r="A31" s="15"/>
      <c r="B31" s="15"/>
      <c r="C31" s="15"/>
      <c r="D31" s="16"/>
      <c r="E31" s="17"/>
      <c r="F31" s="22"/>
      <c r="G31" s="18"/>
      <c r="H31" s="16"/>
      <c r="I31" s="15"/>
      <c r="J31" s="16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</row>
    <row r="32" spans="1:27" ht="14.4">
      <c r="A32" s="15"/>
      <c r="B32" s="15"/>
      <c r="C32" s="15"/>
      <c r="D32" s="16"/>
      <c r="E32" s="17"/>
      <c r="F32" s="22"/>
      <c r="G32" s="18"/>
      <c r="H32" s="16"/>
      <c r="I32" s="15"/>
      <c r="J32" s="16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</row>
    <row r="33" spans="1:27" ht="14.4">
      <c r="A33" s="24"/>
      <c r="B33" s="24"/>
      <c r="C33" s="24"/>
      <c r="D33" s="25"/>
      <c r="E33" s="19"/>
      <c r="F33" s="22"/>
      <c r="G33" s="19"/>
      <c r="H33" s="25"/>
      <c r="I33" s="24"/>
      <c r="J33" s="2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</row>
    <row r="34" spans="1:27" ht="14.4">
      <c r="A34" s="20"/>
      <c r="B34" s="20"/>
      <c r="C34" s="20"/>
      <c r="D34" s="21"/>
      <c r="E34" s="22"/>
      <c r="F34" s="22"/>
      <c r="G34" s="52"/>
      <c r="H34" s="21"/>
      <c r="I34" s="20"/>
      <c r="J34" s="21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</row>
    <row r="35" spans="1:27" ht="14.4">
      <c r="A35" s="24"/>
      <c r="B35" s="24"/>
      <c r="C35" s="24"/>
      <c r="D35" s="25"/>
      <c r="E35" s="19"/>
      <c r="F35" s="19"/>
      <c r="G35" s="19"/>
      <c r="H35" s="25"/>
      <c r="I35" s="24"/>
      <c r="J35" s="2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</row>
    <row r="36" spans="1:27" ht="14.4">
      <c r="A36" s="15"/>
      <c r="B36" s="15"/>
      <c r="C36" s="15"/>
      <c r="D36" s="16"/>
      <c r="E36" s="17"/>
      <c r="F36" s="18"/>
      <c r="G36" s="18"/>
      <c r="H36" s="16"/>
      <c r="I36" s="15"/>
      <c r="J36" s="16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</row>
    <row r="37" spans="1:27" ht="14.4">
      <c r="A37" s="15"/>
      <c r="B37" s="15"/>
      <c r="C37" s="15"/>
      <c r="D37" s="16"/>
      <c r="E37" s="17"/>
      <c r="F37" s="18"/>
      <c r="G37" s="18"/>
      <c r="H37" s="16"/>
      <c r="I37" s="15"/>
      <c r="J37" s="16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</row>
    <row r="38" spans="1:27" ht="14.4">
      <c r="A38" s="15"/>
      <c r="B38" s="15"/>
      <c r="C38" s="15"/>
      <c r="D38" s="16"/>
      <c r="E38" s="17"/>
      <c r="F38" s="18"/>
      <c r="G38" s="18"/>
      <c r="H38" s="16"/>
      <c r="I38" s="15"/>
      <c r="J38" s="16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</row>
    <row r="39" spans="1:27" ht="14.4">
      <c r="A39" s="20"/>
      <c r="B39" s="20"/>
      <c r="C39" s="20"/>
      <c r="D39" s="21"/>
      <c r="E39" s="22"/>
      <c r="F39" s="22"/>
      <c r="G39" s="52"/>
      <c r="H39" s="21"/>
      <c r="I39" s="20"/>
      <c r="J39" s="21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</row>
    <row r="40" spans="1:27" ht="14.4">
      <c r="A40" s="15"/>
      <c r="B40" s="15"/>
      <c r="C40" s="15"/>
      <c r="D40" s="16"/>
      <c r="E40" s="17"/>
      <c r="F40" s="18"/>
      <c r="G40" s="18"/>
      <c r="H40" s="16"/>
      <c r="I40" s="15"/>
      <c r="J40" s="16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</row>
    <row r="41" spans="1:27" ht="14.4">
      <c r="A41" s="20"/>
      <c r="B41" s="20"/>
      <c r="C41" s="20"/>
      <c r="D41" s="21"/>
      <c r="E41" s="22"/>
      <c r="F41" s="22"/>
      <c r="G41" s="52"/>
      <c r="H41" s="21"/>
      <c r="I41" s="20"/>
      <c r="J41" s="21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</row>
    <row r="42" spans="1:27" ht="14.4">
      <c r="A42" s="24"/>
      <c r="B42" s="24"/>
      <c r="C42" s="24"/>
      <c r="D42" s="25"/>
      <c r="E42" s="19"/>
      <c r="F42" s="19"/>
      <c r="G42" s="19"/>
      <c r="H42" s="25"/>
      <c r="I42" s="24"/>
      <c r="J42" s="2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</row>
    <row r="43" spans="1:27" ht="14.4">
      <c r="A43" s="15"/>
      <c r="B43" s="15"/>
      <c r="C43" s="15"/>
      <c r="D43" s="16"/>
      <c r="E43" s="17"/>
      <c r="F43" s="18"/>
      <c r="G43" s="18"/>
      <c r="H43" s="16"/>
      <c r="I43" s="15"/>
      <c r="J43" s="16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 spans="1:27" ht="14.4">
      <c r="A44" s="24"/>
      <c r="B44" s="24"/>
      <c r="C44" s="24"/>
      <c r="D44" s="25"/>
      <c r="E44" s="19"/>
      <c r="F44" s="18"/>
      <c r="G44" s="19"/>
      <c r="H44" s="25"/>
      <c r="I44" s="24"/>
      <c r="J44" s="2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</row>
    <row r="45" spans="1:27" ht="14.4">
      <c r="A45" s="20"/>
      <c r="B45" s="20"/>
      <c r="C45" s="20"/>
      <c r="D45" s="21"/>
      <c r="E45" s="22"/>
      <c r="F45" s="22"/>
      <c r="G45" s="52"/>
      <c r="H45" s="21"/>
      <c r="I45" s="20"/>
      <c r="J45" s="21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</row>
    <row r="46" spans="1:27" ht="14.4">
      <c r="A46" s="20"/>
      <c r="B46" s="20"/>
      <c r="C46" s="20"/>
      <c r="D46" s="21"/>
      <c r="E46" s="22"/>
      <c r="F46" s="22"/>
      <c r="G46" s="52"/>
      <c r="H46" s="21"/>
      <c r="I46" s="20"/>
      <c r="J46" s="21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</row>
    <row r="47" spans="1:27" ht="14.4">
      <c r="A47" s="24"/>
      <c r="B47" s="24"/>
      <c r="C47" s="24"/>
      <c r="D47" s="25"/>
      <c r="E47" s="19"/>
      <c r="F47" s="19"/>
      <c r="G47" s="19"/>
      <c r="H47" s="25"/>
      <c r="I47" s="24"/>
      <c r="J47" s="2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</row>
    <row r="48" spans="1:27" ht="14.4">
      <c r="A48" s="15"/>
      <c r="B48" s="15"/>
      <c r="C48" s="15"/>
      <c r="D48" s="16"/>
      <c r="E48" s="17"/>
      <c r="F48" s="18"/>
      <c r="G48" s="18"/>
      <c r="H48" s="16"/>
      <c r="I48" s="15"/>
      <c r="J48" s="16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</row>
    <row r="49" spans="1:27" ht="14.4">
      <c r="A49" s="15"/>
      <c r="B49" s="15"/>
      <c r="C49" s="15"/>
      <c r="D49" s="16"/>
      <c r="E49" s="17"/>
      <c r="F49" s="18"/>
      <c r="G49" s="18"/>
      <c r="H49" s="16"/>
      <c r="I49" s="15"/>
      <c r="J49" s="16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</row>
    <row r="50" spans="1:27" ht="14.4">
      <c r="A50" s="15"/>
      <c r="B50" s="15"/>
      <c r="C50" s="15"/>
      <c r="D50" s="16"/>
      <c r="E50" s="17"/>
      <c r="F50" s="18"/>
      <c r="G50" s="18"/>
      <c r="H50" s="16"/>
      <c r="I50" s="15"/>
      <c r="J50" s="16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</row>
    <row r="51" spans="1:27" ht="14.4">
      <c r="A51" s="24"/>
      <c r="B51" s="24"/>
      <c r="C51" s="24"/>
      <c r="D51" s="25"/>
      <c r="E51" s="19"/>
      <c r="F51" s="19"/>
      <c r="G51" s="19"/>
      <c r="H51" s="25"/>
      <c r="I51" s="24"/>
      <c r="J51" s="2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</row>
    <row r="52" spans="1:27" ht="14.4">
      <c r="A52" s="15"/>
      <c r="B52" s="15"/>
      <c r="C52" s="15"/>
      <c r="D52" s="16"/>
      <c r="E52" s="17"/>
      <c r="F52" s="18"/>
      <c r="G52" s="18"/>
      <c r="H52" s="16"/>
      <c r="I52" s="15"/>
      <c r="J52" s="16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</row>
    <row r="53" spans="1:27" ht="14.4">
      <c r="A53" s="15"/>
      <c r="B53" s="15"/>
      <c r="C53" s="15"/>
      <c r="D53" s="16"/>
      <c r="E53" s="17"/>
      <c r="F53" s="18"/>
      <c r="G53" s="18"/>
      <c r="H53" s="16"/>
      <c r="I53" s="15"/>
      <c r="J53" s="16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</row>
    <row r="54" spans="1:27" ht="14.4">
      <c r="A54" s="15"/>
      <c r="B54" s="15"/>
      <c r="C54" s="15"/>
      <c r="D54" s="16"/>
      <c r="E54" s="17"/>
      <c r="F54" s="18"/>
      <c r="G54" s="18"/>
      <c r="H54" s="16"/>
      <c r="I54" s="15"/>
      <c r="J54" s="16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</row>
    <row r="55" spans="1:27" ht="14.4">
      <c r="A55" s="20"/>
      <c r="B55" s="20"/>
      <c r="C55" s="20"/>
      <c r="D55" s="21"/>
      <c r="E55" s="22"/>
      <c r="F55" s="22"/>
      <c r="G55" s="52"/>
      <c r="H55" s="21"/>
      <c r="I55" s="20"/>
      <c r="J55" s="21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 spans="1:27" ht="14.4">
      <c r="A56" s="20"/>
      <c r="B56" s="20"/>
      <c r="C56" s="20"/>
      <c r="D56" s="21"/>
      <c r="E56" s="22"/>
      <c r="F56" s="22"/>
      <c r="G56" s="52"/>
      <c r="H56" s="21"/>
      <c r="I56" s="20"/>
      <c r="J56" s="21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</row>
    <row r="57" spans="1:27" ht="14.4">
      <c r="A57" s="15"/>
      <c r="B57" s="15"/>
      <c r="C57" s="15"/>
      <c r="D57" s="16"/>
      <c r="E57" s="17"/>
      <c r="F57" s="18"/>
      <c r="G57" s="18"/>
      <c r="H57" s="16"/>
      <c r="I57" s="15"/>
      <c r="J57" s="16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</row>
    <row r="58" spans="1:27" ht="14.4">
      <c r="A58" s="15"/>
      <c r="B58" s="15"/>
      <c r="C58" s="15"/>
      <c r="D58" s="16"/>
      <c r="E58" s="17"/>
      <c r="F58" s="18"/>
      <c r="G58" s="18"/>
      <c r="H58" s="16"/>
      <c r="I58" s="15"/>
      <c r="J58" s="16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</row>
    <row r="59" spans="1:27" ht="14.4">
      <c r="A59" s="20"/>
      <c r="B59" s="20"/>
      <c r="C59" s="20"/>
      <c r="D59" s="21"/>
      <c r="E59" s="22"/>
      <c r="F59" s="22"/>
      <c r="G59" s="50"/>
      <c r="H59" s="21"/>
      <c r="I59" s="20"/>
      <c r="J59" s="21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</row>
    <row r="60" spans="1:27" ht="14.4">
      <c r="A60" s="15"/>
      <c r="B60" s="15"/>
      <c r="C60" s="15"/>
      <c r="D60" s="16"/>
      <c r="E60" s="17"/>
      <c r="F60" s="18"/>
      <c r="G60" s="18"/>
      <c r="H60" s="16"/>
      <c r="I60" s="15"/>
      <c r="J60" s="16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</row>
    <row r="61" spans="1:27" ht="14.4">
      <c r="A61" s="20"/>
      <c r="B61" s="20"/>
      <c r="C61" s="20"/>
      <c r="D61" s="21"/>
      <c r="E61" s="22"/>
      <c r="F61" s="22"/>
      <c r="G61" s="52"/>
      <c r="H61" s="21"/>
      <c r="I61" s="20"/>
      <c r="J61" s="21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</row>
    <row r="62" spans="1:27" ht="14.4">
      <c r="A62" s="15"/>
      <c r="B62" s="15"/>
      <c r="C62" s="15"/>
      <c r="D62" s="16"/>
      <c r="E62" s="67"/>
      <c r="F62" s="18"/>
      <c r="G62" s="18"/>
      <c r="H62" s="16"/>
      <c r="I62" s="15"/>
      <c r="J62" s="16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</row>
    <row r="63" spans="1:27" ht="14.4">
      <c r="A63" s="15"/>
      <c r="B63" s="15"/>
      <c r="C63" s="15"/>
      <c r="D63" s="16"/>
      <c r="E63" s="17"/>
      <c r="F63" s="18"/>
      <c r="G63" s="18"/>
      <c r="H63" s="16"/>
      <c r="I63" s="15"/>
      <c r="J63" s="16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</row>
    <row r="64" spans="1:27" ht="14.4">
      <c r="A64" s="15"/>
      <c r="B64" s="15"/>
      <c r="C64" s="15"/>
      <c r="D64" s="16"/>
      <c r="E64" s="17"/>
      <c r="F64" s="18"/>
      <c r="G64" s="18"/>
      <c r="H64" s="16"/>
      <c r="I64" s="15"/>
      <c r="J64" s="16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</row>
    <row r="65" spans="1:27" ht="14.4">
      <c r="A65" s="20"/>
      <c r="B65" s="20"/>
      <c r="C65" s="20"/>
      <c r="D65" s="21"/>
      <c r="E65" s="22"/>
      <c r="F65" s="22"/>
      <c r="G65" s="52"/>
      <c r="H65" s="21"/>
      <c r="I65" s="20"/>
      <c r="J65" s="21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</row>
    <row r="66" spans="1:27" ht="14.4">
      <c r="A66" s="15"/>
      <c r="B66" s="15"/>
      <c r="C66" s="15"/>
      <c r="D66" s="16"/>
      <c r="E66" s="17"/>
      <c r="F66" s="18"/>
      <c r="G66" s="18"/>
      <c r="H66" s="16"/>
      <c r="I66" s="15"/>
      <c r="J66" s="16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</row>
    <row r="67" spans="1:27" ht="14.4">
      <c r="A67" s="15"/>
      <c r="B67" s="15"/>
      <c r="C67" s="15"/>
      <c r="D67" s="16"/>
      <c r="E67" s="17"/>
      <c r="F67" s="18"/>
      <c r="G67" s="18"/>
      <c r="H67" s="16"/>
      <c r="I67" s="15"/>
      <c r="J67" s="16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</row>
    <row r="68" spans="1:27" ht="14.4">
      <c r="A68" s="68"/>
      <c r="B68" s="62"/>
      <c r="C68" s="62"/>
      <c r="D68" s="69" t="s">
        <v>18</v>
      </c>
      <c r="E68" s="70">
        <f>SUM(E2:E67)</f>
        <v>0</v>
      </c>
      <c r="F68" s="71">
        <f>SUM(F2:F67)</f>
        <v>0</v>
      </c>
      <c r="G68" s="72"/>
      <c r="H68" s="68"/>
      <c r="I68" s="62"/>
      <c r="J68" s="68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</row>
    <row r="69" spans="1:27" ht="14.4">
      <c r="A69" s="65"/>
      <c r="B69" s="73"/>
      <c r="C69" s="73"/>
      <c r="D69" s="65"/>
      <c r="E69" s="74"/>
      <c r="F69" s="74"/>
      <c r="G69" s="74"/>
      <c r="H69" s="65"/>
      <c r="I69" s="73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</row>
    <row r="70" spans="1:27" ht="14.4">
      <c r="A70" s="65"/>
      <c r="B70" s="73"/>
      <c r="C70" s="73"/>
      <c r="D70" s="75"/>
      <c r="E70" s="76"/>
      <c r="F70" s="76"/>
      <c r="G70" s="62"/>
      <c r="H70" s="65"/>
      <c r="I70" s="73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</row>
    <row r="71" spans="1:27" ht="14.4">
      <c r="A71" s="65"/>
      <c r="B71" s="73"/>
      <c r="C71" s="73"/>
      <c r="D71" s="75"/>
      <c r="E71" s="76"/>
      <c r="F71" s="76"/>
      <c r="G71" s="62"/>
      <c r="H71" s="65"/>
      <c r="I71" s="73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</row>
    <row r="72" spans="1:27" ht="14.4">
      <c r="A72" s="65"/>
      <c r="B72" s="73"/>
      <c r="C72" s="73"/>
      <c r="D72" s="16"/>
      <c r="E72" s="34" t="s">
        <v>19</v>
      </c>
      <c r="F72" s="34" t="s">
        <v>20</v>
      </c>
      <c r="G72" s="62"/>
      <c r="H72" s="65"/>
      <c r="I72" s="73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</row>
    <row r="73" spans="1:27" ht="14.4">
      <c r="A73" s="65"/>
      <c r="B73" s="73"/>
      <c r="C73" s="73"/>
      <c r="D73" s="16" t="s">
        <v>21</v>
      </c>
      <c r="E73" s="53"/>
      <c r="F73" s="17">
        <f>E68+G68</f>
        <v>0</v>
      </c>
      <c r="G73" s="63"/>
      <c r="H73" s="65"/>
      <c r="I73" s="73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</row>
    <row r="74" spans="1:27" ht="14.4">
      <c r="A74" s="65"/>
      <c r="B74" s="73"/>
      <c r="C74" s="73"/>
      <c r="D74" s="25" t="s">
        <v>22</v>
      </c>
      <c r="E74" s="24"/>
      <c r="F74" s="19">
        <f>G68</f>
        <v>0</v>
      </c>
      <c r="G74" s="74"/>
      <c r="H74" s="65"/>
      <c r="I74" s="73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</row>
    <row r="75" spans="1:27" ht="14.4">
      <c r="A75" s="65"/>
      <c r="B75" s="73"/>
      <c r="C75" s="73"/>
      <c r="D75" s="37" t="s">
        <v>25</v>
      </c>
      <c r="E75" s="64"/>
      <c r="F75" s="39">
        <f>E68-G68</f>
        <v>0</v>
      </c>
      <c r="G75" s="74"/>
      <c r="H75" s="65"/>
      <c r="I75" s="73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</row>
    <row r="76" spans="1:27" ht="14.4">
      <c r="A76" s="65"/>
      <c r="B76" s="73"/>
      <c r="C76" s="73"/>
      <c r="D76" s="21" t="s">
        <v>24</v>
      </c>
      <c r="E76" s="20"/>
      <c r="F76" s="22">
        <f>F68</f>
        <v>0</v>
      </c>
      <c r="G76" s="77"/>
      <c r="H76" s="78"/>
      <c r="I76" s="73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</row>
    <row r="77" spans="1:27" ht="14.4">
      <c r="A77" s="65"/>
      <c r="B77" s="73"/>
      <c r="C77" s="73"/>
      <c r="D77" s="65"/>
      <c r="E77" s="74"/>
      <c r="F77" s="74"/>
      <c r="G77" s="74"/>
      <c r="H77" s="65"/>
      <c r="I77" s="73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</row>
    <row r="78" spans="1:27" ht="14.4">
      <c r="A78" s="65"/>
      <c r="B78" s="73"/>
      <c r="C78" s="73"/>
      <c r="D78" s="65"/>
      <c r="E78" s="74"/>
      <c r="F78" s="74"/>
      <c r="G78" s="74"/>
      <c r="H78" s="65"/>
      <c r="I78" s="73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</row>
    <row r="79" spans="1:27" ht="14.4">
      <c r="A79" s="65"/>
      <c r="B79" s="73"/>
      <c r="C79" s="73"/>
      <c r="D79" s="65"/>
      <c r="E79" s="74"/>
      <c r="F79" s="74"/>
      <c r="G79" s="74"/>
      <c r="H79" s="65"/>
      <c r="I79" s="73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</row>
    <row r="80" spans="1:27" ht="14.4">
      <c r="A80" s="65"/>
      <c r="B80" s="73"/>
      <c r="C80" s="73"/>
      <c r="D80" s="65"/>
      <c r="E80" s="74"/>
      <c r="F80" s="74"/>
      <c r="G80" s="74"/>
      <c r="H80" s="65"/>
      <c r="I80" s="73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</row>
    <row r="81" spans="1:27" ht="14.4">
      <c r="A81" s="65"/>
      <c r="B81" s="73"/>
      <c r="C81" s="73"/>
      <c r="D81" s="65"/>
      <c r="E81" s="74"/>
      <c r="F81" s="74"/>
      <c r="G81" s="74"/>
      <c r="H81" s="65"/>
      <c r="I81" s="73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</row>
    <row r="82" spans="1:27" ht="14.4">
      <c r="A82" s="65"/>
      <c r="B82" s="73"/>
      <c r="C82" s="73"/>
      <c r="D82" s="65"/>
      <c r="E82" s="74"/>
      <c r="F82" s="74"/>
      <c r="G82" s="74"/>
      <c r="H82" s="65"/>
      <c r="I82" s="73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</row>
    <row r="83" spans="1:27" ht="14.4">
      <c r="A83" s="65"/>
      <c r="B83" s="73"/>
      <c r="C83" s="73"/>
      <c r="D83" s="65"/>
      <c r="E83" s="74"/>
      <c r="F83" s="74"/>
      <c r="G83" s="74"/>
      <c r="H83" s="65"/>
      <c r="I83" s="73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</row>
    <row r="84" spans="1:27" ht="14.4">
      <c r="A84" s="65"/>
      <c r="B84" s="73"/>
      <c r="C84" s="73"/>
      <c r="D84" s="65"/>
      <c r="E84" s="74"/>
      <c r="F84" s="74"/>
      <c r="G84" s="74"/>
      <c r="H84" s="65"/>
      <c r="I84" s="73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</row>
    <row r="85" spans="1:27" ht="14.4">
      <c r="A85" s="65"/>
      <c r="B85" s="73"/>
      <c r="C85" s="73"/>
      <c r="D85" s="65"/>
      <c r="E85" s="74"/>
      <c r="F85" s="74"/>
      <c r="G85" s="74"/>
      <c r="H85" s="65"/>
      <c r="I85" s="73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</row>
    <row r="86" spans="1:27" ht="14.4">
      <c r="A86" s="65"/>
      <c r="B86" s="73"/>
      <c r="C86" s="73"/>
      <c r="D86" s="65"/>
      <c r="E86" s="74"/>
      <c r="F86" s="74"/>
      <c r="G86" s="74"/>
      <c r="H86" s="65"/>
      <c r="I86" s="73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</row>
    <row r="87" spans="1:27" ht="14.4">
      <c r="A87" s="65"/>
      <c r="B87" s="73"/>
      <c r="C87" s="73"/>
      <c r="D87" s="65"/>
      <c r="E87" s="74"/>
      <c r="F87" s="74"/>
      <c r="G87" s="74"/>
      <c r="H87" s="65"/>
      <c r="I87" s="73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</row>
    <row r="88" spans="1:27" ht="14.4">
      <c r="A88" s="65"/>
      <c r="B88" s="73"/>
      <c r="C88" s="73"/>
      <c r="D88" s="65"/>
      <c r="E88" s="74"/>
      <c r="F88" s="74"/>
      <c r="G88" s="74"/>
      <c r="H88" s="65"/>
      <c r="I88" s="73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</row>
    <row r="89" spans="1:27" ht="14.4">
      <c r="A89" s="65"/>
      <c r="B89" s="73"/>
      <c r="C89" s="73"/>
      <c r="D89" s="65"/>
      <c r="E89" s="74"/>
      <c r="F89" s="74"/>
      <c r="G89" s="74"/>
      <c r="H89" s="65"/>
      <c r="I89" s="73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</row>
    <row r="90" spans="1:27" ht="14.4">
      <c r="A90" s="65"/>
      <c r="B90" s="73"/>
      <c r="C90" s="73"/>
      <c r="D90" s="65"/>
      <c r="E90" s="74"/>
      <c r="F90" s="74"/>
      <c r="G90" s="74"/>
      <c r="H90" s="65"/>
      <c r="I90" s="73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</row>
    <row r="91" spans="1:27" ht="14.4">
      <c r="A91" s="65"/>
      <c r="B91" s="73"/>
      <c r="C91" s="73"/>
      <c r="D91" s="65"/>
      <c r="E91" s="74"/>
      <c r="F91" s="74"/>
      <c r="G91" s="74"/>
      <c r="H91" s="65"/>
      <c r="I91" s="73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</row>
    <row r="92" spans="1:27" ht="14.4">
      <c r="A92" s="65"/>
      <c r="B92" s="73"/>
      <c r="C92" s="73"/>
      <c r="D92" s="65"/>
      <c r="E92" s="74"/>
      <c r="F92" s="74"/>
      <c r="G92" s="74"/>
      <c r="H92" s="65"/>
      <c r="I92" s="73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</row>
    <row r="93" spans="1:27" ht="14.4">
      <c r="A93" s="65"/>
      <c r="B93" s="73"/>
      <c r="C93" s="73"/>
      <c r="D93" s="65"/>
      <c r="E93" s="74"/>
      <c r="F93" s="74"/>
      <c r="G93" s="74"/>
      <c r="H93" s="65"/>
      <c r="I93" s="73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</row>
    <row r="94" spans="1:27" ht="14.4">
      <c r="A94" s="65"/>
      <c r="B94" s="73"/>
      <c r="C94" s="73"/>
      <c r="D94" s="65"/>
      <c r="E94" s="74"/>
      <c r="F94" s="74"/>
      <c r="G94" s="74"/>
      <c r="H94" s="65"/>
      <c r="I94" s="73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</row>
    <row r="95" spans="1:27" ht="14.4">
      <c r="A95" s="65"/>
      <c r="B95" s="73"/>
      <c r="C95" s="73"/>
      <c r="D95" s="65"/>
      <c r="E95" s="74"/>
      <c r="F95" s="74"/>
      <c r="G95" s="74"/>
      <c r="H95" s="65"/>
      <c r="I95" s="73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</row>
    <row r="96" spans="1:27" ht="14.4">
      <c r="A96" s="65"/>
      <c r="B96" s="73"/>
      <c r="C96" s="73"/>
      <c r="D96" s="65"/>
      <c r="E96" s="74"/>
      <c r="F96" s="74"/>
      <c r="G96" s="74"/>
      <c r="H96" s="65"/>
      <c r="I96" s="73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</row>
    <row r="97" spans="1:27" ht="14.4">
      <c r="A97" s="65"/>
      <c r="B97" s="73"/>
      <c r="C97" s="73"/>
      <c r="D97" s="65"/>
      <c r="E97" s="74"/>
      <c r="F97" s="74"/>
      <c r="G97" s="74"/>
      <c r="H97" s="65"/>
      <c r="I97" s="73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</row>
    <row r="98" spans="1:27" ht="14.4">
      <c r="A98" s="65"/>
      <c r="B98" s="73"/>
      <c r="C98" s="73"/>
      <c r="D98" s="65"/>
      <c r="E98" s="74"/>
      <c r="F98" s="74"/>
      <c r="G98" s="74"/>
      <c r="H98" s="65"/>
      <c r="I98" s="73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</row>
    <row r="99" spans="1:27" ht="14.4">
      <c r="A99" s="65"/>
      <c r="B99" s="73"/>
      <c r="C99" s="73"/>
      <c r="D99" s="65"/>
      <c r="E99" s="74"/>
      <c r="F99" s="74"/>
      <c r="G99" s="74"/>
      <c r="H99" s="65"/>
      <c r="I99" s="73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</row>
    <row r="100" spans="1:27" ht="14.4">
      <c r="A100" s="65"/>
      <c r="B100" s="73"/>
      <c r="C100" s="73"/>
      <c r="D100" s="65"/>
      <c r="E100" s="74"/>
      <c r="F100" s="74"/>
      <c r="G100" s="74"/>
      <c r="H100" s="65"/>
      <c r="I100" s="73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</row>
    <row r="101" spans="1:27" ht="14.4">
      <c r="A101" s="65"/>
      <c r="B101" s="73"/>
      <c r="C101" s="73"/>
      <c r="D101" s="65"/>
      <c r="E101" s="74"/>
      <c r="F101" s="74"/>
      <c r="G101" s="74"/>
      <c r="H101" s="65"/>
      <c r="I101" s="73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</row>
    <row r="102" spans="1:27" ht="14.4">
      <c r="A102" s="65"/>
      <c r="B102" s="73"/>
      <c r="C102" s="73"/>
      <c r="D102" s="65"/>
      <c r="E102" s="74"/>
      <c r="F102" s="74"/>
      <c r="G102" s="74"/>
      <c r="H102" s="65"/>
      <c r="I102" s="73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</row>
    <row r="103" spans="1:27" ht="14.4">
      <c r="A103" s="65"/>
      <c r="B103" s="73"/>
      <c r="C103" s="73"/>
      <c r="D103" s="65"/>
      <c r="E103" s="74"/>
      <c r="F103" s="74"/>
      <c r="G103" s="74"/>
      <c r="H103" s="65"/>
      <c r="I103" s="73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</row>
    <row r="104" spans="1:27" ht="14.4">
      <c r="A104" s="65"/>
      <c r="B104" s="73"/>
      <c r="C104" s="73"/>
      <c r="D104" s="65"/>
      <c r="E104" s="74"/>
      <c r="F104" s="74"/>
      <c r="G104" s="74"/>
      <c r="H104" s="65"/>
      <c r="I104" s="73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</row>
    <row r="105" spans="1:27" ht="14.4">
      <c r="A105" s="65"/>
      <c r="B105" s="73"/>
      <c r="C105" s="73"/>
      <c r="D105" s="65"/>
      <c r="E105" s="74"/>
      <c r="F105" s="74"/>
      <c r="G105" s="74"/>
      <c r="H105" s="65"/>
      <c r="I105" s="73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</row>
    <row r="106" spans="1:27" ht="14.4">
      <c r="A106" s="65"/>
      <c r="B106" s="73"/>
      <c r="C106" s="73"/>
      <c r="D106" s="65"/>
      <c r="E106" s="74"/>
      <c r="F106" s="74"/>
      <c r="G106" s="74"/>
      <c r="H106" s="65"/>
      <c r="I106" s="73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</row>
    <row r="107" spans="1:27" ht="14.4">
      <c r="A107" s="65"/>
      <c r="B107" s="73"/>
      <c r="C107" s="73"/>
      <c r="D107" s="65"/>
      <c r="E107" s="74"/>
      <c r="F107" s="74"/>
      <c r="G107" s="74"/>
      <c r="H107" s="65"/>
      <c r="I107" s="73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</row>
    <row r="108" spans="1:27" ht="14.4">
      <c r="A108" s="65"/>
      <c r="B108" s="73"/>
      <c r="C108" s="73"/>
      <c r="D108" s="65"/>
      <c r="E108" s="74"/>
      <c r="F108" s="74"/>
      <c r="G108" s="74"/>
      <c r="H108" s="65"/>
      <c r="I108" s="73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</row>
    <row r="109" spans="1:27" ht="14.4">
      <c r="A109" s="65"/>
      <c r="B109" s="73"/>
      <c r="C109" s="73"/>
      <c r="D109" s="65"/>
      <c r="E109" s="74"/>
      <c r="F109" s="74"/>
      <c r="G109" s="74"/>
      <c r="H109" s="65"/>
      <c r="I109" s="73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</row>
    <row r="110" spans="1:27" ht="14.4">
      <c r="A110" s="65"/>
      <c r="B110" s="73"/>
      <c r="C110" s="73"/>
      <c r="D110" s="65"/>
      <c r="E110" s="74"/>
      <c r="F110" s="74"/>
      <c r="G110" s="74"/>
      <c r="H110" s="65"/>
      <c r="I110" s="73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</row>
    <row r="111" spans="1:27" ht="14.4">
      <c r="A111" s="65"/>
      <c r="B111" s="73"/>
      <c r="C111" s="73"/>
      <c r="D111" s="65"/>
      <c r="E111" s="74"/>
      <c r="F111" s="74"/>
      <c r="G111" s="74"/>
      <c r="H111" s="65"/>
      <c r="I111" s="73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</row>
    <row r="112" spans="1:27" ht="14.4">
      <c r="A112" s="65"/>
      <c r="B112" s="73"/>
      <c r="C112" s="73"/>
      <c r="D112" s="65"/>
      <c r="E112" s="74"/>
      <c r="F112" s="74"/>
      <c r="G112" s="74"/>
      <c r="H112" s="65"/>
      <c r="I112" s="73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</row>
    <row r="113" spans="1:27" ht="14.4">
      <c r="A113" s="65"/>
      <c r="B113" s="73"/>
      <c r="C113" s="73"/>
      <c r="D113" s="65"/>
      <c r="E113" s="74"/>
      <c r="F113" s="74"/>
      <c r="G113" s="74"/>
      <c r="H113" s="65"/>
      <c r="I113" s="73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</row>
    <row r="114" spans="1:27" ht="14.4">
      <c r="A114" s="65"/>
      <c r="B114" s="73"/>
      <c r="C114" s="73"/>
      <c r="D114" s="65"/>
      <c r="E114" s="74"/>
      <c r="F114" s="74"/>
      <c r="G114" s="74"/>
      <c r="H114" s="65"/>
      <c r="I114" s="73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</row>
    <row r="115" spans="1:27" ht="14.4">
      <c r="A115" s="65"/>
      <c r="B115" s="73"/>
      <c r="C115" s="73"/>
      <c r="D115" s="65"/>
      <c r="E115" s="74"/>
      <c r="F115" s="74"/>
      <c r="G115" s="74"/>
      <c r="H115" s="65"/>
      <c r="I115" s="73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</row>
    <row r="116" spans="1:27" ht="14.4">
      <c r="A116" s="65"/>
      <c r="B116" s="73"/>
      <c r="C116" s="73"/>
      <c r="D116" s="65"/>
      <c r="E116" s="74"/>
      <c r="F116" s="74"/>
      <c r="G116" s="74"/>
      <c r="H116" s="65"/>
      <c r="I116" s="73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</row>
    <row r="117" spans="1:27" ht="14.4">
      <c r="A117" s="65"/>
      <c r="B117" s="73"/>
      <c r="C117" s="73"/>
      <c r="D117" s="65"/>
      <c r="E117" s="74"/>
      <c r="F117" s="74"/>
      <c r="G117" s="74"/>
      <c r="H117" s="65"/>
      <c r="I117" s="73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</row>
    <row r="118" spans="1:27" ht="14.4">
      <c r="A118" s="65"/>
      <c r="B118" s="73"/>
      <c r="C118" s="73"/>
      <c r="D118" s="65"/>
      <c r="E118" s="74"/>
      <c r="F118" s="74"/>
      <c r="G118" s="74"/>
      <c r="H118" s="65"/>
      <c r="I118" s="73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</row>
    <row r="119" spans="1:27" ht="14.4">
      <c r="A119" s="65"/>
      <c r="B119" s="73"/>
      <c r="C119" s="73"/>
      <c r="D119" s="65"/>
      <c r="E119" s="74"/>
      <c r="F119" s="74"/>
      <c r="G119" s="74"/>
      <c r="H119" s="65"/>
      <c r="I119" s="73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</row>
    <row r="120" spans="1:27" ht="14.4">
      <c r="A120" s="65"/>
      <c r="B120" s="73"/>
      <c r="C120" s="73"/>
      <c r="D120" s="65"/>
      <c r="E120" s="74"/>
      <c r="F120" s="74"/>
      <c r="G120" s="74"/>
      <c r="H120" s="65"/>
      <c r="I120" s="73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</row>
    <row r="121" spans="1:27" ht="14.4">
      <c r="A121" s="65"/>
      <c r="B121" s="73"/>
      <c r="C121" s="73"/>
      <c r="D121" s="65"/>
      <c r="E121" s="74"/>
      <c r="F121" s="74"/>
      <c r="G121" s="74"/>
      <c r="H121" s="65"/>
      <c r="I121" s="73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</row>
    <row r="122" spans="1:27" ht="14.4">
      <c r="A122" s="65"/>
      <c r="B122" s="73"/>
      <c r="C122" s="73"/>
      <c r="D122" s="65"/>
      <c r="E122" s="74"/>
      <c r="F122" s="74"/>
      <c r="G122" s="74"/>
      <c r="H122" s="65"/>
      <c r="I122" s="73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</row>
    <row r="123" spans="1:27" ht="14.4">
      <c r="A123" s="65"/>
      <c r="B123" s="73"/>
      <c r="C123" s="73"/>
      <c r="D123" s="65"/>
      <c r="E123" s="74"/>
      <c r="F123" s="74"/>
      <c r="G123" s="74"/>
      <c r="H123" s="65"/>
      <c r="I123" s="73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</row>
    <row r="124" spans="1:27" ht="14.4">
      <c r="A124" s="65"/>
      <c r="B124" s="73"/>
      <c r="C124" s="73"/>
      <c r="D124" s="65"/>
      <c r="E124" s="74"/>
      <c r="F124" s="74"/>
      <c r="G124" s="74"/>
      <c r="H124" s="65"/>
      <c r="I124" s="73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</row>
    <row r="125" spans="1:27" ht="14.4">
      <c r="A125" s="65"/>
      <c r="B125" s="73"/>
      <c r="C125" s="73"/>
      <c r="D125" s="65"/>
      <c r="E125" s="74"/>
      <c r="F125" s="74"/>
      <c r="G125" s="74"/>
      <c r="H125" s="65"/>
      <c r="I125" s="73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</row>
    <row r="126" spans="1:27" ht="14.4">
      <c r="A126" s="65"/>
      <c r="B126" s="73"/>
      <c r="C126" s="73"/>
      <c r="D126" s="65"/>
      <c r="E126" s="74"/>
      <c r="F126" s="74"/>
      <c r="G126" s="74"/>
      <c r="H126" s="65"/>
      <c r="I126" s="73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</row>
    <row r="127" spans="1:27" ht="14.4">
      <c r="A127" s="65"/>
      <c r="B127" s="73"/>
      <c r="C127" s="73"/>
      <c r="D127" s="65"/>
      <c r="E127" s="74"/>
      <c r="F127" s="74"/>
      <c r="G127" s="74"/>
      <c r="H127" s="65"/>
      <c r="I127" s="73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</row>
    <row r="128" spans="1:27" ht="14.4">
      <c r="A128" s="65"/>
      <c r="B128" s="73"/>
      <c r="C128" s="73"/>
      <c r="D128" s="65"/>
      <c r="E128" s="74"/>
      <c r="F128" s="74"/>
      <c r="G128" s="74"/>
      <c r="H128" s="65"/>
      <c r="I128" s="73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</row>
    <row r="129" spans="1:27" ht="14.4">
      <c r="A129" s="65"/>
      <c r="B129" s="73"/>
      <c r="C129" s="73"/>
      <c r="D129" s="65"/>
      <c r="E129" s="74"/>
      <c r="F129" s="74"/>
      <c r="G129" s="74"/>
      <c r="H129" s="65"/>
      <c r="I129" s="73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</row>
    <row r="130" spans="1:27" ht="14.4">
      <c r="A130" s="65"/>
      <c r="B130" s="73"/>
      <c r="C130" s="73"/>
      <c r="D130" s="65"/>
      <c r="E130" s="74"/>
      <c r="F130" s="74"/>
      <c r="G130" s="74"/>
      <c r="H130" s="65"/>
      <c r="I130" s="73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</row>
    <row r="131" spans="1:27" ht="14.4">
      <c r="A131" s="65"/>
      <c r="B131" s="73"/>
      <c r="C131" s="73"/>
      <c r="D131" s="65"/>
      <c r="E131" s="74"/>
      <c r="F131" s="74"/>
      <c r="G131" s="74"/>
      <c r="H131" s="65"/>
      <c r="I131" s="73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</row>
    <row r="132" spans="1:27" ht="14.4">
      <c r="A132" s="65"/>
      <c r="B132" s="73"/>
      <c r="C132" s="73"/>
      <c r="D132" s="65"/>
      <c r="E132" s="74"/>
      <c r="F132" s="74"/>
      <c r="G132" s="74"/>
      <c r="H132" s="65"/>
      <c r="I132" s="73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</row>
    <row r="133" spans="1:27" ht="14.4">
      <c r="A133" s="65"/>
      <c r="B133" s="73"/>
      <c r="C133" s="73"/>
      <c r="D133" s="65"/>
      <c r="E133" s="74"/>
      <c r="F133" s="74"/>
      <c r="G133" s="74"/>
      <c r="H133" s="65"/>
      <c r="I133" s="73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</row>
    <row r="134" spans="1:27" ht="14.4">
      <c r="A134" s="65"/>
      <c r="B134" s="73"/>
      <c r="C134" s="73"/>
      <c r="D134" s="65"/>
      <c r="E134" s="74"/>
      <c r="F134" s="74"/>
      <c r="G134" s="74"/>
      <c r="H134" s="65"/>
      <c r="I134" s="73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</row>
    <row r="135" spans="1:27" ht="14.4">
      <c r="A135" s="65"/>
      <c r="B135" s="73"/>
      <c r="C135" s="73"/>
      <c r="D135" s="65"/>
      <c r="E135" s="74"/>
      <c r="F135" s="74"/>
      <c r="G135" s="74"/>
      <c r="H135" s="65"/>
      <c r="I135" s="73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</row>
    <row r="136" spans="1:27" ht="14.4">
      <c r="A136" s="65"/>
      <c r="B136" s="73"/>
      <c r="C136" s="73"/>
      <c r="D136" s="65"/>
      <c r="E136" s="74"/>
      <c r="F136" s="74"/>
      <c r="G136" s="74"/>
      <c r="H136" s="65"/>
      <c r="I136" s="73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</row>
    <row r="137" spans="1:27" ht="14.4">
      <c r="A137" s="65"/>
      <c r="B137" s="73"/>
      <c r="C137" s="73"/>
      <c r="D137" s="65"/>
      <c r="E137" s="74"/>
      <c r="F137" s="74"/>
      <c r="G137" s="74"/>
      <c r="H137" s="65"/>
      <c r="I137" s="73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</row>
    <row r="138" spans="1:27" ht="14.4">
      <c r="A138" s="65"/>
      <c r="B138" s="73"/>
      <c r="C138" s="73"/>
      <c r="D138" s="65"/>
      <c r="E138" s="74"/>
      <c r="F138" s="74"/>
      <c r="G138" s="74"/>
      <c r="H138" s="65"/>
      <c r="I138" s="73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</row>
    <row r="139" spans="1:27" ht="14.4">
      <c r="A139" s="65"/>
      <c r="B139" s="73"/>
      <c r="C139" s="73"/>
      <c r="D139" s="65"/>
      <c r="E139" s="74"/>
      <c r="F139" s="74"/>
      <c r="G139" s="74"/>
      <c r="H139" s="65"/>
      <c r="I139" s="73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</row>
    <row r="140" spans="1:27" ht="14.4">
      <c r="A140" s="65"/>
      <c r="B140" s="73"/>
      <c r="C140" s="73"/>
      <c r="D140" s="65"/>
      <c r="E140" s="74"/>
      <c r="F140" s="74"/>
      <c r="G140" s="74"/>
      <c r="H140" s="65"/>
      <c r="I140" s="73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</row>
    <row r="141" spans="1:27" ht="14.4">
      <c r="A141" s="65"/>
      <c r="B141" s="73"/>
      <c r="C141" s="73"/>
      <c r="D141" s="65"/>
      <c r="E141" s="74"/>
      <c r="F141" s="74"/>
      <c r="G141" s="74"/>
      <c r="H141" s="65"/>
      <c r="I141" s="73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</row>
    <row r="142" spans="1:27" ht="14.4">
      <c r="A142" s="65"/>
      <c r="B142" s="73"/>
      <c r="C142" s="73"/>
      <c r="D142" s="65"/>
      <c r="E142" s="74"/>
      <c r="F142" s="74"/>
      <c r="G142" s="74"/>
      <c r="H142" s="65"/>
      <c r="I142" s="73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</row>
    <row r="143" spans="1:27" ht="14.4">
      <c r="A143" s="65"/>
      <c r="B143" s="73"/>
      <c r="C143" s="73"/>
      <c r="D143" s="65"/>
      <c r="E143" s="74"/>
      <c r="F143" s="74"/>
      <c r="G143" s="74"/>
      <c r="H143" s="65"/>
      <c r="I143" s="73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</row>
    <row r="144" spans="1:27" ht="14.4">
      <c r="A144" s="65"/>
      <c r="B144" s="73"/>
      <c r="C144" s="73"/>
      <c r="D144" s="65"/>
      <c r="E144" s="74"/>
      <c r="F144" s="74"/>
      <c r="G144" s="74"/>
      <c r="H144" s="65"/>
      <c r="I144" s="73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</row>
    <row r="145" spans="1:27" ht="14.4">
      <c r="A145" s="65"/>
      <c r="B145" s="73"/>
      <c r="C145" s="73"/>
      <c r="D145" s="65"/>
      <c r="E145" s="74"/>
      <c r="F145" s="74"/>
      <c r="G145" s="74"/>
      <c r="H145" s="65"/>
      <c r="I145" s="73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</row>
    <row r="146" spans="1:27" ht="14.4">
      <c r="A146" s="65"/>
      <c r="B146" s="73"/>
      <c r="C146" s="73"/>
      <c r="D146" s="65"/>
      <c r="E146" s="74"/>
      <c r="F146" s="74"/>
      <c r="G146" s="74"/>
      <c r="H146" s="65"/>
      <c r="I146" s="73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</row>
    <row r="147" spans="1:27" ht="14.4">
      <c r="A147" s="65"/>
      <c r="B147" s="73"/>
      <c r="C147" s="73"/>
      <c r="D147" s="65"/>
      <c r="E147" s="74"/>
      <c r="F147" s="74"/>
      <c r="G147" s="74"/>
      <c r="H147" s="65"/>
      <c r="I147" s="73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</row>
    <row r="148" spans="1:27" ht="14.4">
      <c r="A148" s="65"/>
      <c r="B148" s="73"/>
      <c r="C148" s="73"/>
      <c r="D148" s="65"/>
      <c r="E148" s="74"/>
      <c r="F148" s="74"/>
      <c r="G148" s="74"/>
      <c r="H148" s="65"/>
      <c r="I148" s="73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</row>
    <row r="149" spans="1:27" ht="14.4">
      <c r="A149" s="65"/>
      <c r="B149" s="73"/>
      <c r="C149" s="73"/>
      <c r="D149" s="65"/>
      <c r="E149" s="74"/>
      <c r="F149" s="74"/>
      <c r="G149" s="74"/>
      <c r="H149" s="65"/>
      <c r="I149" s="73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</row>
    <row r="150" spans="1:27" ht="14.4">
      <c r="A150" s="65"/>
      <c r="B150" s="73"/>
      <c r="C150" s="73"/>
      <c r="D150" s="65"/>
      <c r="E150" s="74"/>
      <c r="F150" s="74"/>
      <c r="G150" s="74"/>
      <c r="H150" s="65"/>
      <c r="I150" s="73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</row>
    <row r="151" spans="1:27" ht="14.4">
      <c r="A151" s="65"/>
      <c r="B151" s="73"/>
      <c r="C151" s="73"/>
      <c r="D151" s="65"/>
      <c r="E151" s="74"/>
      <c r="F151" s="74"/>
      <c r="G151" s="74"/>
      <c r="H151" s="65"/>
      <c r="I151" s="73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</row>
    <row r="152" spans="1:27" ht="14.4">
      <c r="A152" s="65"/>
      <c r="B152" s="73"/>
      <c r="C152" s="73"/>
      <c r="D152" s="65"/>
      <c r="E152" s="74"/>
      <c r="F152" s="74"/>
      <c r="G152" s="74"/>
      <c r="H152" s="65"/>
      <c r="I152" s="73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</row>
    <row r="153" spans="1:27" ht="14.4">
      <c r="A153" s="65"/>
      <c r="B153" s="73"/>
      <c r="C153" s="73"/>
      <c r="D153" s="65"/>
      <c r="E153" s="74"/>
      <c r="F153" s="74"/>
      <c r="G153" s="74"/>
      <c r="H153" s="65"/>
      <c r="I153" s="73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</row>
    <row r="154" spans="1:27" ht="14.4">
      <c r="A154" s="65"/>
      <c r="B154" s="73"/>
      <c r="C154" s="73"/>
      <c r="D154" s="65"/>
      <c r="E154" s="74"/>
      <c r="F154" s="74"/>
      <c r="G154" s="74"/>
      <c r="H154" s="65"/>
      <c r="I154" s="73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</row>
    <row r="155" spans="1:27" ht="14.4">
      <c r="A155" s="65"/>
      <c r="B155" s="73"/>
      <c r="C155" s="73"/>
      <c r="D155" s="65"/>
      <c r="E155" s="74"/>
      <c r="F155" s="74"/>
      <c r="G155" s="74"/>
      <c r="H155" s="65"/>
      <c r="I155" s="73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</row>
    <row r="156" spans="1:27" ht="14.4">
      <c r="A156" s="65"/>
      <c r="B156" s="73"/>
      <c r="C156" s="73"/>
      <c r="D156" s="65"/>
      <c r="E156" s="74"/>
      <c r="F156" s="74"/>
      <c r="G156" s="74"/>
      <c r="H156" s="65"/>
      <c r="I156" s="73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</row>
    <row r="157" spans="1:27" ht="14.4">
      <c r="A157" s="65"/>
      <c r="B157" s="73"/>
      <c r="C157" s="73"/>
      <c r="D157" s="65"/>
      <c r="E157" s="74"/>
      <c r="F157" s="74"/>
      <c r="G157" s="74"/>
      <c r="H157" s="65"/>
      <c r="I157" s="73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</row>
    <row r="158" spans="1:27" ht="14.4">
      <c r="A158" s="65"/>
      <c r="B158" s="73"/>
      <c r="C158" s="73"/>
      <c r="D158" s="65"/>
      <c r="E158" s="74"/>
      <c r="F158" s="74"/>
      <c r="G158" s="74"/>
      <c r="H158" s="65"/>
      <c r="I158" s="73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</row>
    <row r="159" spans="1:27" ht="14.4">
      <c r="A159" s="65"/>
      <c r="B159" s="73"/>
      <c r="C159" s="73"/>
      <c r="D159" s="65"/>
      <c r="E159" s="74"/>
      <c r="F159" s="74"/>
      <c r="G159" s="74"/>
      <c r="H159" s="65"/>
      <c r="I159" s="73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</row>
    <row r="160" spans="1:27" ht="14.4">
      <c r="A160" s="65"/>
      <c r="B160" s="73"/>
      <c r="C160" s="73"/>
      <c r="D160" s="65"/>
      <c r="E160" s="74"/>
      <c r="F160" s="74"/>
      <c r="G160" s="74"/>
      <c r="H160" s="65"/>
      <c r="I160" s="73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</row>
    <row r="161" spans="1:27" ht="14.4">
      <c r="A161" s="65"/>
      <c r="B161" s="73"/>
      <c r="C161" s="73"/>
      <c r="D161" s="65"/>
      <c r="E161" s="74"/>
      <c r="F161" s="74"/>
      <c r="G161" s="74"/>
      <c r="H161" s="65"/>
      <c r="I161" s="73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</row>
    <row r="162" spans="1:27" ht="14.4">
      <c r="A162" s="65"/>
      <c r="B162" s="73"/>
      <c r="C162" s="73"/>
      <c r="D162" s="65"/>
      <c r="E162" s="74"/>
      <c r="F162" s="74"/>
      <c r="G162" s="74"/>
      <c r="H162" s="65"/>
      <c r="I162" s="73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</row>
    <row r="163" spans="1:27" ht="14.4">
      <c r="A163" s="65"/>
      <c r="B163" s="73"/>
      <c r="C163" s="73"/>
      <c r="D163" s="65"/>
      <c r="E163" s="74"/>
      <c r="F163" s="74"/>
      <c r="G163" s="74"/>
      <c r="H163" s="65"/>
      <c r="I163" s="73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</row>
    <row r="164" spans="1:27" ht="14.4">
      <c r="A164" s="65"/>
      <c r="B164" s="73"/>
      <c r="C164" s="73"/>
      <c r="D164" s="65"/>
      <c r="E164" s="74"/>
      <c r="F164" s="74"/>
      <c r="G164" s="74"/>
      <c r="H164" s="65"/>
      <c r="I164" s="73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</row>
    <row r="165" spans="1:27" ht="14.4">
      <c r="A165" s="65"/>
      <c r="B165" s="73"/>
      <c r="C165" s="73"/>
      <c r="D165" s="65"/>
      <c r="E165" s="74"/>
      <c r="F165" s="74"/>
      <c r="G165" s="74"/>
      <c r="H165" s="65"/>
      <c r="I165" s="73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</row>
    <row r="166" spans="1:27" ht="14.4">
      <c r="A166" s="65"/>
      <c r="B166" s="73"/>
      <c r="C166" s="73"/>
      <c r="D166" s="65"/>
      <c r="E166" s="74"/>
      <c r="F166" s="74"/>
      <c r="G166" s="74"/>
      <c r="H166" s="65"/>
      <c r="I166" s="73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</row>
    <row r="167" spans="1:27" ht="14.4">
      <c r="A167" s="65"/>
      <c r="B167" s="73"/>
      <c r="C167" s="73"/>
      <c r="D167" s="65"/>
      <c r="E167" s="74"/>
      <c r="F167" s="74"/>
      <c r="G167" s="74"/>
      <c r="H167" s="65"/>
      <c r="I167" s="73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</row>
    <row r="168" spans="1:27" ht="14.4">
      <c r="A168" s="65"/>
      <c r="B168" s="73"/>
      <c r="C168" s="73"/>
      <c r="D168" s="65"/>
      <c r="E168" s="74"/>
      <c r="F168" s="74"/>
      <c r="G168" s="74"/>
      <c r="H168" s="65"/>
      <c r="I168" s="73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</row>
    <row r="169" spans="1:27" ht="14.4">
      <c r="A169" s="65"/>
      <c r="B169" s="73"/>
      <c r="C169" s="73"/>
      <c r="D169" s="65"/>
      <c r="E169" s="74"/>
      <c r="F169" s="74"/>
      <c r="G169" s="74"/>
      <c r="H169" s="65"/>
      <c r="I169" s="73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</row>
    <row r="170" spans="1:27" ht="14.4">
      <c r="A170" s="65"/>
      <c r="B170" s="73"/>
      <c r="C170" s="73"/>
      <c r="D170" s="65"/>
      <c r="E170" s="74"/>
      <c r="F170" s="74"/>
      <c r="G170" s="74"/>
      <c r="H170" s="65"/>
      <c r="I170" s="73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</row>
    <row r="171" spans="1:27" ht="14.4">
      <c r="A171" s="65"/>
      <c r="B171" s="73"/>
      <c r="C171" s="73"/>
      <c r="D171" s="65"/>
      <c r="E171" s="74"/>
      <c r="F171" s="74"/>
      <c r="G171" s="74"/>
      <c r="H171" s="65"/>
      <c r="I171" s="73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</row>
    <row r="172" spans="1:27" ht="14.4">
      <c r="A172" s="65"/>
      <c r="B172" s="73"/>
      <c r="C172" s="73"/>
      <c r="D172" s="65"/>
      <c r="E172" s="74"/>
      <c r="F172" s="74"/>
      <c r="G172" s="74"/>
      <c r="H172" s="65"/>
      <c r="I172" s="73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</row>
    <row r="173" spans="1:27" ht="14.4">
      <c r="A173" s="65"/>
      <c r="B173" s="73"/>
      <c r="C173" s="73"/>
      <c r="D173" s="65"/>
      <c r="E173" s="74"/>
      <c r="F173" s="74"/>
      <c r="G173" s="74"/>
      <c r="H173" s="65"/>
      <c r="I173" s="73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</row>
    <row r="174" spans="1:27" ht="14.4">
      <c r="A174" s="65"/>
      <c r="B174" s="73"/>
      <c r="C174" s="73"/>
      <c r="D174" s="65"/>
      <c r="E174" s="74"/>
      <c r="F174" s="74"/>
      <c r="G174" s="74"/>
      <c r="H174" s="65"/>
      <c r="I174" s="73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</row>
    <row r="175" spans="1:27" ht="14.4">
      <c r="A175" s="65"/>
      <c r="B175" s="73"/>
      <c r="C175" s="73"/>
      <c r="D175" s="65"/>
      <c r="E175" s="74"/>
      <c r="F175" s="74"/>
      <c r="G175" s="74"/>
      <c r="H175" s="65"/>
      <c r="I175" s="73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</row>
    <row r="176" spans="1:27" ht="14.4">
      <c r="A176" s="65"/>
      <c r="B176" s="73"/>
      <c r="C176" s="73"/>
      <c r="D176" s="65"/>
      <c r="E176" s="74"/>
      <c r="F176" s="74"/>
      <c r="G176" s="74"/>
      <c r="H176" s="65"/>
      <c r="I176" s="73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</row>
    <row r="177" spans="1:27" ht="14.4">
      <c r="A177" s="65"/>
      <c r="B177" s="73"/>
      <c r="C177" s="73"/>
      <c r="D177" s="65"/>
      <c r="E177" s="74"/>
      <c r="F177" s="74"/>
      <c r="G177" s="74"/>
      <c r="H177" s="65"/>
      <c r="I177" s="73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</row>
    <row r="178" spans="1:27" ht="14.4">
      <c r="A178" s="65"/>
      <c r="B178" s="73"/>
      <c r="C178" s="73"/>
      <c r="D178" s="65"/>
      <c r="E178" s="74"/>
      <c r="F178" s="74"/>
      <c r="G178" s="74"/>
      <c r="H178" s="65"/>
      <c r="I178" s="73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</row>
    <row r="179" spans="1:27" ht="14.4">
      <c r="A179" s="65"/>
      <c r="B179" s="73"/>
      <c r="C179" s="73"/>
      <c r="D179" s="65"/>
      <c r="E179" s="74"/>
      <c r="F179" s="74"/>
      <c r="G179" s="74"/>
      <c r="H179" s="65"/>
      <c r="I179" s="73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</row>
    <row r="180" spans="1:27" ht="14.4">
      <c r="A180" s="65"/>
      <c r="B180" s="73"/>
      <c r="C180" s="73"/>
      <c r="D180" s="65"/>
      <c r="E180" s="74"/>
      <c r="F180" s="74"/>
      <c r="G180" s="74"/>
      <c r="H180" s="65"/>
      <c r="I180" s="73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</row>
    <row r="181" spans="1:27" ht="14.4">
      <c r="A181" s="65"/>
      <c r="B181" s="73"/>
      <c r="C181" s="73"/>
      <c r="D181" s="65"/>
      <c r="E181" s="74"/>
      <c r="F181" s="74"/>
      <c r="G181" s="74"/>
      <c r="H181" s="65"/>
      <c r="I181" s="73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</row>
    <row r="182" spans="1:27" ht="14.4">
      <c r="A182" s="65"/>
      <c r="B182" s="73"/>
      <c r="C182" s="73"/>
      <c r="D182" s="65"/>
      <c r="E182" s="74"/>
      <c r="F182" s="74"/>
      <c r="G182" s="74"/>
      <c r="H182" s="65"/>
      <c r="I182" s="73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</row>
    <row r="183" spans="1:27" ht="14.4">
      <c r="A183" s="65"/>
      <c r="B183" s="73"/>
      <c r="C183" s="73"/>
      <c r="D183" s="65"/>
      <c r="E183" s="74"/>
      <c r="F183" s="74"/>
      <c r="G183" s="74"/>
      <c r="H183" s="65"/>
      <c r="I183" s="73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</row>
    <row r="184" spans="1:27" ht="14.4">
      <c r="A184" s="65"/>
      <c r="B184" s="73"/>
      <c r="C184" s="73"/>
      <c r="D184" s="65"/>
      <c r="E184" s="74"/>
      <c r="F184" s="74"/>
      <c r="G184" s="74"/>
      <c r="H184" s="65"/>
      <c r="I184" s="73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</row>
    <row r="185" spans="1:27" ht="14.4">
      <c r="A185" s="65"/>
      <c r="B185" s="73"/>
      <c r="C185" s="73"/>
      <c r="D185" s="65"/>
      <c r="E185" s="74"/>
      <c r="F185" s="74"/>
      <c r="G185" s="74"/>
      <c r="H185" s="65"/>
      <c r="I185" s="73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</row>
    <row r="186" spans="1:27" ht="14.4">
      <c r="A186" s="65"/>
      <c r="B186" s="73"/>
      <c r="C186" s="73"/>
      <c r="D186" s="65"/>
      <c r="E186" s="74"/>
      <c r="F186" s="74"/>
      <c r="G186" s="74"/>
      <c r="H186" s="65"/>
      <c r="I186" s="73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</row>
    <row r="187" spans="1:27" ht="14.4">
      <c r="A187" s="65"/>
      <c r="B187" s="73"/>
      <c r="C187" s="73"/>
      <c r="D187" s="65"/>
      <c r="E187" s="74"/>
      <c r="F187" s="74"/>
      <c r="G187" s="74"/>
      <c r="H187" s="65"/>
      <c r="I187" s="73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</row>
    <row r="188" spans="1:27" ht="14.4">
      <c r="A188" s="65"/>
      <c r="B188" s="73"/>
      <c r="C188" s="73"/>
      <c r="D188" s="65"/>
      <c r="E188" s="74"/>
      <c r="F188" s="74"/>
      <c r="G188" s="74"/>
      <c r="H188" s="65"/>
      <c r="I188" s="73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</row>
    <row r="189" spans="1:27" ht="14.4">
      <c r="A189" s="65"/>
      <c r="B189" s="73"/>
      <c r="C189" s="73"/>
      <c r="D189" s="65"/>
      <c r="E189" s="74"/>
      <c r="F189" s="74"/>
      <c r="G189" s="74"/>
      <c r="H189" s="65"/>
      <c r="I189" s="73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</row>
    <row r="190" spans="1:27" ht="14.4">
      <c r="A190" s="65"/>
      <c r="B190" s="73"/>
      <c r="C190" s="73"/>
      <c r="D190" s="65"/>
      <c r="E190" s="74"/>
      <c r="F190" s="74"/>
      <c r="G190" s="74"/>
      <c r="H190" s="65"/>
      <c r="I190" s="73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</row>
    <row r="191" spans="1:27" ht="14.4">
      <c r="A191" s="65"/>
      <c r="B191" s="73"/>
      <c r="C191" s="73"/>
      <c r="D191" s="65"/>
      <c r="E191" s="74"/>
      <c r="F191" s="74"/>
      <c r="G191" s="74"/>
      <c r="H191" s="65"/>
      <c r="I191" s="73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</row>
    <row r="192" spans="1:27" ht="14.4">
      <c r="A192" s="65"/>
      <c r="B192" s="73"/>
      <c r="C192" s="73"/>
      <c r="D192" s="65"/>
      <c r="E192" s="74"/>
      <c r="F192" s="74"/>
      <c r="G192" s="74"/>
      <c r="H192" s="65"/>
      <c r="I192" s="73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</row>
    <row r="193" spans="1:27" ht="14.4">
      <c r="A193" s="65"/>
      <c r="B193" s="73"/>
      <c r="C193" s="73"/>
      <c r="D193" s="65"/>
      <c r="E193" s="74"/>
      <c r="F193" s="74"/>
      <c r="G193" s="74"/>
      <c r="H193" s="65"/>
      <c r="I193" s="73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</row>
    <row r="194" spans="1:27" ht="14.4">
      <c r="A194" s="65"/>
      <c r="B194" s="73"/>
      <c r="C194" s="73"/>
      <c r="D194" s="65"/>
      <c r="E194" s="74"/>
      <c r="F194" s="74"/>
      <c r="G194" s="74"/>
      <c r="H194" s="65"/>
      <c r="I194" s="73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</row>
    <row r="195" spans="1:27" ht="14.4">
      <c r="A195" s="65"/>
      <c r="B195" s="73"/>
      <c r="C195" s="73"/>
      <c r="D195" s="65"/>
      <c r="E195" s="74"/>
      <c r="F195" s="74"/>
      <c r="G195" s="74"/>
      <c r="H195" s="65"/>
      <c r="I195" s="73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</row>
    <row r="196" spans="1:27" ht="14.4">
      <c r="A196" s="65"/>
      <c r="B196" s="73"/>
      <c r="C196" s="73"/>
      <c r="D196" s="65"/>
      <c r="E196" s="74"/>
      <c r="F196" s="74"/>
      <c r="G196" s="74"/>
      <c r="H196" s="65"/>
      <c r="I196" s="73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</row>
    <row r="197" spans="1:27" ht="14.4">
      <c r="A197" s="65"/>
      <c r="B197" s="73"/>
      <c r="C197" s="73"/>
      <c r="D197" s="65"/>
      <c r="E197" s="74"/>
      <c r="F197" s="74"/>
      <c r="G197" s="74"/>
      <c r="H197" s="65"/>
      <c r="I197" s="73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</row>
    <row r="198" spans="1:27" ht="14.4">
      <c r="A198" s="65"/>
      <c r="B198" s="73"/>
      <c r="C198" s="73"/>
      <c r="D198" s="65"/>
      <c r="E198" s="74"/>
      <c r="F198" s="74"/>
      <c r="G198" s="74"/>
      <c r="H198" s="65"/>
      <c r="I198" s="73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</row>
    <row r="199" spans="1:27" ht="14.4">
      <c r="A199" s="65"/>
      <c r="B199" s="73"/>
      <c r="C199" s="73"/>
      <c r="D199" s="65"/>
      <c r="E199" s="74"/>
      <c r="F199" s="74"/>
      <c r="G199" s="74"/>
      <c r="H199" s="65"/>
      <c r="I199" s="73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</row>
    <row r="200" spans="1:27" ht="14.4">
      <c r="A200" s="65"/>
      <c r="B200" s="73"/>
      <c r="C200" s="73"/>
      <c r="D200" s="65"/>
      <c r="E200" s="74"/>
      <c r="F200" s="74"/>
      <c r="G200" s="74"/>
      <c r="H200" s="65"/>
      <c r="I200" s="73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</row>
    <row r="201" spans="1:27" ht="14.4">
      <c r="A201" s="65"/>
      <c r="B201" s="73"/>
      <c r="C201" s="73"/>
      <c r="D201" s="65"/>
      <c r="E201" s="74"/>
      <c r="F201" s="74"/>
      <c r="G201" s="74"/>
      <c r="H201" s="65"/>
      <c r="I201" s="73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</row>
    <row r="202" spans="1:27" ht="14.4">
      <c r="A202" s="65"/>
      <c r="B202" s="73"/>
      <c r="C202" s="73"/>
      <c r="D202" s="65"/>
      <c r="E202" s="74"/>
      <c r="F202" s="74"/>
      <c r="G202" s="74"/>
      <c r="H202" s="65"/>
      <c r="I202" s="73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</row>
    <row r="203" spans="1:27" ht="14.4">
      <c r="A203" s="65"/>
      <c r="B203" s="73"/>
      <c r="C203" s="73"/>
      <c r="D203" s="65"/>
      <c r="E203" s="74"/>
      <c r="F203" s="74"/>
      <c r="G203" s="74"/>
      <c r="H203" s="65"/>
      <c r="I203" s="73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</row>
    <row r="204" spans="1:27" ht="14.4">
      <c r="A204" s="65"/>
      <c r="B204" s="73"/>
      <c r="C204" s="73"/>
      <c r="D204" s="65"/>
      <c r="E204" s="74"/>
      <c r="F204" s="74"/>
      <c r="G204" s="74"/>
      <c r="H204" s="65"/>
      <c r="I204" s="73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</row>
    <row r="205" spans="1:27" ht="14.4">
      <c r="A205" s="65"/>
      <c r="B205" s="73"/>
      <c r="C205" s="73"/>
      <c r="D205" s="65"/>
      <c r="E205" s="74"/>
      <c r="F205" s="74"/>
      <c r="G205" s="74"/>
      <c r="H205" s="65"/>
      <c r="I205" s="73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</row>
    <row r="206" spans="1:27" ht="14.4">
      <c r="A206" s="65"/>
      <c r="B206" s="73"/>
      <c r="C206" s="73"/>
      <c r="D206" s="65"/>
      <c r="E206" s="74"/>
      <c r="F206" s="74"/>
      <c r="G206" s="74"/>
      <c r="H206" s="65"/>
      <c r="I206" s="73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</row>
    <row r="207" spans="1:27" ht="14.4">
      <c r="A207" s="65"/>
      <c r="B207" s="73"/>
      <c r="C207" s="73"/>
      <c r="D207" s="65"/>
      <c r="E207" s="74"/>
      <c r="F207" s="74"/>
      <c r="G207" s="74"/>
      <c r="H207" s="65"/>
      <c r="I207" s="73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</row>
    <row r="208" spans="1:27" ht="14.4">
      <c r="A208" s="65"/>
      <c r="B208" s="73"/>
      <c r="C208" s="73"/>
      <c r="D208" s="65"/>
      <c r="E208" s="74"/>
      <c r="F208" s="74"/>
      <c r="G208" s="74"/>
      <c r="H208" s="65"/>
      <c r="I208" s="73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</row>
    <row r="209" spans="1:27" ht="14.4">
      <c r="A209" s="65"/>
      <c r="B209" s="73"/>
      <c r="C209" s="73"/>
      <c r="D209" s="65"/>
      <c r="E209" s="74"/>
      <c r="F209" s="74"/>
      <c r="G209" s="74"/>
      <c r="H209" s="65"/>
      <c r="I209" s="73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</row>
    <row r="210" spans="1:27" ht="14.4">
      <c r="A210" s="65"/>
      <c r="B210" s="73"/>
      <c r="C210" s="73"/>
      <c r="D210" s="65"/>
      <c r="E210" s="74"/>
      <c r="F210" s="74"/>
      <c r="G210" s="74"/>
      <c r="H210" s="65"/>
      <c r="I210" s="73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</row>
    <row r="211" spans="1:27" ht="14.4">
      <c r="A211" s="65"/>
      <c r="B211" s="73"/>
      <c r="C211" s="73"/>
      <c r="D211" s="65"/>
      <c r="E211" s="74"/>
      <c r="F211" s="74"/>
      <c r="G211" s="74"/>
      <c r="H211" s="65"/>
      <c r="I211" s="73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</row>
    <row r="212" spans="1:27" ht="14.4">
      <c r="A212" s="65"/>
      <c r="B212" s="73"/>
      <c r="C212" s="73"/>
      <c r="D212" s="65"/>
      <c r="E212" s="74"/>
      <c r="F212" s="74"/>
      <c r="G212" s="74"/>
      <c r="H212" s="65"/>
      <c r="I212" s="73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</row>
    <row r="213" spans="1:27" ht="14.4">
      <c r="A213" s="65"/>
      <c r="B213" s="73"/>
      <c r="C213" s="73"/>
      <c r="D213" s="65"/>
      <c r="E213" s="74"/>
      <c r="F213" s="74"/>
      <c r="G213" s="74"/>
      <c r="H213" s="65"/>
      <c r="I213" s="73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</row>
    <row r="214" spans="1:27" ht="14.4">
      <c r="A214" s="65"/>
      <c r="B214" s="73"/>
      <c r="C214" s="73"/>
      <c r="D214" s="65"/>
      <c r="E214" s="74"/>
      <c r="F214" s="74"/>
      <c r="G214" s="74"/>
      <c r="H214" s="65"/>
      <c r="I214" s="73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</row>
    <row r="215" spans="1:27" ht="14.4">
      <c r="A215" s="65"/>
      <c r="B215" s="73"/>
      <c r="C215" s="73"/>
      <c r="D215" s="65"/>
      <c r="E215" s="74"/>
      <c r="F215" s="74"/>
      <c r="G215" s="74"/>
      <c r="H215" s="65"/>
      <c r="I215" s="73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</row>
    <row r="216" spans="1:27" ht="14.4">
      <c r="A216" s="65"/>
      <c r="B216" s="73"/>
      <c r="C216" s="73"/>
      <c r="D216" s="65"/>
      <c r="E216" s="74"/>
      <c r="F216" s="74"/>
      <c r="G216" s="74"/>
      <c r="H216" s="65"/>
      <c r="I216" s="73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</row>
    <row r="217" spans="1:27" ht="14.4">
      <c r="A217" s="65"/>
      <c r="B217" s="73"/>
      <c r="C217" s="73"/>
      <c r="D217" s="65"/>
      <c r="E217" s="74"/>
      <c r="F217" s="74"/>
      <c r="G217" s="74"/>
      <c r="H217" s="65"/>
      <c r="I217" s="73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</row>
    <row r="218" spans="1:27" ht="14.4">
      <c r="A218" s="65"/>
      <c r="B218" s="73"/>
      <c r="C218" s="73"/>
      <c r="D218" s="65"/>
      <c r="E218" s="74"/>
      <c r="F218" s="74"/>
      <c r="G218" s="74"/>
      <c r="H218" s="65"/>
      <c r="I218" s="73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</row>
    <row r="219" spans="1:27" ht="14.4">
      <c r="A219" s="65"/>
      <c r="B219" s="73"/>
      <c r="C219" s="73"/>
      <c r="D219" s="65"/>
      <c r="E219" s="74"/>
      <c r="F219" s="74"/>
      <c r="G219" s="74"/>
      <c r="H219" s="65"/>
      <c r="I219" s="73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</row>
    <row r="220" spans="1:27" ht="14.4">
      <c r="A220" s="65"/>
      <c r="B220" s="73"/>
      <c r="C220" s="73"/>
      <c r="D220" s="65"/>
      <c r="E220" s="74"/>
      <c r="F220" s="74"/>
      <c r="G220" s="74"/>
      <c r="H220" s="65"/>
      <c r="I220" s="73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</row>
    <row r="221" spans="1:27" ht="14.4">
      <c r="A221" s="65"/>
      <c r="B221" s="73"/>
      <c r="C221" s="73"/>
      <c r="D221" s="65"/>
      <c r="E221" s="74"/>
      <c r="F221" s="74"/>
      <c r="G221" s="74"/>
      <c r="H221" s="65"/>
      <c r="I221" s="73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</row>
    <row r="222" spans="1:27" ht="14.4">
      <c r="A222" s="65"/>
      <c r="B222" s="73"/>
      <c r="C222" s="73"/>
      <c r="D222" s="65"/>
      <c r="E222" s="74"/>
      <c r="F222" s="74"/>
      <c r="G222" s="74"/>
      <c r="H222" s="65"/>
      <c r="I222" s="73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</row>
    <row r="223" spans="1:27" ht="14.4">
      <c r="A223" s="65"/>
      <c r="B223" s="73"/>
      <c r="C223" s="73"/>
      <c r="D223" s="65"/>
      <c r="E223" s="74"/>
      <c r="F223" s="74"/>
      <c r="G223" s="74"/>
      <c r="H223" s="65"/>
      <c r="I223" s="73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</row>
    <row r="224" spans="1:27" ht="14.4">
      <c r="A224" s="65"/>
      <c r="B224" s="73"/>
      <c r="C224" s="73"/>
      <c r="D224" s="65"/>
      <c r="E224" s="74"/>
      <c r="F224" s="74"/>
      <c r="G224" s="74"/>
      <c r="H224" s="65"/>
      <c r="I224" s="73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</row>
    <row r="225" spans="1:27" ht="14.4">
      <c r="A225" s="65"/>
      <c r="B225" s="73"/>
      <c r="C225" s="73"/>
      <c r="D225" s="65"/>
      <c r="E225" s="74"/>
      <c r="F225" s="74"/>
      <c r="G225" s="74"/>
      <c r="H225" s="65"/>
      <c r="I225" s="73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</row>
    <row r="226" spans="1:27" ht="14.4">
      <c r="A226" s="65"/>
      <c r="B226" s="73"/>
      <c r="C226" s="73"/>
      <c r="D226" s="65"/>
      <c r="E226" s="74"/>
      <c r="F226" s="74"/>
      <c r="G226" s="74"/>
      <c r="H226" s="65"/>
      <c r="I226" s="73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</row>
    <row r="227" spans="1:27" ht="14.4">
      <c r="A227" s="65"/>
      <c r="B227" s="73"/>
      <c r="C227" s="73"/>
      <c r="D227" s="65"/>
      <c r="E227" s="74"/>
      <c r="F227" s="74"/>
      <c r="G227" s="74"/>
      <c r="H227" s="65"/>
      <c r="I227" s="73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</row>
    <row r="228" spans="1:27" ht="14.4">
      <c r="A228" s="65"/>
      <c r="B228" s="73"/>
      <c r="C228" s="73"/>
      <c r="D228" s="65"/>
      <c r="E228" s="74"/>
      <c r="F228" s="74"/>
      <c r="G228" s="74"/>
      <c r="H228" s="65"/>
      <c r="I228" s="73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</row>
    <row r="229" spans="1:27" ht="14.4">
      <c r="A229" s="65"/>
      <c r="B229" s="73"/>
      <c r="C229" s="73"/>
      <c r="D229" s="65"/>
      <c r="E229" s="74"/>
      <c r="F229" s="74"/>
      <c r="G229" s="74"/>
      <c r="H229" s="65"/>
      <c r="I229" s="73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</row>
    <row r="230" spans="1:27" ht="14.4">
      <c r="A230" s="65"/>
      <c r="B230" s="73"/>
      <c r="C230" s="73"/>
      <c r="D230" s="65"/>
      <c r="E230" s="74"/>
      <c r="F230" s="74"/>
      <c r="G230" s="74"/>
      <c r="H230" s="65"/>
      <c r="I230" s="73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</row>
    <row r="231" spans="1:27" ht="14.4">
      <c r="A231" s="65"/>
      <c r="B231" s="73"/>
      <c r="C231" s="73"/>
      <c r="D231" s="65"/>
      <c r="E231" s="74"/>
      <c r="F231" s="74"/>
      <c r="G231" s="74"/>
      <c r="H231" s="65"/>
      <c r="I231" s="73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</row>
    <row r="232" spans="1:27" ht="14.4">
      <c r="A232" s="65"/>
      <c r="B232" s="73"/>
      <c r="C232" s="73"/>
      <c r="D232" s="65"/>
      <c r="E232" s="74"/>
      <c r="F232" s="74"/>
      <c r="G232" s="74"/>
      <c r="H232" s="65"/>
      <c r="I232" s="73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</row>
    <row r="233" spans="1:27" ht="14.4">
      <c r="A233" s="65"/>
      <c r="B233" s="73"/>
      <c r="C233" s="73"/>
      <c r="D233" s="65"/>
      <c r="E233" s="74"/>
      <c r="F233" s="74"/>
      <c r="G233" s="74"/>
      <c r="H233" s="65"/>
      <c r="I233" s="73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</row>
    <row r="234" spans="1:27" ht="14.4">
      <c r="A234" s="65"/>
      <c r="B234" s="73"/>
      <c r="C234" s="73"/>
      <c r="D234" s="65"/>
      <c r="E234" s="74"/>
      <c r="F234" s="74"/>
      <c r="G234" s="74"/>
      <c r="H234" s="65"/>
      <c r="I234" s="73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</row>
    <row r="235" spans="1:27" ht="14.4">
      <c r="A235" s="65"/>
      <c r="B235" s="73"/>
      <c r="C235" s="73"/>
      <c r="D235" s="65"/>
      <c r="E235" s="74"/>
      <c r="F235" s="74"/>
      <c r="G235" s="74"/>
      <c r="H235" s="65"/>
      <c r="I235" s="73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</row>
    <row r="236" spans="1:27" ht="14.4">
      <c r="A236" s="65"/>
      <c r="B236" s="73"/>
      <c r="C236" s="73"/>
      <c r="D236" s="65"/>
      <c r="E236" s="74"/>
      <c r="F236" s="74"/>
      <c r="G236" s="74"/>
      <c r="H236" s="65"/>
      <c r="I236" s="73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</row>
    <row r="237" spans="1:27" ht="14.4">
      <c r="A237" s="65"/>
      <c r="B237" s="73"/>
      <c r="C237" s="73"/>
      <c r="D237" s="65"/>
      <c r="E237" s="74"/>
      <c r="F237" s="74"/>
      <c r="G237" s="74"/>
      <c r="H237" s="65"/>
      <c r="I237" s="73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</row>
    <row r="238" spans="1:27" ht="14.4">
      <c r="A238" s="65"/>
      <c r="B238" s="73"/>
      <c r="C238" s="73"/>
      <c r="D238" s="65"/>
      <c r="E238" s="74"/>
      <c r="F238" s="74"/>
      <c r="G238" s="74"/>
      <c r="H238" s="65"/>
      <c r="I238" s="73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</row>
    <row r="239" spans="1:27" ht="14.4">
      <c r="A239" s="65"/>
      <c r="B239" s="73"/>
      <c r="C239" s="73"/>
      <c r="D239" s="65"/>
      <c r="E239" s="74"/>
      <c r="F239" s="74"/>
      <c r="G239" s="74"/>
      <c r="H239" s="65"/>
      <c r="I239" s="73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</row>
    <row r="240" spans="1:27" ht="14.4">
      <c r="A240" s="65"/>
      <c r="B240" s="73"/>
      <c r="C240" s="73"/>
      <c r="D240" s="65"/>
      <c r="E240" s="74"/>
      <c r="F240" s="74"/>
      <c r="G240" s="74"/>
      <c r="H240" s="65"/>
      <c r="I240" s="73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</row>
    <row r="241" spans="1:27" ht="14.4">
      <c r="A241" s="65"/>
      <c r="B241" s="73"/>
      <c r="C241" s="73"/>
      <c r="D241" s="65"/>
      <c r="E241" s="74"/>
      <c r="F241" s="74"/>
      <c r="G241" s="74"/>
      <c r="H241" s="65"/>
      <c r="I241" s="73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</row>
    <row r="242" spans="1:27" ht="14.4">
      <c r="A242" s="65"/>
      <c r="B242" s="73"/>
      <c r="C242" s="73"/>
      <c r="D242" s="65"/>
      <c r="E242" s="74"/>
      <c r="F242" s="74"/>
      <c r="G242" s="74"/>
      <c r="H242" s="65"/>
      <c r="I242" s="73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</row>
    <row r="243" spans="1:27" ht="14.4">
      <c r="A243" s="65"/>
      <c r="B243" s="73"/>
      <c r="C243" s="73"/>
      <c r="D243" s="65"/>
      <c r="E243" s="74"/>
      <c r="F243" s="74"/>
      <c r="G243" s="74"/>
      <c r="H243" s="65"/>
      <c r="I243" s="73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</row>
    <row r="244" spans="1:27" ht="14.4">
      <c r="A244" s="65"/>
      <c r="B244" s="73"/>
      <c r="C244" s="73"/>
      <c r="D244" s="65"/>
      <c r="E244" s="74"/>
      <c r="F244" s="74"/>
      <c r="G244" s="74"/>
      <c r="H244" s="65"/>
      <c r="I244" s="73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</row>
    <row r="245" spans="1:27" ht="14.4">
      <c r="A245" s="65"/>
      <c r="B245" s="73"/>
      <c r="C245" s="73"/>
      <c r="D245" s="65"/>
      <c r="E245" s="74"/>
      <c r="F245" s="74"/>
      <c r="G245" s="74"/>
      <c r="H245" s="65"/>
      <c r="I245" s="73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</row>
    <row r="246" spans="1:27" ht="14.4">
      <c r="A246" s="65"/>
      <c r="B246" s="73"/>
      <c r="C246" s="73"/>
      <c r="D246" s="65"/>
      <c r="E246" s="74"/>
      <c r="F246" s="74"/>
      <c r="G246" s="74"/>
      <c r="H246" s="65"/>
      <c r="I246" s="73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</row>
    <row r="247" spans="1:27" ht="14.4">
      <c r="A247" s="65"/>
      <c r="B247" s="73"/>
      <c r="C247" s="73"/>
      <c r="D247" s="65"/>
      <c r="E247" s="74"/>
      <c r="F247" s="74"/>
      <c r="G247" s="74"/>
      <c r="H247" s="65"/>
      <c r="I247" s="73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</row>
    <row r="248" spans="1:27" ht="14.4">
      <c r="A248" s="65"/>
      <c r="B248" s="73"/>
      <c r="C248" s="73"/>
      <c r="D248" s="65"/>
      <c r="E248" s="74"/>
      <c r="F248" s="74"/>
      <c r="G248" s="74"/>
      <c r="H248" s="65"/>
      <c r="I248" s="73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</row>
    <row r="249" spans="1:27" ht="14.4">
      <c r="A249" s="65"/>
      <c r="B249" s="73"/>
      <c r="C249" s="73"/>
      <c r="D249" s="65"/>
      <c r="E249" s="74"/>
      <c r="F249" s="74"/>
      <c r="G249" s="74"/>
      <c r="H249" s="65"/>
      <c r="I249" s="73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</row>
    <row r="250" spans="1:27" ht="14.4">
      <c r="A250" s="65"/>
      <c r="B250" s="73"/>
      <c r="C250" s="73"/>
      <c r="D250" s="65"/>
      <c r="E250" s="74"/>
      <c r="F250" s="74"/>
      <c r="G250" s="74"/>
      <c r="H250" s="65"/>
      <c r="I250" s="73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</row>
    <row r="251" spans="1:27" ht="14.4">
      <c r="A251" s="65"/>
      <c r="B251" s="73"/>
      <c r="C251" s="73"/>
      <c r="D251" s="65"/>
      <c r="E251" s="74"/>
      <c r="F251" s="74"/>
      <c r="G251" s="74"/>
      <c r="H251" s="65"/>
      <c r="I251" s="73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</row>
    <row r="252" spans="1:27" ht="14.4">
      <c r="A252" s="65"/>
      <c r="B252" s="73"/>
      <c r="C252" s="73"/>
      <c r="D252" s="65"/>
      <c r="E252" s="74"/>
      <c r="F252" s="74"/>
      <c r="G252" s="74"/>
      <c r="H252" s="65"/>
      <c r="I252" s="73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</row>
    <row r="253" spans="1:27" ht="14.4">
      <c r="A253" s="65"/>
      <c r="B253" s="73"/>
      <c r="C253" s="73"/>
      <c r="D253" s="65"/>
      <c r="E253" s="74"/>
      <c r="F253" s="74"/>
      <c r="G253" s="74"/>
      <c r="H253" s="65"/>
      <c r="I253" s="73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</row>
    <row r="254" spans="1:27" ht="14.4">
      <c r="A254" s="65"/>
      <c r="B254" s="73"/>
      <c r="C254" s="73"/>
      <c r="D254" s="65"/>
      <c r="E254" s="74"/>
      <c r="F254" s="74"/>
      <c r="G254" s="74"/>
      <c r="H254" s="65"/>
      <c r="I254" s="73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</row>
    <row r="255" spans="1:27" ht="14.4">
      <c r="A255" s="65"/>
      <c r="B255" s="73"/>
      <c r="C255" s="73"/>
      <c r="D255" s="65"/>
      <c r="E255" s="74"/>
      <c r="F255" s="74"/>
      <c r="G255" s="74"/>
      <c r="H255" s="65"/>
      <c r="I255" s="73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</row>
    <row r="256" spans="1:27" ht="14.4">
      <c r="A256" s="65"/>
      <c r="B256" s="73"/>
      <c r="C256" s="73"/>
      <c r="D256" s="65"/>
      <c r="E256" s="74"/>
      <c r="F256" s="74"/>
      <c r="G256" s="74"/>
      <c r="H256" s="65"/>
      <c r="I256" s="73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</row>
    <row r="257" spans="1:27" ht="14.4">
      <c r="A257" s="65"/>
      <c r="B257" s="73"/>
      <c r="C257" s="73"/>
      <c r="D257" s="65"/>
      <c r="E257" s="74"/>
      <c r="F257" s="74"/>
      <c r="G257" s="74"/>
      <c r="H257" s="65"/>
      <c r="I257" s="73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</row>
    <row r="258" spans="1:27" ht="14.4">
      <c r="A258" s="65"/>
      <c r="B258" s="73"/>
      <c r="C258" s="73"/>
      <c r="D258" s="65"/>
      <c r="E258" s="74"/>
      <c r="F258" s="74"/>
      <c r="G258" s="74"/>
      <c r="H258" s="65"/>
      <c r="I258" s="73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</row>
    <row r="259" spans="1:27" ht="14.4">
      <c r="A259" s="65"/>
      <c r="B259" s="73"/>
      <c r="C259" s="73"/>
      <c r="D259" s="65"/>
      <c r="E259" s="74"/>
      <c r="F259" s="74"/>
      <c r="G259" s="74"/>
      <c r="H259" s="65"/>
      <c r="I259" s="73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</row>
    <row r="260" spans="1:27" ht="14.4">
      <c r="A260" s="65"/>
      <c r="B260" s="73"/>
      <c r="C260" s="73"/>
      <c r="D260" s="65"/>
      <c r="E260" s="74"/>
      <c r="F260" s="74"/>
      <c r="G260" s="74"/>
      <c r="H260" s="65"/>
      <c r="I260" s="73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</row>
    <row r="261" spans="1:27" ht="14.4">
      <c r="A261" s="65"/>
      <c r="B261" s="73"/>
      <c r="C261" s="73"/>
      <c r="D261" s="65"/>
      <c r="E261" s="74"/>
      <c r="F261" s="74"/>
      <c r="G261" s="74"/>
      <c r="H261" s="65"/>
      <c r="I261" s="73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</row>
    <row r="262" spans="1:27" ht="14.4">
      <c r="A262" s="65"/>
      <c r="B262" s="73"/>
      <c r="C262" s="73"/>
      <c r="D262" s="65"/>
      <c r="E262" s="74"/>
      <c r="F262" s="74"/>
      <c r="G262" s="74"/>
      <c r="H262" s="65"/>
      <c r="I262" s="73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</row>
    <row r="263" spans="1:27" ht="14.4">
      <c r="A263" s="65"/>
      <c r="B263" s="73"/>
      <c r="C263" s="73"/>
      <c r="D263" s="65"/>
      <c r="E263" s="74"/>
      <c r="F263" s="74"/>
      <c r="G263" s="74"/>
      <c r="H263" s="65"/>
      <c r="I263" s="73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</row>
    <row r="264" spans="1:27" ht="14.4">
      <c r="A264" s="65"/>
      <c r="B264" s="73"/>
      <c r="C264" s="73"/>
      <c r="D264" s="65"/>
      <c r="E264" s="74"/>
      <c r="F264" s="74"/>
      <c r="G264" s="74"/>
      <c r="H264" s="65"/>
      <c r="I264" s="73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</row>
    <row r="265" spans="1:27" ht="14.4">
      <c r="A265" s="65"/>
      <c r="B265" s="73"/>
      <c r="C265" s="73"/>
      <c r="D265" s="65"/>
      <c r="E265" s="74"/>
      <c r="F265" s="74"/>
      <c r="G265" s="74"/>
      <c r="H265" s="65"/>
      <c r="I265" s="73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</row>
    <row r="266" spans="1:27" ht="14.4">
      <c r="A266" s="65"/>
      <c r="B266" s="73"/>
      <c r="C266" s="73"/>
      <c r="D266" s="65"/>
      <c r="E266" s="74"/>
      <c r="F266" s="74"/>
      <c r="G266" s="74"/>
      <c r="H266" s="65"/>
      <c r="I266" s="73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</row>
    <row r="267" spans="1:27" ht="14.4">
      <c r="A267" s="65"/>
      <c r="B267" s="73"/>
      <c r="C267" s="73"/>
      <c r="D267" s="65"/>
      <c r="E267" s="74"/>
      <c r="F267" s="74"/>
      <c r="G267" s="74"/>
      <c r="H267" s="65"/>
      <c r="I267" s="73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</row>
    <row r="268" spans="1:27" ht="14.4">
      <c r="A268" s="65"/>
      <c r="B268" s="73"/>
      <c r="C268" s="73"/>
      <c r="D268" s="65"/>
      <c r="E268" s="74"/>
      <c r="F268" s="74"/>
      <c r="G268" s="74"/>
      <c r="H268" s="65"/>
      <c r="I268" s="73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</row>
    <row r="269" spans="1:27" ht="14.4">
      <c r="A269" s="65"/>
      <c r="B269" s="73"/>
      <c r="C269" s="73"/>
      <c r="D269" s="65"/>
      <c r="E269" s="74"/>
      <c r="F269" s="74"/>
      <c r="G269" s="74"/>
      <c r="H269" s="65"/>
      <c r="I269" s="73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</row>
    <row r="270" spans="1:27" ht="14.4">
      <c r="A270" s="65"/>
      <c r="B270" s="73"/>
      <c r="C270" s="73"/>
      <c r="D270" s="65"/>
      <c r="E270" s="74"/>
      <c r="F270" s="74"/>
      <c r="G270" s="74"/>
      <c r="H270" s="65"/>
      <c r="I270" s="73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</row>
    <row r="271" spans="1:27" ht="14.4">
      <c r="A271" s="65"/>
      <c r="B271" s="73"/>
      <c r="C271" s="73"/>
      <c r="D271" s="65"/>
      <c r="E271" s="74"/>
      <c r="F271" s="74"/>
      <c r="G271" s="74"/>
      <c r="H271" s="65"/>
      <c r="I271" s="73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</row>
    <row r="272" spans="1:27" ht="14.4">
      <c r="A272" s="65"/>
      <c r="B272" s="73"/>
      <c r="C272" s="73"/>
      <c r="D272" s="65"/>
      <c r="E272" s="74"/>
      <c r="F272" s="74"/>
      <c r="G272" s="74"/>
      <c r="H272" s="65"/>
      <c r="I272" s="73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</row>
    <row r="273" spans="1:27" ht="14.4">
      <c r="A273" s="65"/>
      <c r="B273" s="73"/>
      <c r="C273" s="73"/>
      <c r="D273" s="65"/>
      <c r="E273" s="74"/>
      <c r="F273" s="74"/>
      <c r="G273" s="74"/>
      <c r="H273" s="65"/>
      <c r="I273" s="73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</row>
    <row r="274" spans="1:27" ht="14.4">
      <c r="A274" s="65"/>
      <c r="B274" s="73"/>
      <c r="C274" s="73"/>
      <c r="D274" s="65"/>
      <c r="E274" s="74"/>
      <c r="F274" s="74"/>
      <c r="G274" s="74"/>
      <c r="H274" s="65"/>
      <c r="I274" s="73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</row>
    <row r="275" spans="1:27" ht="14.4">
      <c r="A275" s="65"/>
      <c r="B275" s="73"/>
      <c r="C275" s="73"/>
      <c r="D275" s="65"/>
      <c r="E275" s="74"/>
      <c r="F275" s="74"/>
      <c r="G275" s="74"/>
      <c r="H275" s="65"/>
      <c r="I275" s="73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</row>
    <row r="276" spans="1:27" ht="14.4">
      <c r="A276" s="65"/>
      <c r="B276" s="73"/>
      <c r="C276" s="73"/>
      <c r="D276" s="65"/>
      <c r="E276" s="74"/>
      <c r="F276" s="74"/>
      <c r="G276" s="74"/>
      <c r="H276" s="65"/>
      <c r="I276" s="73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</row>
    <row r="277" spans="1:27" ht="14.4">
      <c r="A277" s="65"/>
      <c r="B277" s="73"/>
      <c r="C277" s="73"/>
      <c r="D277" s="65"/>
      <c r="E277" s="74"/>
      <c r="F277" s="74"/>
      <c r="G277" s="74"/>
      <c r="H277" s="65"/>
      <c r="I277" s="73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</row>
    <row r="278" spans="1:27" ht="14.4">
      <c r="A278" s="65"/>
      <c r="B278" s="73"/>
      <c r="C278" s="73"/>
      <c r="D278" s="65"/>
      <c r="E278" s="74"/>
      <c r="F278" s="74"/>
      <c r="G278" s="74"/>
      <c r="H278" s="65"/>
      <c r="I278" s="73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</row>
    <row r="279" spans="1:27" ht="14.4">
      <c r="A279" s="65"/>
      <c r="B279" s="73"/>
      <c r="C279" s="73"/>
      <c r="D279" s="65"/>
      <c r="E279" s="74"/>
      <c r="F279" s="74"/>
      <c r="G279" s="74"/>
      <c r="H279" s="65"/>
      <c r="I279" s="73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</row>
    <row r="280" spans="1:27" ht="14.4">
      <c r="A280" s="65"/>
      <c r="B280" s="73"/>
      <c r="C280" s="73"/>
      <c r="D280" s="65"/>
      <c r="E280" s="74"/>
      <c r="F280" s="74"/>
      <c r="G280" s="74"/>
      <c r="H280" s="65"/>
      <c r="I280" s="73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</row>
    <row r="281" spans="1:27" ht="14.4">
      <c r="A281" s="65"/>
      <c r="B281" s="73"/>
      <c r="C281" s="73"/>
      <c r="D281" s="65"/>
      <c r="E281" s="74"/>
      <c r="F281" s="74"/>
      <c r="G281" s="74"/>
      <c r="H281" s="65"/>
      <c r="I281" s="73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</row>
    <row r="282" spans="1:27" ht="14.4">
      <c r="A282" s="65"/>
      <c r="B282" s="73"/>
      <c r="C282" s="73"/>
      <c r="D282" s="65"/>
      <c r="E282" s="74"/>
      <c r="F282" s="74"/>
      <c r="G282" s="74"/>
      <c r="H282" s="65"/>
      <c r="I282" s="73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</row>
    <row r="283" spans="1:27" ht="14.4">
      <c r="A283" s="65"/>
      <c r="B283" s="73"/>
      <c r="C283" s="73"/>
      <c r="D283" s="65"/>
      <c r="E283" s="74"/>
      <c r="F283" s="74"/>
      <c r="G283" s="74"/>
      <c r="H283" s="65"/>
      <c r="I283" s="73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</row>
    <row r="284" spans="1:27" ht="14.4">
      <c r="A284" s="65"/>
      <c r="B284" s="73"/>
      <c r="C284" s="73"/>
      <c r="D284" s="65"/>
      <c r="E284" s="74"/>
      <c r="F284" s="74"/>
      <c r="G284" s="74"/>
      <c r="H284" s="65"/>
      <c r="I284" s="73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</row>
    <row r="285" spans="1:27" ht="14.4">
      <c r="A285" s="65"/>
      <c r="B285" s="73"/>
      <c r="C285" s="73"/>
      <c r="D285" s="65"/>
      <c r="E285" s="74"/>
      <c r="F285" s="74"/>
      <c r="G285" s="74"/>
      <c r="H285" s="65"/>
      <c r="I285" s="73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</row>
    <row r="286" spans="1:27" ht="14.4">
      <c r="A286" s="65"/>
      <c r="B286" s="73"/>
      <c r="C286" s="73"/>
      <c r="D286" s="65"/>
      <c r="E286" s="74"/>
      <c r="F286" s="74"/>
      <c r="G286" s="74"/>
      <c r="H286" s="65"/>
      <c r="I286" s="73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</row>
    <row r="287" spans="1:27" ht="14.4">
      <c r="A287" s="65"/>
      <c r="B287" s="73"/>
      <c r="C287" s="73"/>
      <c r="D287" s="65"/>
      <c r="E287" s="74"/>
      <c r="F287" s="74"/>
      <c r="G287" s="74"/>
      <c r="H287" s="65"/>
      <c r="I287" s="73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</row>
    <row r="288" spans="1:27" ht="14.4">
      <c r="A288" s="65"/>
      <c r="B288" s="73"/>
      <c r="C288" s="73"/>
      <c r="D288" s="65"/>
      <c r="E288" s="74"/>
      <c r="F288" s="74"/>
      <c r="G288" s="74"/>
      <c r="H288" s="65"/>
      <c r="I288" s="73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</row>
    <row r="289" spans="1:27" ht="14.4">
      <c r="A289" s="65"/>
      <c r="B289" s="73"/>
      <c r="C289" s="73"/>
      <c r="D289" s="65"/>
      <c r="E289" s="74"/>
      <c r="F289" s="74"/>
      <c r="G289" s="74"/>
      <c r="H289" s="65"/>
      <c r="I289" s="73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</row>
    <row r="290" spans="1:27" ht="14.4">
      <c r="A290" s="65"/>
      <c r="B290" s="73"/>
      <c r="C290" s="73"/>
      <c r="D290" s="65"/>
      <c r="E290" s="74"/>
      <c r="F290" s="74"/>
      <c r="G290" s="74"/>
      <c r="H290" s="65"/>
      <c r="I290" s="73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</row>
    <row r="291" spans="1:27" ht="14.4">
      <c r="A291" s="65"/>
      <c r="B291" s="73"/>
      <c r="C291" s="73"/>
      <c r="D291" s="65"/>
      <c r="E291" s="74"/>
      <c r="F291" s="74"/>
      <c r="G291" s="74"/>
      <c r="H291" s="65"/>
      <c r="I291" s="73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</row>
    <row r="292" spans="1:27" ht="14.4">
      <c r="A292" s="65"/>
      <c r="B292" s="73"/>
      <c r="C292" s="73"/>
      <c r="D292" s="65"/>
      <c r="E292" s="74"/>
      <c r="F292" s="74"/>
      <c r="G292" s="74"/>
      <c r="H292" s="65"/>
      <c r="I292" s="73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</row>
    <row r="293" spans="1:27" ht="14.4">
      <c r="A293" s="65"/>
      <c r="B293" s="73"/>
      <c r="C293" s="73"/>
      <c r="D293" s="65"/>
      <c r="E293" s="74"/>
      <c r="F293" s="74"/>
      <c r="G293" s="74"/>
      <c r="H293" s="65"/>
      <c r="I293" s="73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</row>
    <row r="294" spans="1:27" ht="14.4">
      <c r="A294" s="65"/>
      <c r="B294" s="73"/>
      <c r="C294" s="73"/>
      <c r="D294" s="65"/>
      <c r="E294" s="74"/>
      <c r="F294" s="74"/>
      <c r="G294" s="74"/>
      <c r="H294" s="65"/>
      <c r="I294" s="73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</row>
    <row r="295" spans="1:27" ht="14.4">
      <c r="A295" s="65"/>
      <c r="B295" s="73"/>
      <c r="C295" s="73"/>
      <c r="D295" s="65"/>
      <c r="E295" s="74"/>
      <c r="F295" s="74"/>
      <c r="G295" s="74"/>
      <c r="H295" s="65"/>
      <c r="I295" s="73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</row>
    <row r="296" spans="1:27" ht="14.4">
      <c r="A296" s="65"/>
      <c r="B296" s="73"/>
      <c r="C296" s="73"/>
      <c r="D296" s="65"/>
      <c r="E296" s="74"/>
      <c r="F296" s="74"/>
      <c r="G296" s="74"/>
      <c r="H296" s="65"/>
      <c r="I296" s="73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</row>
    <row r="297" spans="1:27" ht="14.4">
      <c r="A297" s="65"/>
      <c r="B297" s="73"/>
      <c r="C297" s="73"/>
      <c r="D297" s="65"/>
      <c r="E297" s="74"/>
      <c r="F297" s="74"/>
      <c r="G297" s="74"/>
      <c r="H297" s="65"/>
      <c r="I297" s="73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</row>
    <row r="298" spans="1:27" ht="14.4">
      <c r="A298" s="65"/>
      <c r="B298" s="73"/>
      <c r="C298" s="73"/>
      <c r="D298" s="65"/>
      <c r="E298" s="74"/>
      <c r="F298" s="74"/>
      <c r="G298" s="74"/>
      <c r="H298" s="65"/>
      <c r="I298" s="73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</row>
    <row r="299" spans="1:27" ht="14.4">
      <c r="A299" s="65"/>
      <c r="B299" s="73"/>
      <c r="C299" s="73"/>
      <c r="D299" s="65"/>
      <c r="E299" s="74"/>
      <c r="F299" s="74"/>
      <c r="G299" s="74"/>
      <c r="H299" s="65"/>
      <c r="I299" s="73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</row>
    <row r="300" spans="1:27" ht="14.4">
      <c r="A300" s="65"/>
      <c r="B300" s="73"/>
      <c r="C300" s="73"/>
      <c r="D300" s="65"/>
      <c r="E300" s="74"/>
      <c r="F300" s="74"/>
      <c r="G300" s="74"/>
      <c r="H300" s="65"/>
      <c r="I300" s="73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</row>
    <row r="301" spans="1:27" ht="14.4">
      <c r="A301" s="65"/>
      <c r="B301" s="73"/>
      <c r="C301" s="73"/>
      <c r="D301" s="65"/>
      <c r="E301" s="74"/>
      <c r="F301" s="74"/>
      <c r="G301" s="74"/>
      <c r="H301" s="65"/>
      <c r="I301" s="73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</row>
    <row r="302" spans="1:27" ht="14.4">
      <c r="A302" s="65"/>
      <c r="B302" s="73"/>
      <c r="C302" s="73"/>
      <c r="D302" s="65"/>
      <c r="E302" s="74"/>
      <c r="F302" s="74"/>
      <c r="G302" s="74"/>
      <c r="H302" s="65"/>
      <c r="I302" s="73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</row>
    <row r="303" spans="1:27" ht="14.4">
      <c r="A303" s="65"/>
      <c r="B303" s="73"/>
      <c r="C303" s="73"/>
      <c r="D303" s="65"/>
      <c r="E303" s="74"/>
      <c r="F303" s="74"/>
      <c r="G303" s="74"/>
      <c r="H303" s="65"/>
      <c r="I303" s="73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</row>
    <row r="304" spans="1:27" ht="14.4">
      <c r="A304" s="65"/>
      <c r="B304" s="73"/>
      <c r="C304" s="73"/>
      <c r="D304" s="65"/>
      <c r="E304" s="74"/>
      <c r="F304" s="74"/>
      <c r="G304" s="74"/>
      <c r="H304" s="65"/>
      <c r="I304" s="73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</row>
    <row r="305" spans="1:27" ht="14.4">
      <c r="A305" s="65"/>
      <c r="B305" s="73"/>
      <c r="C305" s="73"/>
      <c r="D305" s="65"/>
      <c r="E305" s="74"/>
      <c r="F305" s="74"/>
      <c r="G305" s="74"/>
      <c r="H305" s="65"/>
      <c r="I305" s="73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</row>
    <row r="306" spans="1:27" ht="14.4">
      <c r="A306" s="65"/>
      <c r="B306" s="73"/>
      <c r="C306" s="73"/>
      <c r="D306" s="65"/>
      <c r="E306" s="74"/>
      <c r="F306" s="74"/>
      <c r="G306" s="74"/>
      <c r="H306" s="65"/>
      <c r="I306" s="73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</row>
    <row r="307" spans="1:27" ht="14.4">
      <c r="A307" s="65"/>
      <c r="B307" s="73"/>
      <c r="C307" s="73"/>
      <c r="D307" s="65"/>
      <c r="E307" s="74"/>
      <c r="F307" s="74"/>
      <c r="G307" s="74"/>
      <c r="H307" s="65"/>
      <c r="I307" s="73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</row>
    <row r="308" spans="1:27" ht="14.4">
      <c r="A308" s="65"/>
      <c r="B308" s="73"/>
      <c r="C308" s="73"/>
      <c r="D308" s="65"/>
      <c r="E308" s="74"/>
      <c r="F308" s="74"/>
      <c r="G308" s="74"/>
      <c r="H308" s="65"/>
      <c r="I308" s="73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</row>
    <row r="309" spans="1:27" ht="14.4">
      <c r="A309" s="65"/>
      <c r="B309" s="73"/>
      <c r="C309" s="73"/>
      <c r="D309" s="65"/>
      <c r="E309" s="74"/>
      <c r="F309" s="74"/>
      <c r="G309" s="74"/>
      <c r="H309" s="65"/>
      <c r="I309" s="73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</row>
    <row r="310" spans="1:27" ht="14.4">
      <c r="A310" s="65"/>
      <c r="B310" s="73"/>
      <c r="C310" s="73"/>
      <c r="D310" s="65"/>
      <c r="E310" s="74"/>
      <c r="F310" s="74"/>
      <c r="G310" s="74"/>
      <c r="H310" s="65"/>
      <c r="I310" s="73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</row>
    <row r="311" spans="1:27" ht="14.4">
      <c r="A311" s="65"/>
      <c r="B311" s="73"/>
      <c r="C311" s="73"/>
      <c r="D311" s="65"/>
      <c r="E311" s="74"/>
      <c r="F311" s="74"/>
      <c r="G311" s="74"/>
      <c r="H311" s="65"/>
      <c r="I311" s="73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</row>
    <row r="312" spans="1:27" ht="14.4">
      <c r="A312" s="65"/>
      <c r="B312" s="73"/>
      <c r="C312" s="73"/>
      <c r="D312" s="65"/>
      <c r="E312" s="74"/>
      <c r="F312" s="74"/>
      <c r="G312" s="74"/>
      <c r="H312" s="65"/>
      <c r="I312" s="73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</row>
    <row r="313" spans="1:27" ht="14.4">
      <c r="A313" s="65"/>
      <c r="B313" s="73"/>
      <c r="C313" s="73"/>
      <c r="D313" s="65"/>
      <c r="E313" s="74"/>
      <c r="F313" s="74"/>
      <c r="G313" s="74"/>
      <c r="H313" s="65"/>
      <c r="I313" s="73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</row>
    <row r="314" spans="1:27" ht="14.4">
      <c r="A314" s="65"/>
      <c r="B314" s="73"/>
      <c r="C314" s="73"/>
      <c r="D314" s="65"/>
      <c r="E314" s="74"/>
      <c r="F314" s="74"/>
      <c r="G314" s="74"/>
      <c r="H314" s="65"/>
      <c r="I314" s="73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</row>
    <row r="315" spans="1:27" ht="14.4">
      <c r="A315" s="65"/>
      <c r="B315" s="73"/>
      <c r="C315" s="73"/>
      <c r="D315" s="65"/>
      <c r="E315" s="74"/>
      <c r="F315" s="74"/>
      <c r="G315" s="74"/>
      <c r="H315" s="65"/>
      <c r="I315" s="73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</row>
    <row r="316" spans="1:27" ht="14.4">
      <c r="A316" s="65"/>
      <c r="B316" s="73"/>
      <c r="C316" s="73"/>
      <c r="D316" s="65"/>
      <c r="E316" s="74"/>
      <c r="F316" s="74"/>
      <c r="G316" s="74"/>
      <c r="H316" s="65"/>
      <c r="I316" s="73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</row>
    <row r="317" spans="1:27" ht="14.4">
      <c r="A317" s="65"/>
      <c r="B317" s="73"/>
      <c r="C317" s="73"/>
      <c r="D317" s="65"/>
      <c r="E317" s="74"/>
      <c r="F317" s="74"/>
      <c r="G317" s="74"/>
      <c r="H317" s="65"/>
      <c r="I317" s="73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</row>
    <row r="318" spans="1:27" ht="14.4">
      <c r="A318" s="65"/>
      <c r="B318" s="73"/>
      <c r="C318" s="73"/>
      <c r="D318" s="65"/>
      <c r="E318" s="74"/>
      <c r="F318" s="74"/>
      <c r="G318" s="74"/>
      <c r="H318" s="65"/>
      <c r="I318" s="73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</row>
    <row r="319" spans="1:27" ht="14.4">
      <c r="A319" s="65"/>
      <c r="B319" s="73"/>
      <c r="C319" s="73"/>
      <c r="D319" s="65"/>
      <c r="E319" s="74"/>
      <c r="F319" s="74"/>
      <c r="G319" s="74"/>
      <c r="H319" s="65"/>
      <c r="I319" s="73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</row>
    <row r="320" spans="1:27" ht="14.4">
      <c r="A320" s="65"/>
      <c r="B320" s="73"/>
      <c r="C320" s="73"/>
      <c r="D320" s="65"/>
      <c r="E320" s="74"/>
      <c r="F320" s="74"/>
      <c r="G320" s="74"/>
      <c r="H320" s="65"/>
      <c r="I320" s="73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</row>
    <row r="321" spans="1:27" ht="14.4">
      <c r="A321" s="65"/>
      <c r="B321" s="73"/>
      <c r="C321" s="73"/>
      <c r="D321" s="65"/>
      <c r="E321" s="74"/>
      <c r="F321" s="74"/>
      <c r="G321" s="74"/>
      <c r="H321" s="65"/>
      <c r="I321" s="73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</row>
    <row r="322" spans="1:27" ht="14.4">
      <c r="A322" s="65"/>
      <c r="B322" s="73"/>
      <c r="C322" s="73"/>
      <c r="D322" s="65"/>
      <c r="E322" s="74"/>
      <c r="F322" s="74"/>
      <c r="G322" s="74"/>
      <c r="H322" s="65"/>
      <c r="I322" s="73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</row>
    <row r="323" spans="1:27" ht="14.4">
      <c r="A323" s="65"/>
      <c r="B323" s="73"/>
      <c r="C323" s="73"/>
      <c r="D323" s="65"/>
      <c r="E323" s="74"/>
      <c r="F323" s="74"/>
      <c r="G323" s="74"/>
      <c r="H323" s="65"/>
      <c r="I323" s="73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</row>
    <row r="324" spans="1:27" ht="14.4">
      <c r="A324" s="65"/>
      <c r="B324" s="73"/>
      <c r="C324" s="73"/>
      <c r="D324" s="65"/>
      <c r="E324" s="74"/>
      <c r="F324" s="74"/>
      <c r="G324" s="74"/>
      <c r="H324" s="65"/>
      <c r="I324" s="73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</row>
    <row r="325" spans="1:27" ht="14.4">
      <c r="A325" s="65"/>
      <c r="B325" s="73"/>
      <c r="C325" s="73"/>
      <c r="D325" s="65"/>
      <c r="E325" s="74"/>
      <c r="F325" s="74"/>
      <c r="G325" s="74"/>
      <c r="H325" s="65"/>
      <c r="I325" s="73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</row>
    <row r="326" spans="1:27" ht="14.4">
      <c r="A326" s="65"/>
      <c r="B326" s="73"/>
      <c r="C326" s="73"/>
      <c r="D326" s="65"/>
      <c r="E326" s="74"/>
      <c r="F326" s="74"/>
      <c r="G326" s="74"/>
      <c r="H326" s="65"/>
      <c r="I326" s="73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</row>
    <row r="327" spans="1:27" ht="14.4">
      <c r="A327" s="65"/>
      <c r="B327" s="73"/>
      <c r="C327" s="73"/>
      <c r="D327" s="65"/>
      <c r="E327" s="74"/>
      <c r="F327" s="74"/>
      <c r="G327" s="74"/>
      <c r="H327" s="65"/>
      <c r="I327" s="73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</row>
    <row r="328" spans="1:27" ht="14.4">
      <c r="A328" s="65"/>
      <c r="B328" s="73"/>
      <c r="C328" s="73"/>
      <c r="D328" s="65"/>
      <c r="E328" s="74"/>
      <c r="F328" s="74"/>
      <c r="G328" s="74"/>
      <c r="H328" s="65"/>
      <c r="I328" s="73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</row>
    <row r="329" spans="1:27" ht="14.4">
      <c r="A329" s="65"/>
      <c r="B329" s="73"/>
      <c r="C329" s="73"/>
      <c r="D329" s="65"/>
      <c r="E329" s="74"/>
      <c r="F329" s="74"/>
      <c r="G329" s="74"/>
      <c r="H329" s="65"/>
      <c r="I329" s="73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</row>
    <row r="330" spans="1:27" ht="14.4">
      <c r="A330" s="65"/>
      <c r="B330" s="73"/>
      <c r="C330" s="73"/>
      <c r="D330" s="65"/>
      <c r="E330" s="74"/>
      <c r="F330" s="74"/>
      <c r="G330" s="74"/>
      <c r="H330" s="65"/>
      <c r="I330" s="73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</row>
    <row r="331" spans="1:27" ht="14.4">
      <c r="A331" s="65"/>
      <c r="B331" s="73"/>
      <c r="C331" s="73"/>
      <c r="D331" s="65"/>
      <c r="E331" s="74"/>
      <c r="F331" s="74"/>
      <c r="G331" s="74"/>
      <c r="H331" s="65"/>
      <c r="I331" s="73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</row>
    <row r="332" spans="1:27" ht="14.4">
      <c r="A332" s="65"/>
      <c r="B332" s="73"/>
      <c r="C332" s="73"/>
      <c r="D332" s="65"/>
      <c r="E332" s="74"/>
      <c r="F332" s="74"/>
      <c r="G332" s="74"/>
      <c r="H332" s="65"/>
      <c r="I332" s="73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</row>
    <row r="333" spans="1:27" ht="14.4">
      <c r="A333" s="65"/>
      <c r="B333" s="73"/>
      <c r="C333" s="73"/>
      <c r="D333" s="65"/>
      <c r="E333" s="74"/>
      <c r="F333" s="74"/>
      <c r="G333" s="74"/>
      <c r="H333" s="65"/>
      <c r="I333" s="73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</row>
    <row r="334" spans="1:27" ht="14.4">
      <c r="A334" s="65"/>
      <c r="B334" s="73"/>
      <c r="C334" s="73"/>
      <c r="D334" s="65"/>
      <c r="E334" s="74"/>
      <c r="F334" s="74"/>
      <c r="G334" s="74"/>
      <c r="H334" s="65"/>
      <c r="I334" s="73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</row>
    <row r="335" spans="1:27" ht="14.4">
      <c r="A335" s="65"/>
      <c r="B335" s="73"/>
      <c r="C335" s="73"/>
      <c r="D335" s="65"/>
      <c r="E335" s="74"/>
      <c r="F335" s="74"/>
      <c r="G335" s="74"/>
      <c r="H335" s="65"/>
      <c r="I335" s="73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</row>
    <row r="336" spans="1:27" ht="14.4">
      <c r="A336" s="65"/>
      <c r="B336" s="73"/>
      <c r="C336" s="73"/>
      <c r="D336" s="65"/>
      <c r="E336" s="74"/>
      <c r="F336" s="74"/>
      <c r="G336" s="74"/>
      <c r="H336" s="65"/>
      <c r="I336" s="73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</row>
    <row r="337" spans="1:27" ht="14.4">
      <c r="A337" s="65"/>
      <c r="B337" s="73"/>
      <c r="C337" s="73"/>
      <c r="D337" s="65"/>
      <c r="E337" s="74"/>
      <c r="F337" s="74"/>
      <c r="G337" s="74"/>
      <c r="H337" s="65"/>
      <c r="I337" s="73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</row>
    <row r="338" spans="1:27" ht="14.4">
      <c r="A338" s="65"/>
      <c r="B338" s="73"/>
      <c r="C338" s="73"/>
      <c r="D338" s="65"/>
      <c r="E338" s="74"/>
      <c r="F338" s="74"/>
      <c r="G338" s="74"/>
      <c r="H338" s="65"/>
      <c r="I338" s="73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</row>
    <row r="339" spans="1:27" ht="14.4">
      <c r="A339" s="65"/>
      <c r="B339" s="73"/>
      <c r="C339" s="73"/>
      <c r="D339" s="65"/>
      <c r="E339" s="74"/>
      <c r="F339" s="74"/>
      <c r="G339" s="74"/>
      <c r="H339" s="65"/>
      <c r="I339" s="73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</row>
    <row r="340" spans="1:27" ht="14.4">
      <c r="A340" s="65"/>
      <c r="B340" s="73"/>
      <c r="C340" s="73"/>
      <c r="D340" s="65"/>
      <c r="E340" s="74"/>
      <c r="F340" s="74"/>
      <c r="G340" s="74"/>
      <c r="H340" s="65"/>
      <c r="I340" s="73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</row>
    <row r="341" spans="1:27" ht="14.4">
      <c r="A341" s="65"/>
      <c r="B341" s="73"/>
      <c r="C341" s="73"/>
      <c r="D341" s="65"/>
      <c r="E341" s="74"/>
      <c r="F341" s="74"/>
      <c r="G341" s="74"/>
      <c r="H341" s="65"/>
      <c r="I341" s="73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</row>
    <row r="342" spans="1:27" ht="14.4">
      <c r="A342" s="65"/>
      <c r="B342" s="73"/>
      <c r="C342" s="73"/>
      <c r="D342" s="65"/>
      <c r="E342" s="74"/>
      <c r="F342" s="74"/>
      <c r="G342" s="74"/>
      <c r="H342" s="65"/>
      <c r="I342" s="73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</row>
    <row r="343" spans="1:27" ht="14.4">
      <c r="A343" s="65"/>
      <c r="B343" s="73"/>
      <c r="C343" s="73"/>
      <c r="D343" s="65"/>
      <c r="E343" s="74"/>
      <c r="F343" s="74"/>
      <c r="G343" s="74"/>
      <c r="H343" s="65"/>
      <c r="I343" s="73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</row>
    <row r="344" spans="1:27" ht="14.4">
      <c r="A344" s="65"/>
      <c r="B344" s="73"/>
      <c r="C344" s="73"/>
      <c r="D344" s="65"/>
      <c r="E344" s="74"/>
      <c r="F344" s="74"/>
      <c r="G344" s="74"/>
      <c r="H344" s="65"/>
      <c r="I344" s="73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</row>
    <row r="345" spans="1:27" ht="14.4">
      <c r="A345" s="65"/>
      <c r="B345" s="73"/>
      <c r="C345" s="73"/>
      <c r="D345" s="65"/>
      <c r="E345" s="74"/>
      <c r="F345" s="74"/>
      <c r="G345" s="74"/>
      <c r="H345" s="65"/>
      <c r="I345" s="73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</row>
    <row r="346" spans="1:27" ht="14.4">
      <c r="A346" s="65"/>
      <c r="B346" s="73"/>
      <c r="C346" s="73"/>
      <c r="D346" s="65"/>
      <c r="E346" s="74"/>
      <c r="F346" s="74"/>
      <c r="G346" s="74"/>
      <c r="H346" s="65"/>
      <c r="I346" s="73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</row>
    <row r="347" spans="1:27" ht="14.4">
      <c r="A347" s="65"/>
      <c r="B347" s="73"/>
      <c r="C347" s="73"/>
      <c r="D347" s="65"/>
      <c r="E347" s="74"/>
      <c r="F347" s="74"/>
      <c r="G347" s="74"/>
      <c r="H347" s="65"/>
      <c r="I347" s="73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</row>
    <row r="348" spans="1:27" ht="14.4">
      <c r="A348" s="65"/>
      <c r="B348" s="73"/>
      <c r="C348" s="73"/>
      <c r="D348" s="65"/>
      <c r="E348" s="74"/>
      <c r="F348" s="74"/>
      <c r="G348" s="74"/>
      <c r="H348" s="65"/>
      <c r="I348" s="73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</row>
    <row r="349" spans="1:27" ht="14.4">
      <c r="A349" s="65"/>
      <c r="B349" s="73"/>
      <c r="C349" s="73"/>
      <c r="D349" s="65"/>
      <c r="E349" s="74"/>
      <c r="F349" s="74"/>
      <c r="G349" s="74"/>
      <c r="H349" s="65"/>
      <c r="I349" s="73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</row>
    <row r="350" spans="1:27" ht="14.4">
      <c r="A350" s="65"/>
      <c r="B350" s="73"/>
      <c r="C350" s="73"/>
      <c r="D350" s="65"/>
      <c r="E350" s="74"/>
      <c r="F350" s="74"/>
      <c r="G350" s="74"/>
      <c r="H350" s="65"/>
      <c r="I350" s="73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</row>
    <row r="351" spans="1:27" ht="14.4">
      <c r="A351" s="65"/>
      <c r="B351" s="73"/>
      <c r="C351" s="73"/>
      <c r="D351" s="65"/>
      <c r="E351" s="74"/>
      <c r="F351" s="74"/>
      <c r="G351" s="74"/>
      <c r="H351" s="65"/>
      <c r="I351" s="73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</row>
    <row r="352" spans="1:27" ht="14.4">
      <c r="A352" s="65"/>
      <c r="B352" s="73"/>
      <c r="C352" s="73"/>
      <c r="D352" s="65"/>
      <c r="E352" s="74"/>
      <c r="F352" s="74"/>
      <c r="G352" s="74"/>
      <c r="H352" s="65"/>
      <c r="I352" s="73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</row>
    <row r="353" spans="1:27" ht="14.4">
      <c r="A353" s="65"/>
      <c r="B353" s="73"/>
      <c r="C353" s="73"/>
      <c r="D353" s="65"/>
      <c r="E353" s="74"/>
      <c r="F353" s="74"/>
      <c r="G353" s="74"/>
      <c r="H353" s="65"/>
      <c r="I353" s="73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</row>
    <row r="354" spans="1:27" ht="14.4">
      <c r="A354" s="65"/>
      <c r="B354" s="73"/>
      <c r="C354" s="73"/>
      <c r="D354" s="65"/>
      <c r="E354" s="74"/>
      <c r="F354" s="74"/>
      <c r="G354" s="74"/>
      <c r="H354" s="65"/>
      <c r="I354" s="73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</row>
    <row r="355" spans="1:27" ht="14.4">
      <c r="A355" s="65"/>
      <c r="B355" s="73"/>
      <c r="C355" s="73"/>
      <c r="D355" s="65"/>
      <c r="E355" s="74"/>
      <c r="F355" s="74"/>
      <c r="G355" s="74"/>
      <c r="H355" s="65"/>
      <c r="I355" s="73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</row>
    <row r="356" spans="1:27" ht="14.4">
      <c r="A356" s="65"/>
      <c r="B356" s="73"/>
      <c r="C356" s="73"/>
      <c r="D356" s="65"/>
      <c r="E356" s="74"/>
      <c r="F356" s="74"/>
      <c r="G356" s="74"/>
      <c r="H356" s="65"/>
      <c r="I356" s="73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</row>
    <row r="357" spans="1:27" ht="14.4">
      <c r="A357" s="65"/>
      <c r="B357" s="73"/>
      <c r="C357" s="73"/>
      <c r="D357" s="65"/>
      <c r="E357" s="74"/>
      <c r="F357" s="74"/>
      <c r="G357" s="74"/>
      <c r="H357" s="65"/>
      <c r="I357" s="73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</row>
    <row r="358" spans="1:27" ht="14.4">
      <c r="A358" s="65"/>
      <c r="B358" s="73"/>
      <c r="C358" s="73"/>
      <c r="D358" s="65"/>
      <c r="E358" s="74"/>
      <c r="F358" s="74"/>
      <c r="G358" s="74"/>
      <c r="H358" s="65"/>
      <c r="I358" s="73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</row>
    <row r="359" spans="1:27" ht="14.4">
      <c r="A359" s="65"/>
      <c r="B359" s="73"/>
      <c r="C359" s="73"/>
      <c r="D359" s="65"/>
      <c r="E359" s="74"/>
      <c r="F359" s="74"/>
      <c r="G359" s="74"/>
      <c r="H359" s="65"/>
      <c r="I359" s="73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</row>
    <row r="360" spans="1:27" ht="14.4">
      <c r="A360" s="65"/>
      <c r="B360" s="73"/>
      <c r="C360" s="73"/>
      <c r="D360" s="65"/>
      <c r="E360" s="74"/>
      <c r="F360" s="74"/>
      <c r="G360" s="74"/>
      <c r="H360" s="65"/>
      <c r="I360" s="73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</row>
    <row r="361" spans="1:27" ht="14.4">
      <c r="A361" s="65"/>
      <c r="B361" s="73"/>
      <c r="C361" s="73"/>
      <c r="D361" s="65"/>
      <c r="E361" s="74"/>
      <c r="F361" s="74"/>
      <c r="G361" s="74"/>
      <c r="H361" s="65"/>
      <c r="I361" s="73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</row>
    <row r="362" spans="1:27" ht="14.4">
      <c r="A362" s="65"/>
      <c r="B362" s="73"/>
      <c r="C362" s="73"/>
      <c r="D362" s="65"/>
      <c r="E362" s="74"/>
      <c r="F362" s="74"/>
      <c r="G362" s="74"/>
      <c r="H362" s="65"/>
      <c r="I362" s="73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</row>
    <row r="363" spans="1:27" ht="14.4">
      <c r="A363" s="65"/>
      <c r="B363" s="73"/>
      <c r="C363" s="73"/>
      <c r="D363" s="65"/>
      <c r="E363" s="74"/>
      <c r="F363" s="74"/>
      <c r="G363" s="74"/>
      <c r="H363" s="65"/>
      <c r="I363" s="73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</row>
    <row r="364" spans="1:27" ht="14.4">
      <c r="A364" s="65"/>
      <c r="B364" s="73"/>
      <c r="C364" s="73"/>
      <c r="D364" s="65"/>
      <c r="E364" s="74"/>
      <c r="F364" s="74"/>
      <c r="G364" s="74"/>
      <c r="H364" s="65"/>
      <c r="I364" s="73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</row>
    <row r="365" spans="1:27" ht="14.4">
      <c r="A365" s="65"/>
      <c r="B365" s="73"/>
      <c r="C365" s="73"/>
      <c r="D365" s="65"/>
      <c r="E365" s="74"/>
      <c r="F365" s="74"/>
      <c r="G365" s="74"/>
      <c r="H365" s="65"/>
      <c r="I365" s="73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</row>
    <row r="366" spans="1:27" ht="14.4">
      <c r="A366" s="65"/>
      <c r="B366" s="73"/>
      <c r="C366" s="73"/>
      <c r="D366" s="65"/>
      <c r="E366" s="74"/>
      <c r="F366" s="74"/>
      <c r="G366" s="74"/>
      <c r="H366" s="65"/>
      <c r="I366" s="73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</row>
    <row r="367" spans="1:27" ht="14.4">
      <c r="A367" s="65"/>
      <c r="B367" s="73"/>
      <c r="C367" s="73"/>
      <c r="D367" s="65"/>
      <c r="E367" s="74"/>
      <c r="F367" s="74"/>
      <c r="G367" s="74"/>
      <c r="H367" s="65"/>
      <c r="I367" s="73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</row>
    <row r="368" spans="1:27" ht="14.4">
      <c r="A368" s="65"/>
      <c r="B368" s="73"/>
      <c r="C368" s="73"/>
      <c r="D368" s="65"/>
      <c r="E368" s="74"/>
      <c r="F368" s="74"/>
      <c r="G368" s="74"/>
      <c r="H368" s="65"/>
      <c r="I368" s="73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</row>
    <row r="369" spans="1:27" ht="14.4">
      <c r="A369" s="65"/>
      <c r="B369" s="73"/>
      <c r="C369" s="73"/>
      <c r="D369" s="65"/>
      <c r="E369" s="74"/>
      <c r="F369" s="74"/>
      <c r="G369" s="74"/>
      <c r="H369" s="65"/>
      <c r="I369" s="73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</row>
    <row r="370" spans="1:27" ht="14.4">
      <c r="A370" s="65"/>
      <c r="B370" s="73"/>
      <c r="C370" s="73"/>
      <c r="D370" s="65"/>
      <c r="E370" s="74"/>
      <c r="F370" s="74"/>
      <c r="G370" s="74"/>
      <c r="H370" s="65"/>
      <c r="I370" s="73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</row>
    <row r="371" spans="1:27" ht="14.4">
      <c r="A371" s="65"/>
      <c r="B371" s="73"/>
      <c r="C371" s="73"/>
      <c r="D371" s="65"/>
      <c r="E371" s="74"/>
      <c r="F371" s="74"/>
      <c r="G371" s="74"/>
      <c r="H371" s="65"/>
      <c r="I371" s="73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</row>
    <row r="372" spans="1:27" ht="14.4">
      <c r="A372" s="65"/>
      <c r="B372" s="73"/>
      <c r="C372" s="73"/>
      <c r="D372" s="65"/>
      <c r="E372" s="74"/>
      <c r="F372" s="74"/>
      <c r="G372" s="74"/>
      <c r="H372" s="65"/>
      <c r="I372" s="73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</row>
    <row r="373" spans="1:27" ht="14.4">
      <c r="A373" s="65"/>
      <c r="B373" s="73"/>
      <c r="C373" s="73"/>
      <c r="D373" s="65"/>
      <c r="E373" s="74"/>
      <c r="F373" s="74"/>
      <c r="G373" s="74"/>
      <c r="H373" s="65"/>
      <c r="I373" s="73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</row>
    <row r="374" spans="1:27" ht="14.4">
      <c r="A374" s="65"/>
      <c r="B374" s="73"/>
      <c r="C374" s="73"/>
      <c r="D374" s="65"/>
      <c r="E374" s="74"/>
      <c r="F374" s="74"/>
      <c r="G374" s="74"/>
      <c r="H374" s="65"/>
      <c r="I374" s="73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</row>
    <row r="375" spans="1:27" ht="14.4">
      <c r="A375" s="65"/>
      <c r="B375" s="73"/>
      <c r="C375" s="73"/>
      <c r="D375" s="65"/>
      <c r="E375" s="74"/>
      <c r="F375" s="74"/>
      <c r="G375" s="74"/>
      <c r="H375" s="65"/>
      <c r="I375" s="73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</row>
    <row r="376" spans="1:27" ht="14.4">
      <c r="A376" s="65"/>
      <c r="B376" s="73"/>
      <c r="C376" s="73"/>
      <c r="D376" s="65"/>
      <c r="E376" s="74"/>
      <c r="F376" s="74"/>
      <c r="G376" s="74"/>
      <c r="H376" s="65"/>
      <c r="I376" s="73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</row>
    <row r="377" spans="1:27" ht="14.4">
      <c r="A377" s="65"/>
      <c r="B377" s="73"/>
      <c r="C377" s="73"/>
      <c r="D377" s="65"/>
      <c r="E377" s="74"/>
      <c r="F377" s="74"/>
      <c r="G377" s="74"/>
      <c r="H377" s="65"/>
      <c r="I377" s="73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</row>
    <row r="378" spans="1:27" ht="14.4">
      <c r="A378" s="65"/>
      <c r="B378" s="73"/>
      <c r="C378" s="73"/>
      <c r="D378" s="65"/>
      <c r="E378" s="74"/>
      <c r="F378" s="74"/>
      <c r="G378" s="74"/>
      <c r="H378" s="65"/>
      <c r="I378" s="73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</row>
    <row r="379" spans="1:27" ht="14.4">
      <c r="A379" s="65"/>
      <c r="B379" s="73"/>
      <c r="C379" s="73"/>
      <c r="D379" s="65"/>
      <c r="E379" s="74"/>
      <c r="F379" s="74"/>
      <c r="G379" s="74"/>
      <c r="H379" s="65"/>
      <c r="I379" s="73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</row>
    <row r="380" spans="1:27" ht="14.4">
      <c r="A380" s="65"/>
      <c r="B380" s="73"/>
      <c r="C380" s="73"/>
      <c r="D380" s="65"/>
      <c r="E380" s="74"/>
      <c r="F380" s="74"/>
      <c r="G380" s="74"/>
      <c r="H380" s="65"/>
      <c r="I380" s="73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</row>
    <row r="381" spans="1:27" ht="14.4">
      <c r="A381" s="65"/>
      <c r="B381" s="73"/>
      <c r="C381" s="73"/>
      <c r="D381" s="65"/>
      <c r="E381" s="74"/>
      <c r="F381" s="74"/>
      <c r="G381" s="74"/>
      <c r="H381" s="65"/>
      <c r="I381" s="73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</row>
    <row r="382" spans="1:27" ht="14.4">
      <c r="A382" s="65"/>
      <c r="B382" s="73"/>
      <c r="C382" s="73"/>
      <c r="D382" s="65"/>
      <c r="E382" s="74"/>
      <c r="F382" s="74"/>
      <c r="G382" s="74"/>
      <c r="H382" s="65"/>
      <c r="I382" s="73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</row>
    <row r="383" spans="1:27" ht="14.4">
      <c r="A383" s="65"/>
      <c r="B383" s="73"/>
      <c r="C383" s="73"/>
      <c r="D383" s="65"/>
      <c r="E383" s="74"/>
      <c r="F383" s="74"/>
      <c r="G383" s="74"/>
      <c r="H383" s="65"/>
      <c r="I383" s="73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</row>
    <row r="384" spans="1:27" ht="14.4">
      <c r="A384" s="65"/>
      <c r="B384" s="73"/>
      <c r="C384" s="73"/>
      <c r="D384" s="65"/>
      <c r="E384" s="74"/>
      <c r="F384" s="74"/>
      <c r="G384" s="74"/>
      <c r="H384" s="65"/>
      <c r="I384" s="73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</row>
    <row r="385" spans="1:27" ht="14.4">
      <c r="A385" s="65"/>
      <c r="B385" s="73"/>
      <c r="C385" s="73"/>
      <c r="D385" s="65"/>
      <c r="E385" s="74"/>
      <c r="F385" s="74"/>
      <c r="G385" s="74"/>
      <c r="H385" s="65"/>
      <c r="I385" s="73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</row>
    <row r="386" spans="1:27" ht="14.4">
      <c r="A386" s="65"/>
      <c r="B386" s="73"/>
      <c r="C386" s="73"/>
      <c r="D386" s="65"/>
      <c r="E386" s="74"/>
      <c r="F386" s="74"/>
      <c r="G386" s="74"/>
      <c r="H386" s="65"/>
      <c r="I386" s="73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</row>
    <row r="387" spans="1:27" ht="14.4">
      <c r="A387" s="65"/>
      <c r="B387" s="73"/>
      <c r="C387" s="73"/>
      <c r="D387" s="65"/>
      <c r="E387" s="74"/>
      <c r="F387" s="74"/>
      <c r="G387" s="74"/>
      <c r="H387" s="65"/>
      <c r="I387" s="73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</row>
    <row r="388" spans="1:27" ht="14.4">
      <c r="A388" s="65"/>
      <c r="B388" s="73"/>
      <c r="C388" s="73"/>
      <c r="D388" s="65"/>
      <c r="E388" s="74"/>
      <c r="F388" s="74"/>
      <c r="G388" s="74"/>
      <c r="H388" s="65"/>
      <c r="I388" s="73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</row>
    <row r="389" spans="1:27" ht="14.4">
      <c r="A389" s="65"/>
      <c r="B389" s="73"/>
      <c r="C389" s="73"/>
      <c r="D389" s="65"/>
      <c r="E389" s="74"/>
      <c r="F389" s="74"/>
      <c r="G389" s="74"/>
      <c r="H389" s="65"/>
      <c r="I389" s="73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</row>
    <row r="390" spans="1:27" ht="14.4">
      <c r="A390" s="65"/>
      <c r="B390" s="73"/>
      <c r="C390" s="73"/>
      <c r="D390" s="65"/>
      <c r="E390" s="74"/>
      <c r="F390" s="74"/>
      <c r="G390" s="74"/>
      <c r="H390" s="65"/>
      <c r="I390" s="73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</row>
    <row r="391" spans="1:27" ht="14.4">
      <c r="A391" s="65"/>
      <c r="B391" s="73"/>
      <c r="C391" s="73"/>
      <c r="D391" s="65"/>
      <c r="E391" s="74"/>
      <c r="F391" s="74"/>
      <c r="G391" s="74"/>
      <c r="H391" s="65"/>
      <c r="I391" s="73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</row>
    <row r="392" spans="1:27" ht="14.4">
      <c r="A392" s="65"/>
      <c r="B392" s="73"/>
      <c r="C392" s="73"/>
      <c r="D392" s="65"/>
      <c r="E392" s="74"/>
      <c r="F392" s="74"/>
      <c r="G392" s="74"/>
      <c r="H392" s="65"/>
      <c r="I392" s="73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</row>
    <row r="393" spans="1:27" ht="14.4">
      <c r="A393" s="65"/>
      <c r="B393" s="73"/>
      <c r="C393" s="73"/>
      <c r="D393" s="65"/>
      <c r="E393" s="74"/>
      <c r="F393" s="74"/>
      <c r="G393" s="74"/>
      <c r="H393" s="65"/>
      <c r="I393" s="73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</row>
    <row r="394" spans="1:27" ht="14.4">
      <c r="A394" s="65"/>
      <c r="B394" s="73"/>
      <c r="C394" s="73"/>
      <c r="D394" s="65"/>
      <c r="E394" s="74"/>
      <c r="F394" s="74"/>
      <c r="G394" s="74"/>
      <c r="H394" s="65"/>
      <c r="I394" s="73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</row>
    <row r="395" spans="1:27" ht="14.4">
      <c r="A395" s="65"/>
      <c r="B395" s="73"/>
      <c r="C395" s="73"/>
      <c r="D395" s="65"/>
      <c r="E395" s="74"/>
      <c r="F395" s="74"/>
      <c r="G395" s="74"/>
      <c r="H395" s="65"/>
      <c r="I395" s="73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</row>
    <row r="396" spans="1:27" ht="14.4">
      <c r="A396" s="65"/>
      <c r="B396" s="73"/>
      <c r="C396" s="73"/>
      <c r="D396" s="65"/>
      <c r="E396" s="74"/>
      <c r="F396" s="74"/>
      <c r="G396" s="74"/>
      <c r="H396" s="65"/>
      <c r="I396" s="73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</row>
    <row r="397" spans="1:27" ht="14.4">
      <c r="A397" s="65"/>
      <c r="B397" s="73"/>
      <c r="C397" s="73"/>
      <c r="D397" s="65"/>
      <c r="E397" s="74"/>
      <c r="F397" s="74"/>
      <c r="G397" s="74"/>
      <c r="H397" s="65"/>
      <c r="I397" s="73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</row>
    <row r="398" spans="1:27" ht="14.4">
      <c r="A398" s="65"/>
      <c r="B398" s="73"/>
      <c r="C398" s="73"/>
      <c r="D398" s="65"/>
      <c r="E398" s="74"/>
      <c r="F398" s="74"/>
      <c r="G398" s="74"/>
      <c r="H398" s="65"/>
      <c r="I398" s="73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</row>
    <row r="399" spans="1:27" ht="14.4">
      <c r="A399" s="65"/>
      <c r="B399" s="73"/>
      <c r="C399" s="73"/>
      <c r="D399" s="65"/>
      <c r="E399" s="74"/>
      <c r="F399" s="74"/>
      <c r="G399" s="74"/>
      <c r="H399" s="65"/>
      <c r="I399" s="73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</row>
    <row r="400" spans="1:27" ht="14.4">
      <c r="A400" s="65"/>
      <c r="B400" s="73"/>
      <c r="C400" s="73"/>
      <c r="D400" s="65"/>
      <c r="E400" s="74"/>
      <c r="F400" s="74"/>
      <c r="G400" s="74"/>
      <c r="H400" s="65"/>
      <c r="I400" s="73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</row>
    <row r="401" spans="1:27" ht="14.4">
      <c r="A401" s="65"/>
      <c r="B401" s="73"/>
      <c r="C401" s="73"/>
      <c r="D401" s="65"/>
      <c r="E401" s="74"/>
      <c r="F401" s="74"/>
      <c r="G401" s="74"/>
      <c r="H401" s="65"/>
      <c r="I401" s="73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</row>
    <row r="402" spans="1:27" ht="14.4">
      <c r="A402" s="65"/>
      <c r="B402" s="73"/>
      <c r="C402" s="73"/>
      <c r="D402" s="65"/>
      <c r="E402" s="74"/>
      <c r="F402" s="74"/>
      <c r="G402" s="74"/>
      <c r="H402" s="65"/>
      <c r="I402" s="73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</row>
    <row r="403" spans="1:27" ht="14.4">
      <c r="A403" s="65"/>
      <c r="B403" s="73"/>
      <c r="C403" s="73"/>
      <c r="D403" s="65"/>
      <c r="E403" s="74"/>
      <c r="F403" s="74"/>
      <c r="G403" s="74"/>
      <c r="H403" s="65"/>
      <c r="I403" s="73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</row>
    <row r="404" spans="1:27" ht="14.4">
      <c r="A404" s="65"/>
      <c r="B404" s="73"/>
      <c r="C404" s="73"/>
      <c r="D404" s="65"/>
      <c r="E404" s="74"/>
      <c r="F404" s="74"/>
      <c r="G404" s="74"/>
      <c r="H404" s="65"/>
      <c r="I404" s="73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</row>
    <row r="405" spans="1:27" ht="14.4">
      <c r="A405" s="65"/>
      <c r="B405" s="73"/>
      <c r="C405" s="73"/>
      <c r="D405" s="65"/>
      <c r="E405" s="74"/>
      <c r="F405" s="74"/>
      <c r="G405" s="74"/>
      <c r="H405" s="65"/>
      <c r="I405" s="73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</row>
    <row r="406" spans="1:27" ht="14.4">
      <c r="A406" s="65"/>
      <c r="B406" s="73"/>
      <c r="C406" s="73"/>
      <c r="D406" s="65"/>
      <c r="E406" s="74"/>
      <c r="F406" s="74"/>
      <c r="G406" s="74"/>
      <c r="H406" s="65"/>
      <c r="I406" s="73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</row>
    <row r="407" spans="1:27" ht="14.4">
      <c r="A407" s="65"/>
      <c r="B407" s="73"/>
      <c r="C407" s="73"/>
      <c r="D407" s="65"/>
      <c r="E407" s="74"/>
      <c r="F407" s="74"/>
      <c r="G407" s="74"/>
      <c r="H407" s="65"/>
      <c r="I407" s="73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</row>
    <row r="408" spans="1:27" ht="14.4">
      <c r="A408" s="65"/>
      <c r="B408" s="73"/>
      <c r="C408" s="73"/>
      <c r="D408" s="65"/>
      <c r="E408" s="74"/>
      <c r="F408" s="74"/>
      <c r="G408" s="74"/>
      <c r="H408" s="65"/>
      <c r="I408" s="73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</row>
    <row r="409" spans="1:27" ht="14.4">
      <c r="A409" s="65"/>
      <c r="B409" s="73"/>
      <c r="C409" s="73"/>
      <c r="D409" s="65"/>
      <c r="E409" s="74"/>
      <c r="F409" s="74"/>
      <c r="G409" s="74"/>
      <c r="H409" s="65"/>
      <c r="I409" s="73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</row>
    <row r="410" spans="1:27" ht="14.4">
      <c r="A410" s="65"/>
      <c r="B410" s="73"/>
      <c r="C410" s="73"/>
      <c r="D410" s="65"/>
      <c r="E410" s="74"/>
      <c r="F410" s="74"/>
      <c r="G410" s="74"/>
      <c r="H410" s="65"/>
      <c r="I410" s="73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</row>
    <row r="411" spans="1:27" ht="14.4">
      <c r="A411" s="65"/>
      <c r="B411" s="73"/>
      <c r="C411" s="73"/>
      <c r="D411" s="65"/>
      <c r="E411" s="74"/>
      <c r="F411" s="74"/>
      <c r="G411" s="74"/>
      <c r="H411" s="65"/>
      <c r="I411" s="73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</row>
    <row r="412" spans="1:27" ht="14.4">
      <c r="A412" s="65"/>
      <c r="B412" s="73"/>
      <c r="C412" s="73"/>
      <c r="D412" s="65"/>
      <c r="E412" s="74"/>
      <c r="F412" s="74"/>
      <c r="G412" s="74"/>
      <c r="H412" s="65"/>
      <c r="I412" s="73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</row>
    <row r="413" spans="1:27" ht="14.4">
      <c r="A413" s="65"/>
      <c r="B413" s="73"/>
      <c r="C413" s="73"/>
      <c r="D413" s="65"/>
      <c r="E413" s="74"/>
      <c r="F413" s="74"/>
      <c r="G413" s="74"/>
      <c r="H413" s="65"/>
      <c r="I413" s="73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</row>
    <row r="414" spans="1:27" ht="14.4">
      <c r="A414" s="65"/>
      <c r="B414" s="73"/>
      <c r="C414" s="73"/>
      <c r="D414" s="65"/>
      <c r="E414" s="74"/>
      <c r="F414" s="74"/>
      <c r="G414" s="74"/>
      <c r="H414" s="65"/>
      <c r="I414" s="73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</row>
    <row r="415" spans="1:27" ht="14.4">
      <c r="A415" s="65"/>
      <c r="B415" s="73"/>
      <c r="C415" s="73"/>
      <c r="D415" s="65"/>
      <c r="E415" s="74"/>
      <c r="F415" s="74"/>
      <c r="G415" s="74"/>
      <c r="H415" s="65"/>
      <c r="I415" s="73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</row>
    <row r="416" spans="1:27" ht="14.4">
      <c r="A416" s="65"/>
      <c r="B416" s="73"/>
      <c r="C416" s="73"/>
      <c r="D416" s="65"/>
      <c r="E416" s="74"/>
      <c r="F416" s="74"/>
      <c r="G416" s="74"/>
      <c r="H416" s="65"/>
      <c r="I416" s="73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</row>
    <row r="417" spans="1:27" ht="14.4">
      <c r="A417" s="65"/>
      <c r="B417" s="73"/>
      <c r="C417" s="73"/>
      <c r="D417" s="65"/>
      <c r="E417" s="74"/>
      <c r="F417" s="74"/>
      <c r="G417" s="74"/>
      <c r="H417" s="65"/>
      <c r="I417" s="73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</row>
    <row r="418" spans="1:27" ht="14.4">
      <c r="A418" s="65"/>
      <c r="B418" s="73"/>
      <c r="C418" s="73"/>
      <c r="D418" s="65"/>
      <c r="E418" s="74"/>
      <c r="F418" s="74"/>
      <c r="G418" s="74"/>
      <c r="H418" s="65"/>
      <c r="I418" s="73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</row>
    <row r="419" spans="1:27" ht="14.4">
      <c r="A419" s="65"/>
      <c r="B419" s="73"/>
      <c r="C419" s="73"/>
      <c r="D419" s="65"/>
      <c r="E419" s="74"/>
      <c r="F419" s="74"/>
      <c r="G419" s="74"/>
      <c r="H419" s="65"/>
      <c r="I419" s="73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</row>
    <row r="420" spans="1:27" ht="14.4">
      <c r="A420" s="65"/>
      <c r="B420" s="73"/>
      <c r="C420" s="73"/>
      <c r="D420" s="65"/>
      <c r="E420" s="74"/>
      <c r="F420" s="74"/>
      <c r="G420" s="74"/>
      <c r="H420" s="65"/>
      <c r="I420" s="73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</row>
    <row r="421" spans="1:27" ht="14.4">
      <c r="A421" s="65"/>
      <c r="B421" s="73"/>
      <c r="C421" s="73"/>
      <c r="D421" s="65"/>
      <c r="E421" s="74"/>
      <c r="F421" s="74"/>
      <c r="G421" s="74"/>
      <c r="H421" s="65"/>
      <c r="I421" s="73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</row>
    <row r="422" spans="1:27" ht="14.4">
      <c r="A422" s="65"/>
      <c r="B422" s="73"/>
      <c r="C422" s="73"/>
      <c r="D422" s="65"/>
      <c r="E422" s="74"/>
      <c r="F422" s="74"/>
      <c r="G422" s="74"/>
      <c r="H422" s="65"/>
      <c r="I422" s="73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</row>
    <row r="423" spans="1:27" ht="14.4">
      <c r="A423" s="65"/>
      <c r="B423" s="73"/>
      <c r="C423" s="73"/>
      <c r="D423" s="65"/>
      <c r="E423" s="74"/>
      <c r="F423" s="74"/>
      <c r="G423" s="74"/>
      <c r="H423" s="65"/>
      <c r="I423" s="73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</row>
    <row r="424" spans="1:27" ht="14.4">
      <c r="A424" s="65"/>
      <c r="B424" s="73"/>
      <c r="C424" s="73"/>
      <c r="D424" s="65"/>
      <c r="E424" s="74"/>
      <c r="F424" s="74"/>
      <c r="G424" s="74"/>
      <c r="H424" s="65"/>
      <c r="I424" s="73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</row>
    <row r="425" spans="1:27" ht="14.4">
      <c r="A425" s="65"/>
      <c r="B425" s="73"/>
      <c r="C425" s="73"/>
      <c r="D425" s="65"/>
      <c r="E425" s="74"/>
      <c r="F425" s="74"/>
      <c r="G425" s="74"/>
      <c r="H425" s="65"/>
      <c r="I425" s="73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</row>
    <row r="426" spans="1:27" ht="14.4">
      <c r="A426" s="65"/>
      <c r="B426" s="73"/>
      <c r="C426" s="73"/>
      <c r="D426" s="65"/>
      <c r="E426" s="74"/>
      <c r="F426" s="74"/>
      <c r="G426" s="74"/>
      <c r="H426" s="65"/>
      <c r="I426" s="73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</row>
    <row r="427" spans="1:27" ht="14.4">
      <c r="A427" s="65"/>
      <c r="B427" s="73"/>
      <c r="C427" s="73"/>
      <c r="D427" s="65"/>
      <c r="E427" s="74"/>
      <c r="F427" s="74"/>
      <c r="G427" s="74"/>
      <c r="H427" s="65"/>
      <c r="I427" s="73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</row>
    <row r="428" spans="1:27" ht="14.4">
      <c r="A428" s="65"/>
      <c r="B428" s="73"/>
      <c r="C428" s="73"/>
      <c r="D428" s="65"/>
      <c r="E428" s="74"/>
      <c r="F428" s="74"/>
      <c r="G428" s="74"/>
      <c r="H428" s="65"/>
      <c r="I428" s="73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</row>
    <row r="429" spans="1:27" ht="14.4">
      <c r="A429" s="65"/>
      <c r="B429" s="73"/>
      <c r="C429" s="73"/>
      <c r="D429" s="65"/>
      <c r="E429" s="74"/>
      <c r="F429" s="74"/>
      <c r="G429" s="74"/>
      <c r="H429" s="65"/>
      <c r="I429" s="73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</row>
    <row r="430" spans="1:27" ht="14.4">
      <c r="A430" s="65"/>
      <c r="B430" s="73"/>
      <c r="C430" s="73"/>
      <c r="D430" s="65"/>
      <c r="E430" s="74"/>
      <c r="F430" s="74"/>
      <c r="G430" s="74"/>
      <c r="H430" s="65"/>
      <c r="I430" s="73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</row>
    <row r="431" spans="1:27" ht="14.4">
      <c r="A431" s="65"/>
      <c r="B431" s="73"/>
      <c r="C431" s="73"/>
      <c r="D431" s="65"/>
      <c r="E431" s="74"/>
      <c r="F431" s="74"/>
      <c r="G431" s="74"/>
      <c r="H431" s="65"/>
      <c r="I431" s="73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</row>
    <row r="432" spans="1:27" ht="14.4">
      <c r="A432" s="65"/>
      <c r="B432" s="73"/>
      <c r="C432" s="73"/>
      <c r="D432" s="65"/>
      <c r="E432" s="74"/>
      <c r="F432" s="74"/>
      <c r="G432" s="74"/>
      <c r="H432" s="65"/>
      <c r="I432" s="73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</row>
    <row r="433" spans="1:27" ht="14.4">
      <c r="A433" s="65"/>
      <c r="B433" s="73"/>
      <c r="C433" s="73"/>
      <c r="D433" s="65"/>
      <c r="E433" s="74"/>
      <c r="F433" s="74"/>
      <c r="G433" s="74"/>
      <c r="H433" s="65"/>
      <c r="I433" s="73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</row>
    <row r="434" spans="1:27" ht="14.4">
      <c r="A434" s="65"/>
      <c r="B434" s="73"/>
      <c r="C434" s="73"/>
      <c r="D434" s="65"/>
      <c r="E434" s="74"/>
      <c r="F434" s="74"/>
      <c r="G434" s="74"/>
      <c r="H434" s="65"/>
      <c r="I434" s="73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</row>
    <row r="435" spans="1:27" ht="14.4">
      <c r="A435" s="65"/>
      <c r="B435" s="73"/>
      <c r="C435" s="73"/>
      <c r="D435" s="65"/>
      <c r="E435" s="74"/>
      <c r="F435" s="74"/>
      <c r="G435" s="74"/>
      <c r="H435" s="65"/>
      <c r="I435" s="73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</row>
    <row r="436" spans="1:27" ht="14.4">
      <c r="A436" s="65"/>
      <c r="B436" s="73"/>
      <c r="C436" s="73"/>
      <c r="D436" s="65"/>
      <c r="E436" s="74"/>
      <c r="F436" s="74"/>
      <c r="G436" s="74"/>
      <c r="H436" s="65"/>
      <c r="I436" s="73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</row>
    <row r="437" spans="1:27" ht="14.4">
      <c r="A437" s="65"/>
      <c r="B437" s="73"/>
      <c r="C437" s="73"/>
      <c r="D437" s="65"/>
      <c r="E437" s="74"/>
      <c r="F437" s="74"/>
      <c r="G437" s="74"/>
      <c r="H437" s="65"/>
      <c r="I437" s="73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</row>
    <row r="438" spans="1:27" ht="14.4">
      <c r="A438" s="65"/>
      <c r="B438" s="73"/>
      <c r="C438" s="73"/>
      <c r="D438" s="65"/>
      <c r="E438" s="74"/>
      <c r="F438" s="74"/>
      <c r="G438" s="74"/>
      <c r="H438" s="65"/>
      <c r="I438" s="73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</row>
    <row r="439" spans="1:27" ht="14.4">
      <c r="A439" s="65"/>
      <c r="B439" s="73"/>
      <c r="C439" s="73"/>
      <c r="D439" s="65"/>
      <c r="E439" s="74"/>
      <c r="F439" s="74"/>
      <c r="G439" s="74"/>
      <c r="H439" s="65"/>
      <c r="I439" s="73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</row>
    <row r="440" spans="1:27" ht="14.4">
      <c r="A440" s="65"/>
      <c r="B440" s="73"/>
      <c r="C440" s="73"/>
      <c r="D440" s="65"/>
      <c r="E440" s="74"/>
      <c r="F440" s="74"/>
      <c r="G440" s="74"/>
      <c r="H440" s="65"/>
      <c r="I440" s="73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</row>
    <row r="441" spans="1:27" ht="14.4">
      <c r="A441" s="65"/>
      <c r="B441" s="73"/>
      <c r="C441" s="73"/>
      <c r="D441" s="65"/>
      <c r="E441" s="74"/>
      <c r="F441" s="74"/>
      <c r="G441" s="74"/>
      <c r="H441" s="65"/>
      <c r="I441" s="73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</row>
    <row r="442" spans="1:27" ht="14.4">
      <c r="A442" s="65"/>
      <c r="B442" s="73"/>
      <c r="C442" s="73"/>
      <c r="D442" s="65"/>
      <c r="E442" s="74"/>
      <c r="F442" s="74"/>
      <c r="G442" s="74"/>
      <c r="H442" s="65"/>
      <c r="I442" s="73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</row>
    <row r="443" spans="1:27" ht="14.4">
      <c r="A443" s="65"/>
      <c r="B443" s="73"/>
      <c r="C443" s="73"/>
      <c r="D443" s="65"/>
      <c r="E443" s="74"/>
      <c r="F443" s="74"/>
      <c r="G443" s="74"/>
      <c r="H443" s="65"/>
      <c r="I443" s="73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</row>
    <row r="444" spans="1:27" ht="14.4">
      <c r="A444" s="65"/>
      <c r="B444" s="73"/>
      <c r="C444" s="73"/>
      <c r="D444" s="65"/>
      <c r="E444" s="74"/>
      <c r="F444" s="74"/>
      <c r="G444" s="74"/>
      <c r="H444" s="65"/>
      <c r="I444" s="73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</row>
    <row r="445" spans="1:27" ht="14.4">
      <c r="A445" s="65"/>
      <c r="B445" s="73"/>
      <c r="C445" s="73"/>
      <c r="D445" s="65"/>
      <c r="E445" s="74"/>
      <c r="F445" s="74"/>
      <c r="G445" s="74"/>
      <c r="H445" s="65"/>
      <c r="I445" s="73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</row>
    <row r="446" spans="1:27" ht="14.4">
      <c r="A446" s="65"/>
      <c r="B446" s="73"/>
      <c r="C446" s="73"/>
      <c r="D446" s="65"/>
      <c r="E446" s="74"/>
      <c r="F446" s="74"/>
      <c r="G446" s="74"/>
      <c r="H446" s="65"/>
      <c r="I446" s="73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</row>
    <row r="447" spans="1:27" ht="14.4">
      <c r="A447" s="65"/>
      <c r="B447" s="73"/>
      <c r="C447" s="73"/>
      <c r="D447" s="65"/>
      <c r="E447" s="74"/>
      <c r="F447" s="74"/>
      <c r="G447" s="74"/>
      <c r="H447" s="65"/>
      <c r="I447" s="73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</row>
    <row r="448" spans="1:27" ht="14.4">
      <c r="A448" s="65"/>
      <c r="B448" s="73"/>
      <c r="C448" s="73"/>
      <c r="D448" s="65"/>
      <c r="E448" s="74"/>
      <c r="F448" s="74"/>
      <c r="G448" s="74"/>
      <c r="H448" s="65"/>
      <c r="I448" s="73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</row>
    <row r="449" spans="1:27" ht="14.4">
      <c r="A449" s="65"/>
      <c r="B449" s="73"/>
      <c r="C449" s="73"/>
      <c r="D449" s="65"/>
      <c r="E449" s="74"/>
      <c r="F449" s="74"/>
      <c r="G449" s="74"/>
      <c r="H449" s="65"/>
      <c r="I449" s="73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</row>
    <row r="450" spans="1:27" ht="14.4">
      <c r="A450" s="65"/>
      <c r="B450" s="73"/>
      <c r="C450" s="73"/>
      <c r="D450" s="65"/>
      <c r="E450" s="74"/>
      <c r="F450" s="74"/>
      <c r="G450" s="74"/>
      <c r="H450" s="65"/>
      <c r="I450" s="73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</row>
    <row r="451" spans="1:27" ht="14.4">
      <c r="A451" s="65"/>
      <c r="B451" s="73"/>
      <c r="C451" s="73"/>
      <c r="D451" s="65"/>
      <c r="E451" s="74"/>
      <c r="F451" s="74"/>
      <c r="G451" s="74"/>
      <c r="H451" s="65"/>
      <c r="I451" s="73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</row>
    <row r="452" spans="1:27" ht="14.4">
      <c r="A452" s="65"/>
      <c r="B452" s="73"/>
      <c r="C452" s="73"/>
      <c r="D452" s="65"/>
      <c r="E452" s="74"/>
      <c r="F452" s="74"/>
      <c r="G452" s="74"/>
      <c r="H452" s="65"/>
      <c r="I452" s="73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</row>
    <row r="453" spans="1:27" ht="14.4">
      <c r="A453" s="65"/>
      <c r="B453" s="73"/>
      <c r="C453" s="73"/>
      <c r="D453" s="65"/>
      <c r="E453" s="74"/>
      <c r="F453" s="74"/>
      <c r="G453" s="74"/>
      <c r="H453" s="65"/>
      <c r="I453" s="73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</row>
    <row r="454" spans="1:27" ht="14.4">
      <c r="A454" s="65"/>
      <c r="B454" s="73"/>
      <c r="C454" s="73"/>
      <c r="D454" s="65"/>
      <c r="E454" s="74"/>
      <c r="F454" s="74"/>
      <c r="G454" s="74"/>
      <c r="H454" s="65"/>
      <c r="I454" s="73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</row>
    <row r="455" spans="1:27" ht="14.4">
      <c r="A455" s="65"/>
      <c r="B455" s="73"/>
      <c r="C455" s="73"/>
      <c r="D455" s="65"/>
      <c r="E455" s="74"/>
      <c r="F455" s="74"/>
      <c r="G455" s="74"/>
      <c r="H455" s="65"/>
      <c r="I455" s="73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</row>
    <row r="456" spans="1:27" ht="14.4">
      <c r="A456" s="65"/>
      <c r="B456" s="73"/>
      <c r="C456" s="73"/>
      <c r="D456" s="65"/>
      <c r="E456" s="74"/>
      <c r="F456" s="74"/>
      <c r="G456" s="74"/>
      <c r="H456" s="65"/>
      <c r="I456" s="73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</row>
    <row r="457" spans="1:27" ht="14.4">
      <c r="A457" s="65"/>
      <c r="B457" s="73"/>
      <c r="C457" s="73"/>
      <c r="D457" s="65"/>
      <c r="E457" s="74"/>
      <c r="F457" s="74"/>
      <c r="G457" s="74"/>
      <c r="H457" s="65"/>
      <c r="I457" s="73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</row>
    <row r="458" spans="1:27" ht="14.4">
      <c r="A458" s="65"/>
      <c r="B458" s="73"/>
      <c r="C458" s="73"/>
      <c r="D458" s="65"/>
      <c r="E458" s="74"/>
      <c r="F458" s="74"/>
      <c r="G458" s="74"/>
      <c r="H458" s="65"/>
      <c r="I458" s="73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</row>
    <row r="459" spans="1:27" ht="14.4">
      <c r="A459" s="65"/>
      <c r="B459" s="73"/>
      <c r="C459" s="73"/>
      <c r="D459" s="65"/>
      <c r="E459" s="74"/>
      <c r="F459" s="74"/>
      <c r="G459" s="74"/>
      <c r="H459" s="65"/>
      <c r="I459" s="73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</row>
    <row r="460" spans="1:27" ht="14.4">
      <c r="A460" s="65"/>
      <c r="B460" s="73"/>
      <c r="C460" s="73"/>
      <c r="D460" s="65"/>
      <c r="E460" s="74"/>
      <c r="F460" s="74"/>
      <c r="G460" s="74"/>
      <c r="H460" s="65"/>
      <c r="I460" s="73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</row>
    <row r="461" spans="1:27" ht="14.4">
      <c r="A461" s="65"/>
      <c r="B461" s="73"/>
      <c r="C461" s="73"/>
      <c r="D461" s="65"/>
      <c r="E461" s="74"/>
      <c r="F461" s="74"/>
      <c r="G461" s="74"/>
      <c r="H461" s="65"/>
      <c r="I461" s="73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</row>
    <row r="462" spans="1:27" ht="14.4">
      <c r="A462" s="65"/>
      <c r="B462" s="73"/>
      <c r="C462" s="73"/>
      <c r="D462" s="65"/>
      <c r="E462" s="74"/>
      <c r="F462" s="74"/>
      <c r="G462" s="74"/>
      <c r="H462" s="65"/>
      <c r="I462" s="73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</row>
    <row r="463" spans="1:27" ht="14.4">
      <c r="A463" s="65"/>
      <c r="B463" s="73"/>
      <c r="C463" s="73"/>
      <c r="D463" s="65"/>
      <c r="E463" s="74"/>
      <c r="F463" s="74"/>
      <c r="G463" s="74"/>
      <c r="H463" s="65"/>
      <c r="I463" s="73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</row>
    <row r="464" spans="1:27" ht="14.4">
      <c r="A464" s="65"/>
      <c r="B464" s="73"/>
      <c r="C464" s="73"/>
      <c r="D464" s="65"/>
      <c r="E464" s="74"/>
      <c r="F464" s="74"/>
      <c r="G464" s="74"/>
      <c r="H464" s="65"/>
      <c r="I464" s="73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</row>
    <row r="465" spans="1:27" ht="14.4">
      <c r="A465" s="65"/>
      <c r="B465" s="73"/>
      <c r="C465" s="73"/>
      <c r="D465" s="65"/>
      <c r="E465" s="74"/>
      <c r="F465" s="74"/>
      <c r="G465" s="74"/>
      <c r="H465" s="65"/>
      <c r="I465" s="73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</row>
    <row r="466" spans="1:27" ht="14.4">
      <c r="A466" s="65"/>
      <c r="B466" s="73"/>
      <c r="C466" s="73"/>
      <c r="D466" s="65"/>
      <c r="E466" s="74"/>
      <c r="F466" s="74"/>
      <c r="G466" s="74"/>
      <c r="H466" s="65"/>
      <c r="I466" s="73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</row>
    <row r="467" spans="1:27" ht="14.4">
      <c r="A467" s="65"/>
      <c r="B467" s="73"/>
      <c r="C467" s="73"/>
      <c r="D467" s="65"/>
      <c r="E467" s="74"/>
      <c r="F467" s="74"/>
      <c r="G467" s="74"/>
      <c r="H467" s="65"/>
      <c r="I467" s="73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</row>
    <row r="468" spans="1:27" ht="14.4">
      <c r="A468" s="65"/>
      <c r="B468" s="73"/>
      <c r="C468" s="73"/>
      <c r="D468" s="65"/>
      <c r="E468" s="74"/>
      <c r="F468" s="74"/>
      <c r="G468" s="74"/>
      <c r="H468" s="65"/>
      <c r="I468" s="73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</row>
    <row r="469" spans="1:27" ht="14.4">
      <c r="A469" s="65"/>
      <c r="B469" s="73"/>
      <c r="C469" s="73"/>
      <c r="D469" s="65"/>
      <c r="E469" s="74"/>
      <c r="F469" s="74"/>
      <c r="G469" s="74"/>
      <c r="H469" s="65"/>
      <c r="I469" s="73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</row>
    <row r="470" spans="1:27" ht="14.4">
      <c r="A470" s="65"/>
      <c r="B470" s="73"/>
      <c r="C470" s="73"/>
      <c r="D470" s="65"/>
      <c r="E470" s="74"/>
      <c r="F470" s="74"/>
      <c r="G470" s="74"/>
      <c r="H470" s="65"/>
      <c r="I470" s="73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</row>
    <row r="471" spans="1:27" ht="14.4">
      <c r="A471" s="65"/>
      <c r="B471" s="73"/>
      <c r="C471" s="73"/>
      <c r="D471" s="65"/>
      <c r="E471" s="74"/>
      <c r="F471" s="74"/>
      <c r="G471" s="74"/>
      <c r="H471" s="65"/>
      <c r="I471" s="73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</row>
    <row r="472" spans="1:27" ht="14.4">
      <c r="A472" s="65"/>
      <c r="B472" s="73"/>
      <c r="C472" s="73"/>
      <c r="D472" s="65"/>
      <c r="E472" s="74"/>
      <c r="F472" s="74"/>
      <c r="G472" s="74"/>
      <c r="H472" s="65"/>
      <c r="I472" s="73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</row>
    <row r="473" spans="1:27" ht="14.4">
      <c r="A473" s="65"/>
      <c r="B473" s="73"/>
      <c r="C473" s="73"/>
      <c r="D473" s="65"/>
      <c r="E473" s="74"/>
      <c r="F473" s="74"/>
      <c r="G473" s="74"/>
      <c r="H473" s="65"/>
      <c r="I473" s="73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</row>
    <row r="474" spans="1:27" ht="14.4">
      <c r="A474" s="65"/>
      <c r="B474" s="73"/>
      <c r="C474" s="73"/>
      <c r="D474" s="65"/>
      <c r="E474" s="74"/>
      <c r="F474" s="74"/>
      <c r="G474" s="74"/>
      <c r="H474" s="65"/>
      <c r="I474" s="73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</row>
    <row r="475" spans="1:27" ht="14.4">
      <c r="A475" s="65"/>
      <c r="B475" s="73"/>
      <c r="C475" s="73"/>
      <c r="D475" s="65"/>
      <c r="E475" s="74"/>
      <c r="F475" s="74"/>
      <c r="G475" s="74"/>
      <c r="H475" s="65"/>
      <c r="I475" s="73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</row>
    <row r="476" spans="1:27" ht="14.4">
      <c r="A476" s="65"/>
      <c r="B476" s="73"/>
      <c r="C476" s="73"/>
      <c r="D476" s="65"/>
      <c r="E476" s="74"/>
      <c r="F476" s="74"/>
      <c r="G476" s="74"/>
      <c r="H476" s="65"/>
      <c r="I476" s="73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</row>
    <row r="477" spans="1:27" ht="14.4">
      <c r="A477" s="65"/>
      <c r="B477" s="73"/>
      <c r="C477" s="73"/>
      <c r="D477" s="65"/>
      <c r="E477" s="74"/>
      <c r="F477" s="74"/>
      <c r="G477" s="74"/>
      <c r="H477" s="65"/>
      <c r="I477" s="73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</row>
    <row r="478" spans="1:27" ht="14.4">
      <c r="A478" s="65"/>
      <c r="B478" s="73"/>
      <c r="C478" s="73"/>
      <c r="D478" s="65"/>
      <c r="E478" s="74"/>
      <c r="F478" s="74"/>
      <c r="G478" s="74"/>
      <c r="H478" s="65"/>
      <c r="I478" s="73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</row>
    <row r="479" spans="1:27" ht="14.4">
      <c r="A479" s="65"/>
      <c r="B479" s="73"/>
      <c r="C479" s="73"/>
      <c r="D479" s="65"/>
      <c r="E479" s="74"/>
      <c r="F479" s="74"/>
      <c r="G479" s="74"/>
      <c r="H479" s="65"/>
      <c r="I479" s="73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</row>
    <row r="480" spans="1:27" ht="14.4">
      <c r="A480" s="65"/>
      <c r="B480" s="73"/>
      <c r="C480" s="73"/>
      <c r="D480" s="65"/>
      <c r="E480" s="74"/>
      <c r="F480" s="74"/>
      <c r="G480" s="74"/>
      <c r="H480" s="65"/>
      <c r="I480" s="73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</row>
    <row r="481" spans="1:27" ht="14.4">
      <c r="A481" s="65"/>
      <c r="B481" s="73"/>
      <c r="C481" s="73"/>
      <c r="D481" s="65"/>
      <c r="E481" s="74"/>
      <c r="F481" s="74"/>
      <c r="G481" s="74"/>
      <c r="H481" s="65"/>
      <c r="I481" s="73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</row>
    <row r="482" spans="1:27" ht="14.4">
      <c r="A482" s="65"/>
      <c r="B482" s="73"/>
      <c r="C482" s="73"/>
      <c r="D482" s="65"/>
      <c r="E482" s="74"/>
      <c r="F482" s="74"/>
      <c r="G482" s="74"/>
      <c r="H482" s="65"/>
      <c r="I482" s="73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</row>
    <row r="483" spans="1:27" ht="14.4">
      <c r="A483" s="65"/>
      <c r="B483" s="73"/>
      <c r="C483" s="73"/>
      <c r="D483" s="65"/>
      <c r="E483" s="74"/>
      <c r="F483" s="74"/>
      <c r="G483" s="74"/>
      <c r="H483" s="65"/>
      <c r="I483" s="73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</row>
    <row r="484" spans="1:27" ht="14.4">
      <c r="A484" s="65"/>
      <c r="B484" s="73"/>
      <c r="C484" s="73"/>
      <c r="D484" s="65"/>
      <c r="E484" s="74"/>
      <c r="F484" s="74"/>
      <c r="G484" s="74"/>
      <c r="H484" s="65"/>
      <c r="I484" s="73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</row>
    <row r="485" spans="1:27" ht="14.4">
      <c r="A485" s="65"/>
      <c r="B485" s="73"/>
      <c r="C485" s="73"/>
      <c r="D485" s="65"/>
      <c r="E485" s="74"/>
      <c r="F485" s="74"/>
      <c r="G485" s="74"/>
      <c r="H485" s="65"/>
      <c r="I485" s="73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</row>
    <row r="486" spans="1:27" ht="14.4">
      <c r="A486" s="65"/>
      <c r="B486" s="73"/>
      <c r="C486" s="73"/>
      <c r="D486" s="65"/>
      <c r="E486" s="74"/>
      <c r="F486" s="74"/>
      <c r="G486" s="74"/>
      <c r="H486" s="65"/>
      <c r="I486" s="73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</row>
    <row r="487" spans="1:27" ht="14.4">
      <c r="A487" s="65"/>
      <c r="B487" s="73"/>
      <c r="C487" s="73"/>
      <c r="D487" s="65"/>
      <c r="E487" s="74"/>
      <c r="F487" s="74"/>
      <c r="G487" s="74"/>
      <c r="H487" s="65"/>
      <c r="I487" s="73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</row>
    <row r="488" spans="1:27" ht="14.4">
      <c r="A488" s="65"/>
      <c r="B488" s="73"/>
      <c r="C488" s="73"/>
      <c r="D488" s="65"/>
      <c r="E488" s="74"/>
      <c r="F488" s="74"/>
      <c r="G488" s="74"/>
      <c r="H488" s="65"/>
      <c r="I488" s="73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</row>
    <row r="489" spans="1:27" ht="14.4">
      <c r="A489" s="65"/>
      <c r="B489" s="73"/>
      <c r="C489" s="73"/>
      <c r="D489" s="65"/>
      <c r="E489" s="74"/>
      <c r="F489" s="74"/>
      <c r="G489" s="74"/>
      <c r="H489" s="65"/>
      <c r="I489" s="73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</row>
    <row r="490" spans="1:27" ht="14.4">
      <c r="A490" s="65"/>
      <c r="B490" s="73"/>
      <c r="C490" s="73"/>
      <c r="D490" s="65"/>
      <c r="E490" s="74"/>
      <c r="F490" s="74"/>
      <c r="G490" s="74"/>
      <c r="H490" s="65"/>
      <c r="I490" s="73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</row>
    <row r="491" spans="1:27" ht="14.4">
      <c r="A491" s="65"/>
      <c r="B491" s="73"/>
      <c r="C491" s="73"/>
      <c r="D491" s="65"/>
      <c r="E491" s="74"/>
      <c r="F491" s="74"/>
      <c r="G491" s="74"/>
      <c r="H491" s="65"/>
      <c r="I491" s="73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</row>
    <row r="492" spans="1:27" ht="14.4">
      <c r="A492" s="65"/>
      <c r="B492" s="73"/>
      <c r="C492" s="73"/>
      <c r="D492" s="65"/>
      <c r="E492" s="74"/>
      <c r="F492" s="74"/>
      <c r="G492" s="74"/>
      <c r="H492" s="65"/>
      <c r="I492" s="73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</row>
    <row r="493" spans="1:27" ht="14.4">
      <c r="A493" s="65"/>
      <c r="B493" s="73"/>
      <c r="C493" s="73"/>
      <c r="D493" s="65"/>
      <c r="E493" s="74"/>
      <c r="F493" s="74"/>
      <c r="G493" s="74"/>
      <c r="H493" s="65"/>
      <c r="I493" s="73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</row>
    <row r="494" spans="1:27" ht="14.4">
      <c r="A494" s="65"/>
      <c r="B494" s="73"/>
      <c r="C494" s="73"/>
      <c r="D494" s="65"/>
      <c r="E494" s="74"/>
      <c r="F494" s="74"/>
      <c r="G494" s="74"/>
      <c r="H494" s="65"/>
      <c r="I494" s="73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</row>
    <row r="495" spans="1:27" ht="14.4">
      <c r="A495" s="65"/>
      <c r="B495" s="73"/>
      <c r="C495" s="73"/>
      <c r="D495" s="65"/>
      <c r="E495" s="74"/>
      <c r="F495" s="74"/>
      <c r="G495" s="74"/>
      <c r="H495" s="65"/>
      <c r="I495" s="73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</row>
    <row r="496" spans="1:27" ht="14.4">
      <c r="A496" s="65"/>
      <c r="B496" s="73"/>
      <c r="C496" s="73"/>
      <c r="D496" s="65"/>
      <c r="E496" s="74"/>
      <c r="F496" s="74"/>
      <c r="G496" s="74"/>
      <c r="H496" s="65"/>
      <c r="I496" s="73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</row>
    <row r="497" spans="1:27" ht="14.4">
      <c r="A497" s="65"/>
      <c r="B497" s="73"/>
      <c r="C497" s="73"/>
      <c r="D497" s="65"/>
      <c r="E497" s="74"/>
      <c r="F497" s="74"/>
      <c r="G497" s="74"/>
      <c r="H497" s="65"/>
      <c r="I497" s="73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</row>
    <row r="498" spans="1:27" ht="14.4">
      <c r="A498" s="65"/>
      <c r="B498" s="73"/>
      <c r="C498" s="73"/>
      <c r="D498" s="65"/>
      <c r="E498" s="74"/>
      <c r="F498" s="74"/>
      <c r="G498" s="74"/>
      <c r="H498" s="65"/>
      <c r="I498" s="73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</row>
    <row r="499" spans="1:27" ht="14.4">
      <c r="A499" s="65"/>
      <c r="B499" s="73"/>
      <c r="C499" s="73"/>
      <c r="D499" s="65"/>
      <c r="E499" s="74"/>
      <c r="F499" s="74"/>
      <c r="G499" s="74"/>
      <c r="H499" s="65"/>
      <c r="I499" s="73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</row>
    <row r="500" spans="1:27" ht="14.4">
      <c r="A500" s="65"/>
      <c r="B500" s="73"/>
      <c r="C500" s="73"/>
      <c r="D500" s="65"/>
      <c r="E500" s="74"/>
      <c r="F500" s="74"/>
      <c r="G500" s="74"/>
      <c r="H500" s="65"/>
      <c r="I500" s="73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</row>
    <row r="501" spans="1:27" ht="14.4">
      <c r="A501" s="65"/>
      <c r="B501" s="73"/>
      <c r="C501" s="73"/>
      <c r="D501" s="65"/>
      <c r="E501" s="74"/>
      <c r="F501" s="74"/>
      <c r="G501" s="74"/>
      <c r="H501" s="65"/>
      <c r="I501" s="73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</row>
    <row r="502" spans="1:27" ht="14.4">
      <c r="A502" s="65"/>
      <c r="B502" s="73"/>
      <c r="C502" s="73"/>
      <c r="D502" s="65"/>
      <c r="E502" s="74"/>
      <c r="F502" s="74"/>
      <c r="G502" s="74"/>
      <c r="H502" s="65"/>
      <c r="I502" s="73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</row>
    <row r="503" spans="1:27" ht="14.4">
      <c r="A503" s="65"/>
      <c r="B503" s="73"/>
      <c r="C503" s="73"/>
      <c r="D503" s="65"/>
      <c r="E503" s="74"/>
      <c r="F503" s="74"/>
      <c r="G503" s="74"/>
      <c r="H503" s="65"/>
      <c r="I503" s="73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</row>
    <row r="504" spans="1:27" ht="14.4">
      <c r="A504" s="65"/>
      <c r="B504" s="73"/>
      <c r="C504" s="73"/>
      <c r="D504" s="65"/>
      <c r="E504" s="74"/>
      <c r="F504" s="74"/>
      <c r="G504" s="74"/>
      <c r="H504" s="65"/>
      <c r="I504" s="73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</row>
    <row r="505" spans="1:27" ht="14.4">
      <c r="A505" s="65"/>
      <c r="B505" s="73"/>
      <c r="C505" s="73"/>
      <c r="D505" s="65"/>
      <c r="E505" s="74"/>
      <c r="F505" s="74"/>
      <c r="G505" s="74"/>
      <c r="H505" s="65"/>
      <c r="I505" s="73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</row>
    <row r="506" spans="1:27" ht="14.4">
      <c r="A506" s="65"/>
      <c r="B506" s="73"/>
      <c r="C506" s="73"/>
      <c r="D506" s="65"/>
      <c r="E506" s="74"/>
      <c r="F506" s="74"/>
      <c r="G506" s="74"/>
      <c r="H506" s="65"/>
      <c r="I506" s="73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</row>
    <row r="507" spans="1:27" ht="14.4">
      <c r="A507" s="65"/>
      <c r="B507" s="73"/>
      <c r="C507" s="73"/>
      <c r="D507" s="65"/>
      <c r="E507" s="74"/>
      <c r="F507" s="74"/>
      <c r="G507" s="74"/>
      <c r="H507" s="65"/>
      <c r="I507" s="73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</row>
    <row r="508" spans="1:27" ht="14.4">
      <c r="A508" s="65"/>
      <c r="B508" s="73"/>
      <c r="C508" s="73"/>
      <c r="D508" s="65"/>
      <c r="E508" s="74"/>
      <c r="F508" s="74"/>
      <c r="G508" s="74"/>
      <c r="H508" s="65"/>
      <c r="I508" s="73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</row>
    <row r="509" spans="1:27" ht="14.4">
      <c r="A509" s="65"/>
      <c r="B509" s="73"/>
      <c r="C509" s="73"/>
      <c r="D509" s="65"/>
      <c r="E509" s="74"/>
      <c r="F509" s="74"/>
      <c r="G509" s="74"/>
      <c r="H509" s="65"/>
      <c r="I509" s="73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</row>
    <row r="510" spans="1:27" ht="14.4">
      <c r="A510" s="65"/>
      <c r="B510" s="73"/>
      <c r="C510" s="73"/>
      <c r="D510" s="65"/>
      <c r="E510" s="74"/>
      <c r="F510" s="74"/>
      <c r="G510" s="74"/>
      <c r="H510" s="65"/>
      <c r="I510" s="73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</row>
    <row r="511" spans="1:27" ht="14.4">
      <c r="A511" s="65"/>
      <c r="B511" s="73"/>
      <c r="C511" s="73"/>
      <c r="D511" s="65"/>
      <c r="E511" s="74"/>
      <c r="F511" s="74"/>
      <c r="G511" s="74"/>
      <c r="H511" s="65"/>
      <c r="I511" s="73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</row>
    <row r="512" spans="1:27" ht="14.4">
      <c r="A512" s="65"/>
      <c r="B512" s="73"/>
      <c r="C512" s="73"/>
      <c r="D512" s="65"/>
      <c r="E512" s="74"/>
      <c r="F512" s="74"/>
      <c r="G512" s="74"/>
      <c r="H512" s="65"/>
      <c r="I512" s="73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</row>
    <row r="513" spans="1:27" ht="14.4">
      <c r="A513" s="65"/>
      <c r="B513" s="73"/>
      <c r="C513" s="73"/>
      <c r="D513" s="65"/>
      <c r="E513" s="74"/>
      <c r="F513" s="74"/>
      <c r="G513" s="74"/>
      <c r="H513" s="65"/>
      <c r="I513" s="73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</row>
    <row r="514" spans="1:27" ht="14.4">
      <c r="A514" s="65"/>
      <c r="B514" s="73"/>
      <c r="C514" s="73"/>
      <c r="D514" s="65"/>
      <c r="E514" s="74"/>
      <c r="F514" s="74"/>
      <c r="G514" s="74"/>
      <c r="H514" s="65"/>
      <c r="I514" s="73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</row>
    <row r="515" spans="1:27" ht="14.4">
      <c r="A515" s="65"/>
      <c r="B515" s="73"/>
      <c r="C515" s="73"/>
      <c r="D515" s="65"/>
      <c r="E515" s="74"/>
      <c r="F515" s="74"/>
      <c r="G515" s="74"/>
      <c r="H515" s="65"/>
      <c r="I515" s="73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</row>
    <row r="516" spans="1:27" ht="14.4">
      <c r="A516" s="65"/>
      <c r="B516" s="73"/>
      <c r="C516" s="73"/>
      <c r="D516" s="65"/>
      <c r="E516" s="74"/>
      <c r="F516" s="74"/>
      <c r="G516" s="74"/>
      <c r="H516" s="65"/>
      <c r="I516" s="73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</row>
    <row r="517" spans="1:27" ht="14.4">
      <c r="A517" s="65"/>
      <c r="B517" s="73"/>
      <c r="C517" s="73"/>
      <c r="D517" s="65"/>
      <c r="E517" s="74"/>
      <c r="F517" s="74"/>
      <c r="G517" s="74"/>
      <c r="H517" s="65"/>
      <c r="I517" s="73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</row>
    <row r="518" spans="1:27" ht="14.4">
      <c r="A518" s="65"/>
      <c r="B518" s="73"/>
      <c r="C518" s="73"/>
      <c r="D518" s="65"/>
      <c r="E518" s="74"/>
      <c r="F518" s="74"/>
      <c r="G518" s="74"/>
      <c r="H518" s="65"/>
      <c r="I518" s="73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</row>
    <row r="519" spans="1:27" ht="14.4">
      <c r="A519" s="65"/>
      <c r="B519" s="73"/>
      <c r="C519" s="73"/>
      <c r="D519" s="65"/>
      <c r="E519" s="74"/>
      <c r="F519" s="74"/>
      <c r="G519" s="74"/>
      <c r="H519" s="65"/>
      <c r="I519" s="73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</row>
    <row r="520" spans="1:27" ht="14.4">
      <c r="A520" s="65"/>
      <c r="B520" s="73"/>
      <c r="C520" s="73"/>
      <c r="D520" s="65"/>
      <c r="E520" s="74"/>
      <c r="F520" s="74"/>
      <c r="G520" s="74"/>
      <c r="H520" s="65"/>
      <c r="I520" s="73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</row>
    <row r="521" spans="1:27" ht="14.4">
      <c r="A521" s="65"/>
      <c r="B521" s="73"/>
      <c r="C521" s="73"/>
      <c r="D521" s="65"/>
      <c r="E521" s="74"/>
      <c r="F521" s="74"/>
      <c r="G521" s="74"/>
      <c r="H521" s="65"/>
      <c r="I521" s="73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</row>
    <row r="522" spans="1:27" ht="14.4">
      <c r="A522" s="65"/>
      <c r="B522" s="73"/>
      <c r="C522" s="73"/>
      <c r="D522" s="65"/>
      <c r="E522" s="74"/>
      <c r="F522" s="74"/>
      <c r="G522" s="74"/>
      <c r="H522" s="65"/>
      <c r="I522" s="73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</row>
    <row r="523" spans="1:27" ht="14.4">
      <c r="A523" s="65"/>
      <c r="B523" s="73"/>
      <c r="C523" s="73"/>
      <c r="D523" s="65"/>
      <c r="E523" s="74"/>
      <c r="F523" s="74"/>
      <c r="G523" s="74"/>
      <c r="H523" s="65"/>
      <c r="I523" s="73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</row>
    <row r="524" spans="1:27" ht="14.4">
      <c r="A524" s="65"/>
      <c r="B524" s="73"/>
      <c r="C524" s="73"/>
      <c r="D524" s="65"/>
      <c r="E524" s="74"/>
      <c r="F524" s="74"/>
      <c r="G524" s="74"/>
      <c r="H524" s="65"/>
      <c r="I524" s="73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</row>
    <row r="525" spans="1:27" ht="14.4">
      <c r="A525" s="65"/>
      <c r="B525" s="73"/>
      <c r="C525" s="73"/>
      <c r="D525" s="65"/>
      <c r="E525" s="74"/>
      <c r="F525" s="74"/>
      <c r="G525" s="74"/>
      <c r="H525" s="65"/>
      <c r="I525" s="73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</row>
    <row r="526" spans="1:27" ht="14.4">
      <c r="A526" s="65"/>
      <c r="B526" s="73"/>
      <c r="C526" s="73"/>
      <c r="D526" s="65"/>
      <c r="E526" s="74"/>
      <c r="F526" s="74"/>
      <c r="G526" s="74"/>
      <c r="H526" s="65"/>
      <c r="I526" s="73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</row>
    <row r="527" spans="1:27" ht="14.4">
      <c r="A527" s="65"/>
      <c r="B527" s="73"/>
      <c r="C527" s="73"/>
      <c r="D527" s="65"/>
      <c r="E527" s="74"/>
      <c r="F527" s="74"/>
      <c r="G527" s="74"/>
      <c r="H527" s="65"/>
      <c r="I527" s="73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</row>
    <row r="528" spans="1:27" ht="14.4">
      <c r="A528" s="65"/>
      <c r="B528" s="73"/>
      <c r="C528" s="73"/>
      <c r="D528" s="65"/>
      <c r="E528" s="74"/>
      <c r="F528" s="74"/>
      <c r="G528" s="74"/>
      <c r="H528" s="65"/>
      <c r="I528" s="73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</row>
    <row r="529" spans="1:27" ht="14.4">
      <c r="A529" s="65"/>
      <c r="B529" s="73"/>
      <c r="C529" s="73"/>
      <c r="D529" s="65"/>
      <c r="E529" s="74"/>
      <c r="F529" s="74"/>
      <c r="G529" s="74"/>
      <c r="H529" s="65"/>
      <c r="I529" s="73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</row>
    <row r="530" spans="1:27" ht="14.4">
      <c r="A530" s="65"/>
      <c r="B530" s="73"/>
      <c r="C530" s="73"/>
      <c r="D530" s="65"/>
      <c r="E530" s="74"/>
      <c r="F530" s="74"/>
      <c r="G530" s="74"/>
      <c r="H530" s="65"/>
      <c r="I530" s="73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</row>
    <row r="531" spans="1:27" ht="14.4">
      <c r="A531" s="65"/>
      <c r="B531" s="73"/>
      <c r="C531" s="73"/>
      <c r="D531" s="65"/>
      <c r="E531" s="74"/>
      <c r="F531" s="74"/>
      <c r="G531" s="74"/>
      <c r="H531" s="65"/>
      <c r="I531" s="73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</row>
    <row r="532" spans="1:27" ht="14.4">
      <c r="A532" s="65"/>
      <c r="B532" s="73"/>
      <c r="C532" s="73"/>
      <c r="D532" s="65"/>
      <c r="E532" s="74"/>
      <c r="F532" s="74"/>
      <c r="G532" s="74"/>
      <c r="H532" s="65"/>
      <c r="I532" s="73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</row>
    <row r="533" spans="1:27" ht="14.4">
      <c r="A533" s="65"/>
      <c r="B533" s="73"/>
      <c r="C533" s="73"/>
      <c r="D533" s="65"/>
      <c r="E533" s="74"/>
      <c r="F533" s="74"/>
      <c r="G533" s="74"/>
      <c r="H533" s="65"/>
      <c r="I533" s="73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</row>
    <row r="534" spans="1:27" ht="14.4">
      <c r="A534" s="65"/>
      <c r="B534" s="73"/>
      <c r="C534" s="73"/>
      <c r="D534" s="65"/>
      <c r="E534" s="74"/>
      <c r="F534" s="74"/>
      <c r="G534" s="74"/>
      <c r="H534" s="65"/>
      <c r="I534" s="73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</row>
    <row r="535" spans="1:27" ht="14.4">
      <c r="A535" s="65"/>
      <c r="B535" s="73"/>
      <c r="C535" s="73"/>
      <c r="D535" s="65"/>
      <c r="E535" s="74"/>
      <c r="F535" s="74"/>
      <c r="G535" s="74"/>
      <c r="H535" s="65"/>
      <c r="I535" s="73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</row>
    <row r="536" spans="1:27" ht="14.4">
      <c r="A536" s="65"/>
      <c r="B536" s="73"/>
      <c r="C536" s="73"/>
      <c r="D536" s="65"/>
      <c r="E536" s="74"/>
      <c r="F536" s="74"/>
      <c r="G536" s="74"/>
      <c r="H536" s="65"/>
      <c r="I536" s="73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</row>
    <row r="537" spans="1:27" ht="14.4">
      <c r="A537" s="65"/>
      <c r="B537" s="73"/>
      <c r="C537" s="73"/>
      <c r="D537" s="65"/>
      <c r="E537" s="74"/>
      <c r="F537" s="74"/>
      <c r="G537" s="74"/>
      <c r="H537" s="65"/>
      <c r="I537" s="73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</row>
    <row r="538" spans="1:27" ht="14.4">
      <c r="A538" s="65"/>
      <c r="B538" s="73"/>
      <c r="C538" s="73"/>
      <c r="D538" s="65"/>
      <c r="E538" s="74"/>
      <c r="F538" s="74"/>
      <c r="G538" s="74"/>
      <c r="H538" s="65"/>
      <c r="I538" s="73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</row>
    <row r="539" spans="1:27" ht="14.4">
      <c r="A539" s="65"/>
      <c r="B539" s="73"/>
      <c r="C539" s="73"/>
      <c r="D539" s="65"/>
      <c r="E539" s="74"/>
      <c r="F539" s="74"/>
      <c r="G539" s="74"/>
      <c r="H539" s="65"/>
      <c r="I539" s="73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</row>
    <row r="540" spans="1:27" ht="14.4">
      <c r="A540" s="65"/>
      <c r="B540" s="73"/>
      <c r="C540" s="73"/>
      <c r="D540" s="65"/>
      <c r="E540" s="74"/>
      <c r="F540" s="74"/>
      <c r="G540" s="74"/>
      <c r="H540" s="65"/>
      <c r="I540" s="73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</row>
    <row r="541" spans="1:27" ht="14.4">
      <c r="A541" s="65"/>
      <c r="B541" s="73"/>
      <c r="C541" s="73"/>
      <c r="D541" s="65"/>
      <c r="E541" s="74"/>
      <c r="F541" s="74"/>
      <c r="G541" s="74"/>
      <c r="H541" s="65"/>
      <c r="I541" s="73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</row>
    <row r="542" spans="1:27" ht="14.4">
      <c r="A542" s="65"/>
      <c r="B542" s="73"/>
      <c r="C542" s="73"/>
      <c r="D542" s="65"/>
      <c r="E542" s="74"/>
      <c r="F542" s="74"/>
      <c r="G542" s="74"/>
      <c r="H542" s="65"/>
      <c r="I542" s="73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</row>
    <row r="543" spans="1:27" ht="14.4">
      <c r="A543" s="65"/>
      <c r="B543" s="73"/>
      <c r="C543" s="73"/>
      <c r="D543" s="65"/>
      <c r="E543" s="74"/>
      <c r="F543" s="74"/>
      <c r="G543" s="74"/>
      <c r="H543" s="65"/>
      <c r="I543" s="73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</row>
    <row r="544" spans="1:27" ht="14.4">
      <c r="A544" s="65"/>
      <c r="B544" s="73"/>
      <c r="C544" s="73"/>
      <c r="D544" s="65"/>
      <c r="E544" s="74"/>
      <c r="F544" s="74"/>
      <c r="G544" s="74"/>
      <c r="H544" s="65"/>
      <c r="I544" s="73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</row>
    <row r="545" spans="1:27" ht="14.4">
      <c r="A545" s="65"/>
      <c r="B545" s="73"/>
      <c r="C545" s="73"/>
      <c r="D545" s="65"/>
      <c r="E545" s="74"/>
      <c r="F545" s="74"/>
      <c r="G545" s="74"/>
      <c r="H545" s="65"/>
      <c r="I545" s="73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</row>
    <row r="546" spans="1:27" ht="14.4">
      <c r="A546" s="65"/>
      <c r="B546" s="73"/>
      <c r="C546" s="73"/>
      <c r="D546" s="65"/>
      <c r="E546" s="74"/>
      <c r="F546" s="74"/>
      <c r="G546" s="74"/>
      <c r="H546" s="65"/>
      <c r="I546" s="73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</row>
    <row r="547" spans="1:27" ht="14.4">
      <c r="A547" s="65"/>
      <c r="B547" s="73"/>
      <c r="C547" s="73"/>
      <c r="D547" s="65"/>
      <c r="E547" s="74"/>
      <c r="F547" s="74"/>
      <c r="G547" s="74"/>
      <c r="H547" s="65"/>
      <c r="I547" s="73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</row>
    <row r="548" spans="1:27" ht="14.4">
      <c r="A548" s="65"/>
      <c r="B548" s="73"/>
      <c r="C548" s="73"/>
      <c r="D548" s="65"/>
      <c r="E548" s="74"/>
      <c r="F548" s="74"/>
      <c r="G548" s="74"/>
      <c r="H548" s="65"/>
      <c r="I548" s="73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</row>
    <row r="549" spans="1:27" ht="14.4">
      <c r="A549" s="65"/>
      <c r="B549" s="73"/>
      <c r="C549" s="73"/>
      <c r="D549" s="65"/>
      <c r="E549" s="74"/>
      <c r="F549" s="74"/>
      <c r="G549" s="74"/>
      <c r="H549" s="65"/>
      <c r="I549" s="73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</row>
    <row r="550" spans="1:27" ht="14.4">
      <c r="A550" s="65"/>
      <c r="B550" s="73"/>
      <c r="C550" s="73"/>
      <c r="D550" s="65"/>
      <c r="E550" s="74"/>
      <c r="F550" s="74"/>
      <c r="G550" s="74"/>
      <c r="H550" s="65"/>
      <c r="I550" s="73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</row>
    <row r="551" spans="1:27" ht="14.4">
      <c r="A551" s="65"/>
      <c r="B551" s="73"/>
      <c r="C551" s="73"/>
      <c r="D551" s="65"/>
      <c r="E551" s="74"/>
      <c r="F551" s="74"/>
      <c r="G551" s="74"/>
      <c r="H551" s="65"/>
      <c r="I551" s="73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</row>
    <row r="552" spans="1:27" ht="14.4">
      <c r="A552" s="65"/>
      <c r="B552" s="73"/>
      <c r="C552" s="73"/>
      <c r="D552" s="65"/>
      <c r="E552" s="74"/>
      <c r="F552" s="74"/>
      <c r="G552" s="74"/>
      <c r="H552" s="65"/>
      <c r="I552" s="73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</row>
    <row r="553" spans="1:27" ht="14.4">
      <c r="A553" s="65"/>
      <c r="B553" s="73"/>
      <c r="C553" s="73"/>
      <c r="D553" s="65"/>
      <c r="E553" s="74"/>
      <c r="F553" s="74"/>
      <c r="G553" s="74"/>
      <c r="H553" s="65"/>
      <c r="I553" s="73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</row>
    <row r="554" spans="1:27" ht="14.4">
      <c r="A554" s="65"/>
      <c r="B554" s="73"/>
      <c r="C554" s="73"/>
      <c r="D554" s="65"/>
      <c r="E554" s="74"/>
      <c r="F554" s="74"/>
      <c r="G554" s="74"/>
      <c r="H554" s="65"/>
      <c r="I554" s="73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</row>
    <row r="555" spans="1:27" ht="14.4">
      <c r="A555" s="65"/>
      <c r="B555" s="73"/>
      <c r="C555" s="73"/>
      <c r="D555" s="65"/>
      <c r="E555" s="74"/>
      <c r="F555" s="74"/>
      <c r="G555" s="74"/>
      <c r="H555" s="65"/>
      <c r="I555" s="73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</row>
    <row r="556" spans="1:27" ht="14.4">
      <c r="A556" s="65"/>
      <c r="B556" s="73"/>
      <c r="C556" s="73"/>
      <c r="D556" s="65"/>
      <c r="E556" s="74"/>
      <c r="F556" s="74"/>
      <c r="G556" s="74"/>
      <c r="H556" s="65"/>
      <c r="I556" s="73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</row>
    <row r="557" spans="1:27" ht="14.4">
      <c r="A557" s="65"/>
      <c r="B557" s="73"/>
      <c r="C557" s="73"/>
      <c r="D557" s="65"/>
      <c r="E557" s="74"/>
      <c r="F557" s="74"/>
      <c r="G557" s="74"/>
      <c r="H557" s="65"/>
      <c r="I557" s="73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</row>
    <row r="558" spans="1:27" ht="14.4">
      <c r="A558" s="65"/>
      <c r="B558" s="73"/>
      <c r="C558" s="73"/>
      <c r="D558" s="65"/>
      <c r="E558" s="74"/>
      <c r="F558" s="74"/>
      <c r="G558" s="74"/>
      <c r="H558" s="65"/>
      <c r="I558" s="73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</row>
    <row r="559" spans="1:27" ht="14.4">
      <c r="A559" s="65"/>
      <c r="B559" s="73"/>
      <c r="C559" s="73"/>
      <c r="D559" s="65"/>
      <c r="E559" s="74"/>
      <c r="F559" s="74"/>
      <c r="G559" s="74"/>
      <c r="H559" s="65"/>
      <c r="I559" s="73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</row>
    <row r="560" spans="1:27" ht="14.4">
      <c r="A560" s="65"/>
      <c r="B560" s="73"/>
      <c r="C560" s="73"/>
      <c r="D560" s="65"/>
      <c r="E560" s="74"/>
      <c r="F560" s="74"/>
      <c r="G560" s="74"/>
      <c r="H560" s="65"/>
      <c r="I560" s="73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</row>
    <row r="561" spans="1:27" ht="14.4">
      <c r="A561" s="65"/>
      <c r="B561" s="73"/>
      <c r="C561" s="73"/>
      <c r="D561" s="65"/>
      <c r="E561" s="74"/>
      <c r="F561" s="74"/>
      <c r="G561" s="74"/>
      <c r="H561" s="65"/>
      <c r="I561" s="73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</row>
    <row r="562" spans="1:27" ht="14.4">
      <c r="A562" s="65"/>
      <c r="B562" s="73"/>
      <c r="C562" s="73"/>
      <c r="D562" s="65"/>
      <c r="E562" s="74"/>
      <c r="F562" s="74"/>
      <c r="G562" s="74"/>
      <c r="H562" s="65"/>
      <c r="I562" s="73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</row>
    <row r="563" spans="1:27" ht="14.4">
      <c r="A563" s="65"/>
      <c r="B563" s="73"/>
      <c r="C563" s="73"/>
      <c r="D563" s="65"/>
      <c r="E563" s="74"/>
      <c r="F563" s="74"/>
      <c r="G563" s="74"/>
      <c r="H563" s="65"/>
      <c r="I563" s="73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</row>
    <row r="564" spans="1:27" ht="14.4">
      <c r="A564" s="65"/>
      <c r="B564" s="73"/>
      <c r="C564" s="73"/>
      <c r="D564" s="65"/>
      <c r="E564" s="74"/>
      <c r="F564" s="74"/>
      <c r="G564" s="74"/>
      <c r="H564" s="65"/>
      <c r="I564" s="73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</row>
    <row r="565" spans="1:27" ht="14.4">
      <c r="A565" s="65"/>
      <c r="B565" s="73"/>
      <c r="C565" s="73"/>
      <c r="D565" s="65"/>
      <c r="E565" s="74"/>
      <c r="F565" s="74"/>
      <c r="G565" s="74"/>
      <c r="H565" s="65"/>
      <c r="I565" s="73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</row>
    <row r="566" spans="1:27" ht="14.4">
      <c r="A566" s="65"/>
      <c r="B566" s="73"/>
      <c r="C566" s="73"/>
      <c r="D566" s="65"/>
      <c r="E566" s="74"/>
      <c r="F566" s="74"/>
      <c r="G566" s="74"/>
      <c r="H566" s="65"/>
      <c r="I566" s="73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</row>
    <row r="567" spans="1:27" ht="14.4">
      <c r="A567" s="65"/>
      <c r="B567" s="73"/>
      <c r="C567" s="73"/>
      <c r="D567" s="65"/>
      <c r="E567" s="74"/>
      <c r="F567" s="74"/>
      <c r="G567" s="74"/>
      <c r="H567" s="65"/>
      <c r="I567" s="73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</row>
    <row r="568" spans="1:27" ht="14.4">
      <c r="A568" s="65"/>
      <c r="B568" s="73"/>
      <c r="C568" s="73"/>
      <c r="D568" s="65"/>
      <c r="E568" s="74"/>
      <c r="F568" s="74"/>
      <c r="G568" s="74"/>
      <c r="H568" s="65"/>
      <c r="I568" s="73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</row>
    <row r="569" spans="1:27" ht="14.4">
      <c r="A569" s="65"/>
      <c r="B569" s="73"/>
      <c r="C569" s="73"/>
      <c r="D569" s="65"/>
      <c r="E569" s="74"/>
      <c r="F569" s="74"/>
      <c r="G569" s="74"/>
      <c r="H569" s="65"/>
      <c r="I569" s="73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</row>
    <row r="570" spans="1:27" ht="14.4">
      <c r="A570" s="65"/>
      <c r="B570" s="73"/>
      <c r="C570" s="73"/>
      <c r="D570" s="65"/>
      <c r="E570" s="74"/>
      <c r="F570" s="74"/>
      <c r="G570" s="74"/>
      <c r="H570" s="65"/>
      <c r="I570" s="73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</row>
    <row r="571" spans="1:27" ht="14.4">
      <c r="A571" s="65"/>
      <c r="B571" s="73"/>
      <c r="C571" s="73"/>
      <c r="D571" s="65"/>
      <c r="E571" s="74"/>
      <c r="F571" s="74"/>
      <c r="G571" s="74"/>
      <c r="H571" s="65"/>
      <c r="I571" s="73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</row>
    <row r="572" spans="1:27" ht="14.4">
      <c r="A572" s="65"/>
      <c r="B572" s="73"/>
      <c r="C572" s="73"/>
      <c r="D572" s="65"/>
      <c r="E572" s="74"/>
      <c r="F572" s="74"/>
      <c r="G572" s="74"/>
      <c r="H572" s="65"/>
      <c r="I572" s="73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</row>
    <row r="573" spans="1:27" ht="14.4">
      <c r="A573" s="65"/>
      <c r="B573" s="73"/>
      <c r="C573" s="73"/>
      <c r="D573" s="65"/>
      <c r="E573" s="74"/>
      <c r="F573" s="74"/>
      <c r="G573" s="74"/>
      <c r="H573" s="65"/>
      <c r="I573" s="73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</row>
    <row r="574" spans="1:27" ht="14.4">
      <c r="A574" s="65"/>
      <c r="B574" s="73"/>
      <c r="C574" s="73"/>
      <c r="D574" s="65"/>
      <c r="E574" s="74"/>
      <c r="F574" s="74"/>
      <c r="G574" s="74"/>
      <c r="H574" s="65"/>
      <c r="I574" s="73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</row>
    <row r="575" spans="1:27" ht="14.4">
      <c r="A575" s="65"/>
      <c r="B575" s="73"/>
      <c r="C575" s="73"/>
      <c r="D575" s="65"/>
      <c r="E575" s="74"/>
      <c r="F575" s="74"/>
      <c r="G575" s="74"/>
      <c r="H575" s="65"/>
      <c r="I575" s="73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</row>
    <row r="576" spans="1:27" ht="14.4">
      <c r="A576" s="65"/>
      <c r="B576" s="73"/>
      <c r="C576" s="73"/>
      <c r="D576" s="65"/>
      <c r="E576" s="74"/>
      <c r="F576" s="74"/>
      <c r="G576" s="74"/>
      <c r="H576" s="65"/>
      <c r="I576" s="73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</row>
    <row r="577" spans="1:27" ht="14.4">
      <c r="A577" s="65"/>
      <c r="B577" s="73"/>
      <c r="C577" s="73"/>
      <c r="D577" s="65"/>
      <c r="E577" s="74"/>
      <c r="F577" s="74"/>
      <c r="G577" s="74"/>
      <c r="H577" s="65"/>
      <c r="I577" s="73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</row>
    <row r="578" spans="1:27" ht="14.4">
      <c r="A578" s="65"/>
      <c r="B578" s="73"/>
      <c r="C578" s="73"/>
      <c r="D578" s="65"/>
      <c r="E578" s="74"/>
      <c r="F578" s="74"/>
      <c r="G578" s="74"/>
      <c r="H578" s="65"/>
      <c r="I578" s="73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</row>
    <row r="579" spans="1:27" ht="14.4">
      <c r="A579" s="65"/>
      <c r="B579" s="73"/>
      <c r="C579" s="73"/>
      <c r="D579" s="65"/>
      <c r="E579" s="74"/>
      <c r="F579" s="74"/>
      <c r="G579" s="74"/>
      <c r="H579" s="65"/>
      <c r="I579" s="73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</row>
    <row r="580" spans="1:27" ht="14.4">
      <c r="A580" s="65"/>
      <c r="B580" s="73"/>
      <c r="C580" s="73"/>
      <c r="D580" s="65"/>
      <c r="E580" s="74"/>
      <c r="F580" s="74"/>
      <c r="G580" s="74"/>
      <c r="H580" s="65"/>
      <c r="I580" s="73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</row>
    <row r="581" spans="1:27" ht="14.4">
      <c r="A581" s="65"/>
      <c r="B581" s="73"/>
      <c r="C581" s="73"/>
      <c r="D581" s="65"/>
      <c r="E581" s="74"/>
      <c r="F581" s="74"/>
      <c r="G581" s="74"/>
      <c r="H581" s="65"/>
      <c r="I581" s="73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</row>
    <row r="582" spans="1:27" ht="14.4">
      <c r="A582" s="65"/>
      <c r="B582" s="73"/>
      <c r="C582" s="73"/>
      <c r="D582" s="65"/>
      <c r="E582" s="74"/>
      <c r="F582" s="74"/>
      <c r="G582" s="74"/>
      <c r="H582" s="65"/>
      <c r="I582" s="73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</row>
    <row r="583" spans="1:27" ht="14.4">
      <c r="A583" s="65"/>
      <c r="B583" s="73"/>
      <c r="C583" s="73"/>
      <c r="D583" s="65"/>
      <c r="E583" s="74"/>
      <c r="F583" s="74"/>
      <c r="G583" s="74"/>
      <c r="H583" s="65"/>
      <c r="I583" s="73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</row>
    <row r="584" spans="1:27" ht="14.4">
      <c r="A584" s="65"/>
      <c r="B584" s="73"/>
      <c r="C584" s="73"/>
      <c r="D584" s="65"/>
      <c r="E584" s="74"/>
      <c r="F584" s="74"/>
      <c r="G584" s="74"/>
      <c r="H584" s="65"/>
      <c r="I584" s="73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</row>
    <row r="585" spans="1:27" ht="14.4">
      <c r="A585" s="65"/>
      <c r="B585" s="73"/>
      <c r="C585" s="73"/>
      <c r="D585" s="65"/>
      <c r="E585" s="74"/>
      <c r="F585" s="74"/>
      <c r="G585" s="74"/>
      <c r="H585" s="65"/>
      <c r="I585" s="73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</row>
    <row r="586" spans="1:27" ht="14.4">
      <c r="A586" s="65"/>
      <c r="B586" s="73"/>
      <c r="C586" s="73"/>
      <c r="D586" s="65"/>
      <c r="E586" s="74"/>
      <c r="F586" s="74"/>
      <c r="G586" s="74"/>
      <c r="H586" s="65"/>
      <c r="I586" s="73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</row>
    <row r="587" spans="1:27" ht="14.4">
      <c r="A587" s="65"/>
      <c r="B587" s="73"/>
      <c r="C587" s="73"/>
      <c r="D587" s="65"/>
      <c r="E587" s="74"/>
      <c r="F587" s="74"/>
      <c r="G587" s="74"/>
      <c r="H587" s="65"/>
      <c r="I587" s="73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</row>
    <row r="588" spans="1:27" ht="14.4">
      <c r="A588" s="65"/>
      <c r="B588" s="73"/>
      <c r="C588" s="73"/>
      <c r="D588" s="65"/>
      <c r="E588" s="74"/>
      <c r="F588" s="74"/>
      <c r="G588" s="74"/>
      <c r="H588" s="65"/>
      <c r="I588" s="73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</row>
    <row r="589" spans="1:27" ht="14.4">
      <c r="A589" s="65"/>
      <c r="B589" s="73"/>
      <c r="C589" s="73"/>
      <c r="D589" s="65"/>
      <c r="E589" s="74"/>
      <c r="F589" s="74"/>
      <c r="G589" s="74"/>
      <c r="H589" s="65"/>
      <c r="I589" s="73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</row>
    <row r="590" spans="1:27" ht="14.4">
      <c r="A590" s="65"/>
      <c r="B590" s="73"/>
      <c r="C590" s="73"/>
      <c r="D590" s="65"/>
      <c r="E590" s="74"/>
      <c r="F590" s="74"/>
      <c r="G590" s="74"/>
      <c r="H590" s="65"/>
      <c r="I590" s="73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</row>
    <row r="591" spans="1:27" ht="14.4">
      <c r="A591" s="65"/>
      <c r="B591" s="73"/>
      <c r="C591" s="73"/>
      <c r="D591" s="65"/>
      <c r="E591" s="74"/>
      <c r="F591" s="74"/>
      <c r="G591" s="74"/>
      <c r="H591" s="65"/>
      <c r="I591" s="73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</row>
    <row r="592" spans="1:27" ht="14.4">
      <c r="A592" s="65"/>
      <c r="B592" s="73"/>
      <c r="C592" s="73"/>
      <c r="D592" s="65"/>
      <c r="E592" s="74"/>
      <c r="F592" s="74"/>
      <c r="G592" s="74"/>
      <c r="H592" s="65"/>
      <c r="I592" s="73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</row>
    <row r="593" spans="1:27" ht="14.4">
      <c r="A593" s="65"/>
      <c r="B593" s="73"/>
      <c r="C593" s="73"/>
      <c r="D593" s="65"/>
      <c r="E593" s="74"/>
      <c r="F593" s="74"/>
      <c r="G593" s="74"/>
      <c r="H593" s="65"/>
      <c r="I593" s="73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</row>
    <row r="594" spans="1:27" ht="14.4">
      <c r="A594" s="65"/>
      <c r="B594" s="73"/>
      <c r="C594" s="73"/>
      <c r="D594" s="65"/>
      <c r="E594" s="74"/>
      <c r="F594" s="74"/>
      <c r="G594" s="74"/>
      <c r="H594" s="65"/>
      <c r="I594" s="73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</row>
    <row r="595" spans="1:27" ht="14.4">
      <c r="A595" s="65"/>
      <c r="B595" s="73"/>
      <c r="C595" s="73"/>
      <c r="D595" s="65"/>
      <c r="E595" s="74"/>
      <c r="F595" s="74"/>
      <c r="G595" s="74"/>
      <c r="H595" s="65"/>
      <c r="I595" s="73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</row>
    <row r="596" spans="1:27" ht="14.4">
      <c r="A596" s="65"/>
      <c r="B596" s="73"/>
      <c r="C596" s="73"/>
      <c r="D596" s="65"/>
      <c r="E596" s="74"/>
      <c r="F596" s="74"/>
      <c r="G596" s="74"/>
      <c r="H596" s="65"/>
      <c r="I596" s="73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</row>
    <row r="597" spans="1:27" ht="14.4">
      <c r="A597" s="65"/>
      <c r="B597" s="73"/>
      <c r="C597" s="73"/>
      <c r="D597" s="65"/>
      <c r="E597" s="74"/>
      <c r="F597" s="74"/>
      <c r="G597" s="74"/>
      <c r="H597" s="65"/>
      <c r="I597" s="73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</row>
    <row r="598" spans="1:27" ht="14.4">
      <c r="A598" s="65"/>
      <c r="B598" s="73"/>
      <c r="C598" s="73"/>
      <c r="D598" s="65"/>
      <c r="E598" s="74"/>
      <c r="F598" s="74"/>
      <c r="G598" s="74"/>
      <c r="H598" s="65"/>
      <c r="I598" s="73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</row>
    <row r="599" spans="1:27" ht="14.4">
      <c r="A599" s="65"/>
      <c r="B599" s="73"/>
      <c r="C599" s="73"/>
      <c r="D599" s="65"/>
      <c r="E599" s="74"/>
      <c r="F599" s="74"/>
      <c r="G599" s="74"/>
      <c r="H599" s="65"/>
      <c r="I599" s="73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</row>
    <row r="600" spans="1:27" ht="14.4">
      <c r="A600" s="65"/>
      <c r="B600" s="73"/>
      <c r="C600" s="73"/>
      <c r="D600" s="65"/>
      <c r="E600" s="74"/>
      <c r="F600" s="74"/>
      <c r="G600" s="74"/>
      <c r="H600" s="65"/>
      <c r="I600" s="73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</row>
    <row r="601" spans="1:27" ht="14.4">
      <c r="A601" s="65"/>
      <c r="B601" s="73"/>
      <c r="C601" s="73"/>
      <c r="D601" s="65"/>
      <c r="E601" s="74"/>
      <c r="F601" s="74"/>
      <c r="G601" s="74"/>
      <c r="H601" s="65"/>
      <c r="I601" s="73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</row>
    <row r="602" spans="1:27" ht="14.4">
      <c r="A602" s="65"/>
      <c r="B602" s="73"/>
      <c r="C602" s="73"/>
      <c r="D602" s="65"/>
      <c r="E602" s="74"/>
      <c r="F602" s="74"/>
      <c r="G602" s="74"/>
      <c r="H602" s="65"/>
      <c r="I602" s="73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</row>
    <row r="603" spans="1:27" ht="14.4">
      <c r="A603" s="65"/>
      <c r="B603" s="73"/>
      <c r="C603" s="73"/>
      <c r="D603" s="65"/>
      <c r="E603" s="74"/>
      <c r="F603" s="74"/>
      <c r="G603" s="74"/>
      <c r="H603" s="65"/>
      <c r="I603" s="73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</row>
    <row r="604" spans="1:27" ht="14.4">
      <c r="A604" s="65"/>
      <c r="B604" s="73"/>
      <c r="C604" s="73"/>
      <c r="D604" s="65"/>
      <c r="E604" s="74"/>
      <c r="F604" s="74"/>
      <c r="G604" s="74"/>
      <c r="H604" s="65"/>
      <c r="I604" s="73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</row>
    <row r="605" spans="1:27" ht="14.4">
      <c r="A605" s="65"/>
      <c r="B605" s="73"/>
      <c r="C605" s="73"/>
      <c r="D605" s="65"/>
      <c r="E605" s="74"/>
      <c r="F605" s="74"/>
      <c r="G605" s="74"/>
      <c r="H605" s="65"/>
      <c r="I605" s="73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</row>
    <row r="606" spans="1:27" ht="14.4">
      <c r="A606" s="65"/>
      <c r="B606" s="73"/>
      <c r="C606" s="73"/>
      <c r="D606" s="65"/>
      <c r="E606" s="74"/>
      <c r="F606" s="74"/>
      <c r="G606" s="74"/>
      <c r="H606" s="65"/>
      <c r="I606" s="73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</row>
    <row r="607" spans="1:27" ht="14.4">
      <c r="A607" s="65"/>
      <c r="B607" s="73"/>
      <c r="C607" s="73"/>
      <c r="D607" s="65"/>
      <c r="E607" s="74"/>
      <c r="F607" s="74"/>
      <c r="G607" s="74"/>
      <c r="H607" s="65"/>
      <c r="I607" s="73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</row>
    <row r="608" spans="1:27" ht="14.4">
      <c r="A608" s="65"/>
      <c r="B608" s="73"/>
      <c r="C608" s="73"/>
      <c r="D608" s="65"/>
      <c r="E608" s="74"/>
      <c r="F608" s="74"/>
      <c r="G608" s="74"/>
      <c r="H608" s="65"/>
      <c r="I608" s="73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</row>
    <row r="609" spans="1:27" ht="14.4">
      <c r="A609" s="65"/>
      <c r="B609" s="73"/>
      <c r="C609" s="73"/>
      <c r="D609" s="65"/>
      <c r="E609" s="74"/>
      <c r="F609" s="74"/>
      <c r="G609" s="74"/>
      <c r="H609" s="65"/>
      <c r="I609" s="73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</row>
    <row r="610" spans="1:27" ht="14.4">
      <c r="A610" s="65"/>
      <c r="B610" s="73"/>
      <c r="C610" s="73"/>
      <c r="D610" s="65"/>
      <c r="E610" s="74"/>
      <c r="F610" s="74"/>
      <c r="G610" s="74"/>
      <c r="H610" s="65"/>
      <c r="I610" s="73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</row>
    <row r="611" spans="1:27" ht="14.4">
      <c r="A611" s="65"/>
      <c r="B611" s="73"/>
      <c r="C611" s="73"/>
      <c r="D611" s="65"/>
      <c r="E611" s="74"/>
      <c r="F611" s="74"/>
      <c r="G611" s="74"/>
      <c r="H611" s="65"/>
      <c r="I611" s="73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</row>
    <row r="612" spans="1:27" ht="14.4">
      <c r="A612" s="65"/>
      <c r="B612" s="73"/>
      <c r="C612" s="73"/>
      <c r="D612" s="65"/>
      <c r="E612" s="74"/>
      <c r="F612" s="74"/>
      <c r="G612" s="74"/>
      <c r="H612" s="65"/>
      <c r="I612" s="73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</row>
    <row r="613" spans="1:27" ht="14.4">
      <c r="A613" s="65"/>
      <c r="B613" s="73"/>
      <c r="C613" s="73"/>
      <c r="D613" s="65"/>
      <c r="E613" s="74"/>
      <c r="F613" s="74"/>
      <c r="G613" s="74"/>
      <c r="H613" s="65"/>
      <c r="I613" s="73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</row>
    <row r="614" spans="1:27" ht="14.4">
      <c r="A614" s="65"/>
      <c r="B614" s="73"/>
      <c r="C614" s="73"/>
      <c r="D614" s="65"/>
      <c r="E614" s="74"/>
      <c r="F614" s="74"/>
      <c r="G614" s="74"/>
      <c r="H614" s="65"/>
      <c r="I614" s="73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</row>
    <row r="615" spans="1:27" ht="14.4">
      <c r="A615" s="65"/>
      <c r="B615" s="73"/>
      <c r="C615" s="73"/>
      <c r="D615" s="65"/>
      <c r="E615" s="74"/>
      <c r="F615" s="74"/>
      <c r="G615" s="74"/>
      <c r="H615" s="65"/>
      <c r="I615" s="73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</row>
    <row r="616" spans="1:27" ht="14.4">
      <c r="A616" s="65"/>
      <c r="B616" s="73"/>
      <c r="C616" s="73"/>
      <c r="D616" s="65"/>
      <c r="E616" s="74"/>
      <c r="F616" s="74"/>
      <c r="G616" s="74"/>
      <c r="H616" s="65"/>
      <c r="I616" s="73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</row>
    <row r="617" spans="1:27" ht="14.4">
      <c r="A617" s="65"/>
      <c r="B617" s="73"/>
      <c r="C617" s="73"/>
      <c r="D617" s="65"/>
      <c r="E617" s="74"/>
      <c r="F617" s="74"/>
      <c r="G617" s="74"/>
      <c r="H617" s="65"/>
      <c r="I617" s="73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</row>
    <row r="618" spans="1:27" ht="14.4">
      <c r="A618" s="65"/>
      <c r="B618" s="73"/>
      <c r="C618" s="73"/>
      <c r="D618" s="65"/>
      <c r="E618" s="74"/>
      <c r="F618" s="74"/>
      <c r="G618" s="74"/>
      <c r="H618" s="65"/>
      <c r="I618" s="73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</row>
    <row r="619" spans="1:27" ht="14.4">
      <c r="A619" s="65"/>
      <c r="B619" s="73"/>
      <c r="C619" s="73"/>
      <c r="D619" s="65"/>
      <c r="E619" s="74"/>
      <c r="F619" s="74"/>
      <c r="G619" s="74"/>
      <c r="H619" s="65"/>
      <c r="I619" s="73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</row>
    <row r="620" spans="1:27" ht="14.4">
      <c r="A620" s="65"/>
      <c r="B620" s="73"/>
      <c r="C620" s="73"/>
      <c r="D620" s="65"/>
      <c r="E620" s="74"/>
      <c r="F620" s="74"/>
      <c r="G620" s="74"/>
      <c r="H620" s="65"/>
      <c r="I620" s="73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</row>
    <row r="621" spans="1:27" ht="14.4">
      <c r="A621" s="65"/>
      <c r="B621" s="73"/>
      <c r="C621" s="73"/>
      <c r="D621" s="65"/>
      <c r="E621" s="74"/>
      <c r="F621" s="74"/>
      <c r="G621" s="74"/>
      <c r="H621" s="65"/>
      <c r="I621" s="73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</row>
    <row r="622" spans="1:27" ht="14.4">
      <c r="A622" s="65"/>
      <c r="B622" s="73"/>
      <c r="C622" s="73"/>
      <c r="D622" s="65"/>
      <c r="E622" s="74"/>
      <c r="F622" s="74"/>
      <c r="G622" s="74"/>
      <c r="H622" s="65"/>
      <c r="I622" s="73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</row>
    <row r="623" spans="1:27" ht="14.4">
      <c r="A623" s="65"/>
      <c r="B623" s="73"/>
      <c r="C623" s="73"/>
      <c r="D623" s="65"/>
      <c r="E623" s="74"/>
      <c r="F623" s="74"/>
      <c r="G623" s="74"/>
      <c r="H623" s="65"/>
      <c r="I623" s="73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</row>
    <row r="624" spans="1:27" ht="14.4">
      <c r="A624" s="65"/>
      <c r="B624" s="73"/>
      <c r="C624" s="73"/>
      <c r="D624" s="65"/>
      <c r="E624" s="74"/>
      <c r="F624" s="74"/>
      <c r="G624" s="74"/>
      <c r="H624" s="65"/>
      <c r="I624" s="73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</row>
    <row r="625" spans="1:27" ht="14.4">
      <c r="A625" s="65"/>
      <c r="B625" s="73"/>
      <c r="C625" s="73"/>
      <c r="D625" s="65"/>
      <c r="E625" s="74"/>
      <c r="F625" s="74"/>
      <c r="G625" s="74"/>
      <c r="H625" s="65"/>
      <c r="I625" s="73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</row>
    <row r="626" spans="1:27" ht="14.4">
      <c r="A626" s="65"/>
      <c r="B626" s="73"/>
      <c r="C626" s="73"/>
      <c r="D626" s="65"/>
      <c r="E626" s="74"/>
      <c r="F626" s="74"/>
      <c r="G626" s="74"/>
      <c r="H626" s="65"/>
      <c r="I626" s="73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</row>
    <row r="627" spans="1:27" ht="14.4">
      <c r="A627" s="65"/>
      <c r="B627" s="73"/>
      <c r="C627" s="73"/>
      <c r="D627" s="65"/>
      <c r="E627" s="74"/>
      <c r="F627" s="74"/>
      <c r="G627" s="74"/>
      <c r="H627" s="65"/>
      <c r="I627" s="73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</row>
    <row r="628" spans="1:27" ht="14.4">
      <c r="A628" s="65"/>
      <c r="B628" s="73"/>
      <c r="C628" s="73"/>
      <c r="D628" s="65"/>
      <c r="E628" s="74"/>
      <c r="F628" s="74"/>
      <c r="G628" s="74"/>
      <c r="H628" s="65"/>
      <c r="I628" s="73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</row>
    <row r="629" spans="1:27" ht="14.4">
      <c r="A629" s="65"/>
      <c r="B629" s="73"/>
      <c r="C629" s="73"/>
      <c r="D629" s="65"/>
      <c r="E629" s="74"/>
      <c r="F629" s="74"/>
      <c r="G629" s="74"/>
      <c r="H629" s="65"/>
      <c r="I629" s="73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</row>
    <row r="630" spans="1:27" ht="14.4">
      <c r="A630" s="65"/>
      <c r="B630" s="73"/>
      <c r="C630" s="73"/>
      <c r="D630" s="65"/>
      <c r="E630" s="74"/>
      <c r="F630" s="74"/>
      <c r="G630" s="74"/>
      <c r="H630" s="65"/>
      <c r="I630" s="73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</row>
    <row r="631" spans="1:27" ht="14.4">
      <c r="A631" s="65"/>
      <c r="B631" s="73"/>
      <c r="C631" s="73"/>
      <c r="D631" s="65"/>
      <c r="E631" s="74"/>
      <c r="F631" s="74"/>
      <c r="G631" s="74"/>
      <c r="H631" s="65"/>
      <c r="I631" s="73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</row>
    <row r="632" spans="1:27" ht="14.4">
      <c r="A632" s="65"/>
      <c r="B632" s="73"/>
      <c r="C632" s="73"/>
      <c r="D632" s="65"/>
      <c r="E632" s="74"/>
      <c r="F632" s="74"/>
      <c r="G632" s="74"/>
      <c r="H632" s="65"/>
      <c r="I632" s="73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</row>
    <row r="633" spans="1:27" ht="14.4">
      <c r="A633" s="65"/>
      <c r="B633" s="73"/>
      <c r="C633" s="73"/>
      <c r="D633" s="65"/>
      <c r="E633" s="74"/>
      <c r="F633" s="74"/>
      <c r="G633" s="74"/>
      <c r="H633" s="65"/>
      <c r="I633" s="73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</row>
    <row r="634" spans="1:27" ht="14.4">
      <c r="A634" s="65"/>
      <c r="B634" s="73"/>
      <c r="C634" s="73"/>
      <c r="D634" s="65"/>
      <c r="E634" s="74"/>
      <c r="F634" s="74"/>
      <c r="G634" s="74"/>
      <c r="H634" s="65"/>
      <c r="I634" s="73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</row>
    <row r="635" spans="1:27" ht="14.4">
      <c r="A635" s="65"/>
      <c r="B635" s="73"/>
      <c r="C635" s="73"/>
      <c r="D635" s="65"/>
      <c r="E635" s="74"/>
      <c r="F635" s="74"/>
      <c r="G635" s="74"/>
      <c r="H635" s="65"/>
      <c r="I635" s="73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</row>
    <row r="636" spans="1:27" ht="14.4">
      <c r="A636" s="65"/>
      <c r="B636" s="73"/>
      <c r="C636" s="73"/>
      <c r="D636" s="65"/>
      <c r="E636" s="74"/>
      <c r="F636" s="74"/>
      <c r="G636" s="74"/>
      <c r="H636" s="65"/>
      <c r="I636" s="73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</row>
    <row r="637" spans="1:27" ht="14.4">
      <c r="A637" s="65"/>
      <c r="B637" s="73"/>
      <c r="C637" s="73"/>
      <c r="D637" s="65"/>
      <c r="E637" s="74"/>
      <c r="F637" s="74"/>
      <c r="G637" s="74"/>
      <c r="H637" s="65"/>
      <c r="I637" s="73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</row>
    <row r="638" spans="1:27" ht="14.4">
      <c r="A638" s="65"/>
      <c r="B638" s="73"/>
      <c r="C638" s="73"/>
      <c r="D638" s="65"/>
      <c r="E638" s="74"/>
      <c r="F638" s="74"/>
      <c r="G638" s="74"/>
      <c r="H638" s="65"/>
      <c r="I638" s="73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</row>
    <row r="639" spans="1:27" ht="14.4">
      <c r="A639" s="65"/>
      <c r="B639" s="73"/>
      <c r="C639" s="73"/>
      <c r="D639" s="65"/>
      <c r="E639" s="74"/>
      <c r="F639" s="74"/>
      <c r="G639" s="74"/>
      <c r="H639" s="65"/>
      <c r="I639" s="73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</row>
    <row r="640" spans="1:27" ht="14.4">
      <c r="A640" s="65"/>
      <c r="B640" s="73"/>
      <c r="C640" s="73"/>
      <c r="D640" s="65"/>
      <c r="E640" s="74"/>
      <c r="F640" s="74"/>
      <c r="G640" s="74"/>
      <c r="H640" s="65"/>
      <c r="I640" s="73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</row>
    <row r="641" spans="1:27" ht="14.4">
      <c r="A641" s="65"/>
      <c r="B641" s="73"/>
      <c r="C641" s="73"/>
      <c r="D641" s="65"/>
      <c r="E641" s="74"/>
      <c r="F641" s="74"/>
      <c r="G641" s="74"/>
      <c r="H641" s="65"/>
      <c r="I641" s="73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</row>
    <row r="642" spans="1:27" ht="14.4">
      <c r="A642" s="65"/>
      <c r="B642" s="73"/>
      <c r="C642" s="73"/>
      <c r="D642" s="65"/>
      <c r="E642" s="74"/>
      <c r="F642" s="74"/>
      <c r="G642" s="74"/>
      <c r="H642" s="65"/>
      <c r="I642" s="73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</row>
    <row r="643" spans="1:27" ht="14.4">
      <c r="A643" s="65"/>
      <c r="B643" s="73"/>
      <c r="C643" s="73"/>
      <c r="D643" s="65"/>
      <c r="E643" s="74"/>
      <c r="F643" s="74"/>
      <c r="G643" s="74"/>
      <c r="H643" s="65"/>
      <c r="I643" s="73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</row>
    <row r="644" spans="1:27" ht="14.4">
      <c r="A644" s="65"/>
      <c r="B644" s="73"/>
      <c r="C644" s="73"/>
      <c r="D644" s="65"/>
      <c r="E644" s="74"/>
      <c r="F644" s="74"/>
      <c r="G644" s="74"/>
      <c r="H644" s="65"/>
      <c r="I644" s="73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</row>
    <row r="645" spans="1:27" ht="14.4">
      <c r="A645" s="65"/>
      <c r="B645" s="73"/>
      <c r="C645" s="73"/>
      <c r="D645" s="65"/>
      <c r="E645" s="74"/>
      <c r="F645" s="74"/>
      <c r="G645" s="74"/>
      <c r="H645" s="65"/>
      <c r="I645" s="73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</row>
    <row r="646" spans="1:27" ht="14.4">
      <c r="A646" s="65"/>
      <c r="B646" s="73"/>
      <c r="C646" s="73"/>
      <c r="D646" s="65"/>
      <c r="E646" s="74"/>
      <c r="F646" s="74"/>
      <c r="G646" s="74"/>
      <c r="H646" s="65"/>
      <c r="I646" s="73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</row>
    <row r="647" spans="1:27" ht="14.4">
      <c r="A647" s="65"/>
      <c r="B647" s="73"/>
      <c r="C647" s="73"/>
      <c r="D647" s="65"/>
      <c r="E647" s="74"/>
      <c r="F647" s="74"/>
      <c r="G647" s="74"/>
      <c r="H647" s="65"/>
      <c r="I647" s="73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</row>
    <row r="648" spans="1:27" ht="14.4">
      <c r="A648" s="65"/>
      <c r="B648" s="73"/>
      <c r="C648" s="73"/>
      <c r="D648" s="65"/>
      <c r="E648" s="74"/>
      <c r="F648" s="74"/>
      <c r="G648" s="74"/>
      <c r="H648" s="65"/>
      <c r="I648" s="73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</row>
    <row r="649" spans="1:27" ht="14.4">
      <c r="A649" s="65"/>
      <c r="B649" s="73"/>
      <c r="C649" s="73"/>
      <c r="D649" s="65"/>
      <c r="E649" s="74"/>
      <c r="F649" s="74"/>
      <c r="G649" s="74"/>
      <c r="H649" s="65"/>
      <c r="I649" s="73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</row>
    <row r="650" spans="1:27" ht="14.4">
      <c r="A650" s="65"/>
      <c r="B650" s="73"/>
      <c r="C650" s="73"/>
      <c r="D650" s="65"/>
      <c r="E650" s="74"/>
      <c r="F650" s="74"/>
      <c r="G650" s="74"/>
      <c r="H650" s="65"/>
      <c r="I650" s="73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</row>
    <row r="651" spans="1:27" ht="14.4">
      <c r="A651" s="65"/>
      <c r="B651" s="73"/>
      <c r="C651" s="73"/>
      <c r="D651" s="65"/>
      <c r="E651" s="74"/>
      <c r="F651" s="74"/>
      <c r="G651" s="74"/>
      <c r="H651" s="65"/>
      <c r="I651" s="73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</row>
    <row r="652" spans="1:27" ht="14.4">
      <c r="A652" s="65"/>
      <c r="B652" s="73"/>
      <c r="C652" s="73"/>
      <c r="D652" s="65"/>
      <c r="E652" s="74"/>
      <c r="F652" s="74"/>
      <c r="G652" s="74"/>
      <c r="H652" s="65"/>
      <c r="I652" s="73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</row>
    <row r="653" spans="1:27" ht="14.4">
      <c r="A653" s="65"/>
      <c r="B653" s="73"/>
      <c r="C653" s="73"/>
      <c r="D653" s="65"/>
      <c r="E653" s="74"/>
      <c r="F653" s="74"/>
      <c r="G653" s="74"/>
      <c r="H653" s="65"/>
      <c r="I653" s="73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</row>
    <row r="654" spans="1:27" ht="14.4">
      <c r="A654" s="65"/>
      <c r="B654" s="73"/>
      <c r="C654" s="73"/>
      <c r="D654" s="65"/>
      <c r="E654" s="74"/>
      <c r="F654" s="74"/>
      <c r="G654" s="74"/>
      <c r="H654" s="65"/>
      <c r="I654" s="73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</row>
    <row r="655" spans="1:27" ht="14.4">
      <c r="A655" s="65"/>
      <c r="B655" s="73"/>
      <c r="C655" s="73"/>
      <c r="D655" s="65"/>
      <c r="E655" s="74"/>
      <c r="F655" s="74"/>
      <c r="G655" s="74"/>
      <c r="H655" s="65"/>
      <c r="I655" s="73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</row>
    <row r="656" spans="1:27" ht="14.4">
      <c r="A656" s="65"/>
      <c r="B656" s="73"/>
      <c r="C656" s="73"/>
      <c r="D656" s="65"/>
      <c r="E656" s="74"/>
      <c r="F656" s="74"/>
      <c r="G656" s="74"/>
      <c r="H656" s="65"/>
      <c r="I656" s="73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</row>
    <row r="657" spans="1:27" ht="14.4">
      <c r="A657" s="65"/>
      <c r="B657" s="73"/>
      <c r="C657" s="73"/>
      <c r="D657" s="65"/>
      <c r="E657" s="74"/>
      <c r="F657" s="74"/>
      <c r="G657" s="74"/>
      <c r="H657" s="65"/>
      <c r="I657" s="73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</row>
    <row r="658" spans="1:27" ht="14.4">
      <c r="A658" s="65"/>
      <c r="B658" s="73"/>
      <c r="C658" s="73"/>
      <c r="D658" s="65"/>
      <c r="E658" s="74"/>
      <c r="F658" s="74"/>
      <c r="G658" s="74"/>
      <c r="H658" s="65"/>
      <c r="I658" s="73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</row>
    <row r="659" spans="1:27" ht="14.4">
      <c r="A659" s="65"/>
      <c r="B659" s="73"/>
      <c r="C659" s="73"/>
      <c r="D659" s="65"/>
      <c r="E659" s="74"/>
      <c r="F659" s="74"/>
      <c r="G659" s="74"/>
      <c r="H659" s="65"/>
      <c r="I659" s="73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</row>
    <row r="660" spans="1:27" ht="14.4">
      <c r="A660" s="65"/>
      <c r="B660" s="73"/>
      <c r="C660" s="73"/>
      <c r="D660" s="65"/>
      <c r="E660" s="74"/>
      <c r="F660" s="74"/>
      <c r="G660" s="74"/>
      <c r="H660" s="65"/>
      <c r="I660" s="73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</row>
    <row r="661" spans="1:27" ht="14.4">
      <c r="A661" s="65"/>
      <c r="B661" s="73"/>
      <c r="C661" s="73"/>
      <c r="D661" s="65"/>
      <c r="E661" s="74"/>
      <c r="F661" s="74"/>
      <c r="G661" s="74"/>
      <c r="H661" s="65"/>
      <c r="I661" s="73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</row>
    <row r="662" spans="1:27" ht="14.4">
      <c r="A662" s="65"/>
      <c r="B662" s="73"/>
      <c r="C662" s="73"/>
      <c r="D662" s="65"/>
      <c r="E662" s="74"/>
      <c r="F662" s="74"/>
      <c r="G662" s="74"/>
      <c r="H662" s="65"/>
      <c r="I662" s="73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</row>
    <row r="663" spans="1:27" ht="14.4">
      <c r="A663" s="65"/>
      <c r="B663" s="73"/>
      <c r="C663" s="73"/>
      <c r="D663" s="65"/>
      <c r="E663" s="74"/>
      <c r="F663" s="74"/>
      <c r="G663" s="74"/>
      <c r="H663" s="65"/>
      <c r="I663" s="73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</row>
    <row r="664" spans="1:27" ht="14.4">
      <c r="A664" s="65"/>
      <c r="B664" s="73"/>
      <c r="C664" s="73"/>
      <c r="D664" s="65"/>
      <c r="E664" s="74"/>
      <c r="F664" s="74"/>
      <c r="G664" s="74"/>
      <c r="H664" s="65"/>
      <c r="I664" s="73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</row>
    <row r="665" spans="1:27" ht="14.4">
      <c r="A665" s="65"/>
      <c r="B665" s="73"/>
      <c r="C665" s="73"/>
      <c r="D665" s="65"/>
      <c r="E665" s="74"/>
      <c r="F665" s="74"/>
      <c r="G665" s="74"/>
      <c r="H665" s="65"/>
      <c r="I665" s="73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</row>
    <row r="666" spans="1:27" ht="14.4">
      <c r="A666" s="65"/>
      <c r="B666" s="73"/>
      <c r="C666" s="73"/>
      <c r="D666" s="65"/>
      <c r="E666" s="74"/>
      <c r="F666" s="74"/>
      <c r="G666" s="74"/>
      <c r="H666" s="65"/>
      <c r="I666" s="73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</row>
    <row r="667" spans="1:27" ht="14.4">
      <c r="A667" s="65"/>
      <c r="B667" s="73"/>
      <c r="C667" s="73"/>
      <c r="D667" s="65"/>
      <c r="E667" s="74"/>
      <c r="F667" s="74"/>
      <c r="G667" s="74"/>
      <c r="H667" s="65"/>
      <c r="I667" s="73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</row>
    <row r="668" spans="1:27" ht="14.4">
      <c r="A668" s="65"/>
      <c r="B668" s="73"/>
      <c r="C668" s="73"/>
      <c r="D668" s="65"/>
      <c r="E668" s="74"/>
      <c r="F668" s="74"/>
      <c r="G668" s="74"/>
      <c r="H668" s="65"/>
      <c r="I668" s="73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</row>
    <row r="669" spans="1:27" ht="14.4">
      <c r="A669" s="65"/>
      <c r="B669" s="73"/>
      <c r="C669" s="73"/>
      <c r="D669" s="65"/>
      <c r="E669" s="74"/>
      <c r="F669" s="74"/>
      <c r="G669" s="74"/>
      <c r="H669" s="65"/>
      <c r="I669" s="73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</row>
    <row r="670" spans="1:27" ht="14.4">
      <c r="A670" s="65"/>
      <c r="B670" s="73"/>
      <c r="C670" s="73"/>
      <c r="D670" s="65"/>
      <c r="E670" s="74"/>
      <c r="F670" s="74"/>
      <c r="G670" s="74"/>
      <c r="H670" s="65"/>
      <c r="I670" s="73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</row>
    <row r="671" spans="1:27" ht="14.4">
      <c r="A671" s="65"/>
      <c r="B671" s="73"/>
      <c r="C671" s="73"/>
      <c r="D671" s="65"/>
      <c r="E671" s="74"/>
      <c r="F671" s="74"/>
      <c r="G671" s="74"/>
      <c r="H671" s="65"/>
      <c r="I671" s="73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</row>
    <row r="672" spans="1:27" ht="14.4">
      <c r="A672" s="65"/>
      <c r="B672" s="73"/>
      <c r="C672" s="73"/>
      <c r="D672" s="65"/>
      <c r="E672" s="74"/>
      <c r="F672" s="74"/>
      <c r="G672" s="74"/>
      <c r="H672" s="65"/>
      <c r="I672" s="73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</row>
    <row r="673" spans="1:27" ht="14.4">
      <c r="A673" s="65"/>
      <c r="B673" s="73"/>
      <c r="C673" s="73"/>
      <c r="D673" s="65"/>
      <c r="E673" s="74"/>
      <c r="F673" s="74"/>
      <c r="G673" s="74"/>
      <c r="H673" s="65"/>
      <c r="I673" s="73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</row>
    <row r="674" spans="1:27" ht="14.4">
      <c r="A674" s="65"/>
      <c r="B674" s="73"/>
      <c r="C674" s="73"/>
      <c r="D674" s="65"/>
      <c r="E674" s="74"/>
      <c r="F674" s="74"/>
      <c r="G674" s="74"/>
      <c r="H674" s="65"/>
      <c r="I674" s="73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</row>
    <row r="675" spans="1:27" ht="14.4">
      <c r="A675" s="65"/>
      <c r="B675" s="73"/>
      <c r="C675" s="73"/>
      <c r="D675" s="65"/>
      <c r="E675" s="74"/>
      <c r="F675" s="74"/>
      <c r="G675" s="74"/>
      <c r="H675" s="65"/>
      <c r="I675" s="73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</row>
    <row r="676" spans="1:27" ht="14.4">
      <c r="A676" s="65"/>
      <c r="B676" s="73"/>
      <c r="C676" s="73"/>
      <c r="D676" s="65"/>
      <c r="E676" s="74"/>
      <c r="F676" s="74"/>
      <c r="G676" s="74"/>
      <c r="H676" s="65"/>
      <c r="I676" s="73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</row>
    <row r="677" spans="1:27" ht="14.4">
      <c r="A677" s="65"/>
      <c r="B677" s="73"/>
      <c r="C677" s="73"/>
      <c r="D677" s="65"/>
      <c r="E677" s="74"/>
      <c r="F677" s="74"/>
      <c r="G677" s="74"/>
      <c r="H677" s="65"/>
      <c r="I677" s="73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</row>
    <row r="678" spans="1:27" ht="14.4">
      <c r="A678" s="65"/>
      <c r="B678" s="73"/>
      <c r="C678" s="73"/>
      <c r="D678" s="65"/>
      <c r="E678" s="74"/>
      <c r="F678" s="74"/>
      <c r="G678" s="74"/>
      <c r="H678" s="65"/>
      <c r="I678" s="73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</row>
    <row r="679" spans="1:27" ht="14.4">
      <c r="A679" s="65"/>
      <c r="B679" s="73"/>
      <c r="C679" s="73"/>
      <c r="D679" s="65"/>
      <c r="E679" s="74"/>
      <c r="F679" s="74"/>
      <c r="G679" s="74"/>
      <c r="H679" s="65"/>
      <c r="I679" s="73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</row>
    <row r="680" spans="1:27" ht="14.4">
      <c r="A680" s="65"/>
      <c r="B680" s="73"/>
      <c r="C680" s="73"/>
      <c r="D680" s="65"/>
      <c r="E680" s="74"/>
      <c r="F680" s="74"/>
      <c r="G680" s="74"/>
      <c r="H680" s="65"/>
      <c r="I680" s="73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</row>
    <row r="681" spans="1:27" ht="14.4">
      <c r="A681" s="65"/>
      <c r="B681" s="73"/>
      <c r="C681" s="73"/>
      <c r="D681" s="65"/>
      <c r="E681" s="74"/>
      <c r="F681" s="74"/>
      <c r="G681" s="74"/>
      <c r="H681" s="65"/>
      <c r="I681" s="73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</row>
    <row r="682" spans="1:27" ht="14.4">
      <c r="A682" s="65"/>
      <c r="B682" s="73"/>
      <c r="C682" s="73"/>
      <c r="D682" s="65"/>
      <c r="E682" s="74"/>
      <c r="F682" s="74"/>
      <c r="G682" s="74"/>
      <c r="H682" s="65"/>
      <c r="I682" s="73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</row>
    <row r="683" spans="1:27" ht="14.4">
      <c r="A683" s="65"/>
      <c r="B683" s="73"/>
      <c r="C683" s="73"/>
      <c r="D683" s="65"/>
      <c r="E683" s="74"/>
      <c r="F683" s="74"/>
      <c r="G683" s="74"/>
      <c r="H683" s="65"/>
      <c r="I683" s="73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</row>
    <row r="684" spans="1:27" ht="14.4">
      <c r="A684" s="65"/>
      <c r="B684" s="73"/>
      <c r="C684" s="73"/>
      <c r="D684" s="65"/>
      <c r="E684" s="74"/>
      <c r="F684" s="74"/>
      <c r="G684" s="74"/>
      <c r="H684" s="65"/>
      <c r="I684" s="73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</row>
    <row r="685" spans="1:27" ht="14.4">
      <c r="A685" s="65"/>
      <c r="B685" s="73"/>
      <c r="C685" s="73"/>
      <c r="D685" s="65"/>
      <c r="E685" s="74"/>
      <c r="F685" s="74"/>
      <c r="G685" s="74"/>
      <c r="H685" s="65"/>
      <c r="I685" s="73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</row>
    <row r="686" spans="1:27" ht="14.4">
      <c r="A686" s="65"/>
      <c r="B686" s="73"/>
      <c r="C686" s="73"/>
      <c r="D686" s="65"/>
      <c r="E686" s="74"/>
      <c r="F686" s="74"/>
      <c r="G686" s="74"/>
      <c r="H686" s="65"/>
      <c r="I686" s="73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</row>
    <row r="687" spans="1:27" ht="14.4">
      <c r="A687" s="65"/>
      <c r="B687" s="73"/>
      <c r="C687" s="73"/>
      <c r="D687" s="65"/>
      <c r="E687" s="74"/>
      <c r="F687" s="74"/>
      <c r="G687" s="74"/>
      <c r="H687" s="65"/>
      <c r="I687" s="73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</row>
    <row r="688" spans="1:27" ht="14.4">
      <c r="A688" s="65"/>
      <c r="B688" s="73"/>
      <c r="C688" s="73"/>
      <c r="D688" s="65"/>
      <c r="E688" s="74"/>
      <c r="F688" s="74"/>
      <c r="G688" s="74"/>
      <c r="H688" s="65"/>
      <c r="I688" s="73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</row>
    <row r="689" spans="1:27" ht="14.4">
      <c r="A689" s="65"/>
      <c r="B689" s="73"/>
      <c r="C689" s="73"/>
      <c r="D689" s="65"/>
      <c r="E689" s="74"/>
      <c r="F689" s="74"/>
      <c r="G689" s="74"/>
      <c r="H689" s="65"/>
      <c r="I689" s="73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</row>
    <row r="690" spans="1:27" ht="14.4">
      <c r="A690" s="65"/>
      <c r="B690" s="73"/>
      <c r="C690" s="73"/>
      <c r="D690" s="65"/>
      <c r="E690" s="74"/>
      <c r="F690" s="74"/>
      <c r="G690" s="74"/>
      <c r="H690" s="65"/>
      <c r="I690" s="73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</row>
    <row r="691" spans="1:27" ht="14.4">
      <c r="A691" s="65"/>
      <c r="B691" s="73"/>
      <c r="C691" s="73"/>
      <c r="D691" s="65"/>
      <c r="E691" s="74"/>
      <c r="F691" s="74"/>
      <c r="G691" s="74"/>
      <c r="H691" s="65"/>
      <c r="I691" s="73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</row>
    <row r="692" spans="1:27" ht="14.4">
      <c r="A692" s="65"/>
      <c r="B692" s="73"/>
      <c r="C692" s="73"/>
      <c r="D692" s="65"/>
      <c r="E692" s="74"/>
      <c r="F692" s="74"/>
      <c r="G692" s="74"/>
      <c r="H692" s="65"/>
      <c r="I692" s="73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</row>
    <row r="693" spans="1:27" ht="14.4">
      <c r="A693" s="65"/>
      <c r="B693" s="73"/>
      <c r="C693" s="73"/>
      <c r="D693" s="65"/>
      <c r="E693" s="74"/>
      <c r="F693" s="74"/>
      <c r="G693" s="74"/>
      <c r="H693" s="65"/>
      <c r="I693" s="73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</row>
    <row r="694" spans="1:27" ht="14.4">
      <c r="A694" s="65"/>
      <c r="B694" s="73"/>
      <c r="C694" s="73"/>
      <c r="D694" s="65"/>
      <c r="E694" s="74"/>
      <c r="F694" s="74"/>
      <c r="G694" s="74"/>
      <c r="H694" s="65"/>
      <c r="I694" s="73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</row>
    <row r="695" spans="1:27" ht="14.4">
      <c r="A695" s="65"/>
      <c r="B695" s="73"/>
      <c r="C695" s="73"/>
      <c r="D695" s="65"/>
      <c r="E695" s="74"/>
      <c r="F695" s="74"/>
      <c r="G695" s="74"/>
      <c r="H695" s="65"/>
      <c r="I695" s="73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</row>
    <row r="696" spans="1:27" ht="14.4">
      <c r="A696" s="65"/>
      <c r="B696" s="73"/>
      <c r="C696" s="73"/>
      <c r="D696" s="65"/>
      <c r="E696" s="74"/>
      <c r="F696" s="74"/>
      <c r="G696" s="74"/>
      <c r="H696" s="65"/>
      <c r="I696" s="73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</row>
    <row r="697" spans="1:27" ht="14.4">
      <c r="A697" s="65"/>
      <c r="B697" s="73"/>
      <c r="C697" s="73"/>
      <c r="D697" s="65"/>
      <c r="E697" s="74"/>
      <c r="F697" s="74"/>
      <c r="G697" s="74"/>
      <c r="H697" s="65"/>
      <c r="I697" s="73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</row>
    <row r="698" spans="1:27" ht="14.4">
      <c r="A698" s="65"/>
      <c r="B698" s="73"/>
      <c r="C698" s="73"/>
      <c r="D698" s="65"/>
      <c r="E698" s="74"/>
      <c r="F698" s="74"/>
      <c r="G698" s="74"/>
      <c r="H698" s="65"/>
      <c r="I698" s="73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</row>
    <row r="699" spans="1:27" ht="14.4">
      <c r="A699" s="65"/>
      <c r="B699" s="73"/>
      <c r="C699" s="73"/>
      <c r="D699" s="65"/>
      <c r="E699" s="74"/>
      <c r="F699" s="74"/>
      <c r="G699" s="74"/>
      <c r="H699" s="65"/>
      <c r="I699" s="73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</row>
    <row r="700" spans="1:27" ht="14.4">
      <c r="A700" s="65"/>
      <c r="B700" s="73"/>
      <c r="C700" s="73"/>
      <c r="D700" s="65"/>
      <c r="E700" s="74"/>
      <c r="F700" s="74"/>
      <c r="G700" s="74"/>
      <c r="H700" s="65"/>
      <c r="I700" s="73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</row>
    <row r="701" spans="1:27" ht="14.4">
      <c r="A701" s="65"/>
      <c r="B701" s="73"/>
      <c r="C701" s="73"/>
      <c r="D701" s="65"/>
      <c r="E701" s="74"/>
      <c r="F701" s="74"/>
      <c r="G701" s="74"/>
      <c r="H701" s="65"/>
      <c r="I701" s="73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</row>
    <row r="702" spans="1:27" ht="14.4">
      <c r="A702" s="65"/>
      <c r="B702" s="73"/>
      <c r="C702" s="73"/>
      <c r="D702" s="65"/>
      <c r="E702" s="74"/>
      <c r="F702" s="74"/>
      <c r="G702" s="74"/>
      <c r="H702" s="65"/>
      <c r="I702" s="73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</row>
    <row r="703" spans="1:27" ht="14.4">
      <c r="A703" s="65"/>
      <c r="B703" s="73"/>
      <c r="C703" s="73"/>
      <c r="D703" s="65"/>
      <c r="E703" s="74"/>
      <c r="F703" s="74"/>
      <c r="G703" s="74"/>
      <c r="H703" s="65"/>
      <c r="I703" s="73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</row>
    <row r="704" spans="1:27" ht="14.4">
      <c r="A704" s="65"/>
      <c r="B704" s="73"/>
      <c r="C704" s="73"/>
      <c r="D704" s="65"/>
      <c r="E704" s="74"/>
      <c r="F704" s="74"/>
      <c r="G704" s="74"/>
      <c r="H704" s="65"/>
      <c r="I704" s="73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</row>
    <row r="705" spans="1:27" ht="14.4">
      <c r="A705" s="65"/>
      <c r="B705" s="73"/>
      <c r="C705" s="73"/>
      <c r="D705" s="65"/>
      <c r="E705" s="74"/>
      <c r="F705" s="74"/>
      <c r="G705" s="74"/>
      <c r="H705" s="65"/>
      <c r="I705" s="73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</row>
    <row r="706" spans="1:27" ht="14.4">
      <c r="A706" s="65"/>
      <c r="B706" s="73"/>
      <c r="C706" s="73"/>
      <c r="D706" s="65"/>
      <c r="E706" s="74"/>
      <c r="F706" s="74"/>
      <c r="G706" s="74"/>
      <c r="H706" s="65"/>
      <c r="I706" s="73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</row>
    <row r="707" spans="1:27" ht="14.4">
      <c r="A707" s="65"/>
      <c r="B707" s="73"/>
      <c r="C707" s="73"/>
      <c r="D707" s="65"/>
      <c r="E707" s="74"/>
      <c r="F707" s="74"/>
      <c r="G707" s="74"/>
      <c r="H707" s="65"/>
      <c r="I707" s="73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</row>
    <row r="708" spans="1:27" ht="14.4">
      <c r="A708" s="65"/>
      <c r="B708" s="73"/>
      <c r="C708" s="73"/>
      <c r="D708" s="65"/>
      <c r="E708" s="74"/>
      <c r="F708" s="74"/>
      <c r="G708" s="74"/>
      <c r="H708" s="65"/>
      <c r="I708" s="73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</row>
    <row r="709" spans="1:27" ht="14.4">
      <c r="A709" s="65"/>
      <c r="B709" s="73"/>
      <c r="C709" s="73"/>
      <c r="D709" s="65"/>
      <c r="E709" s="74"/>
      <c r="F709" s="74"/>
      <c r="G709" s="74"/>
      <c r="H709" s="65"/>
      <c r="I709" s="73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</row>
    <row r="710" spans="1:27" ht="14.4">
      <c r="A710" s="65"/>
      <c r="B710" s="73"/>
      <c r="C710" s="73"/>
      <c r="D710" s="65"/>
      <c r="E710" s="74"/>
      <c r="F710" s="74"/>
      <c r="G710" s="74"/>
      <c r="H710" s="65"/>
      <c r="I710" s="73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</row>
    <row r="711" spans="1:27" ht="14.4">
      <c r="A711" s="65"/>
      <c r="B711" s="73"/>
      <c r="C711" s="73"/>
      <c r="D711" s="65"/>
      <c r="E711" s="74"/>
      <c r="F711" s="74"/>
      <c r="G711" s="74"/>
      <c r="H711" s="65"/>
      <c r="I711" s="73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</row>
    <row r="712" spans="1:27" ht="14.4">
      <c r="A712" s="65"/>
      <c r="B712" s="73"/>
      <c r="C712" s="73"/>
      <c r="D712" s="65"/>
      <c r="E712" s="74"/>
      <c r="F712" s="74"/>
      <c r="G712" s="74"/>
      <c r="H712" s="65"/>
      <c r="I712" s="73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</row>
    <row r="713" spans="1:27" ht="14.4">
      <c r="A713" s="65"/>
      <c r="B713" s="73"/>
      <c r="C713" s="73"/>
      <c r="D713" s="65"/>
      <c r="E713" s="74"/>
      <c r="F713" s="74"/>
      <c r="G713" s="74"/>
      <c r="H713" s="65"/>
      <c r="I713" s="73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</row>
    <row r="714" spans="1:27" ht="14.4">
      <c r="A714" s="65"/>
      <c r="B714" s="73"/>
      <c r="C714" s="73"/>
      <c r="D714" s="65"/>
      <c r="E714" s="74"/>
      <c r="F714" s="74"/>
      <c r="G714" s="74"/>
      <c r="H714" s="65"/>
      <c r="I714" s="73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</row>
    <row r="715" spans="1:27" ht="14.4">
      <c r="A715" s="65"/>
      <c r="B715" s="73"/>
      <c r="C715" s="73"/>
      <c r="D715" s="65"/>
      <c r="E715" s="74"/>
      <c r="F715" s="74"/>
      <c r="G715" s="74"/>
      <c r="H715" s="65"/>
      <c r="I715" s="73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</row>
    <row r="716" spans="1:27" ht="14.4">
      <c r="A716" s="65"/>
      <c r="B716" s="73"/>
      <c r="C716" s="73"/>
      <c r="D716" s="65"/>
      <c r="E716" s="74"/>
      <c r="F716" s="74"/>
      <c r="G716" s="74"/>
      <c r="H716" s="65"/>
      <c r="I716" s="73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</row>
    <row r="717" spans="1:27" ht="14.4">
      <c r="A717" s="65"/>
      <c r="B717" s="73"/>
      <c r="C717" s="73"/>
      <c r="D717" s="65"/>
      <c r="E717" s="74"/>
      <c r="F717" s="74"/>
      <c r="G717" s="74"/>
      <c r="H717" s="65"/>
      <c r="I717" s="73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</row>
    <row r="718" spans="1:27" ht="14.4">
      <c r="A718" s="65"/>
      <c r="B718" s="73"/>
      <c r="C718" s="73"/>
      <c r="D718" s="65"/>
      <c r="E718" s="74"/>
      <c r="F718" s="74"/>
      <c r="G718" s="74"/>
      <c r="H718" s="65"/>
      <c r="I718" s="73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</row>
    <row r="719" spans="1:27" ht="14.4">
      <c r="A719" s="65"/>
      <c r="B719" s="73"/>
      <c r="C719" s="73"/>
      <c r="D719" s="65"/>
      <c r="E719" s="74"/>
      <c r="F719" s="74"/>
      <c r="G719" s="74"/>
      <c r="H719" s="65"/>
      <c r="I719" s="73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</row>
    <row r="720" spans="1:27" ht="14.4">
      <c r="A720" s="65"/>
      <c r="B720" s="73"/>
      <c r="C720" s="73"/>
      <c r="D720" s="65"/>
      <c r="E720" s="74"/>
      <c r="F720" s="74"/>
      <c r="G720" s="74"/>
      <c r="H720" s="65"/>
      <c r="I720" s="73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</row>
    <row r="721" spans="1:27" ht="14.4">
      <c r="A721" s="65"/>
      <c r="B721" s="73"/>
      <c r="C721" s="73"/>
      <c r="D721" s="65"/>
      <c r="E721" s="74"/>
      <c r="F721" s="74"/>
      <c r="G721" s="74"/>
      <c r="H721" s="65"/>
      <c r="I721" s="73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</row>
    <row r="722" spans="1:27" ht="14.4">
      <c r="A722" s="65"/>
      <c r="B722" s="73"/>
      <c r="C722" s="73"/>
      <c r="D722" s="65"/>
      <c r="E722" s="74"/>
      <c r="F722" s="74"/>
      <c r="G722" s="74"/>
      <c r="H722" s="65"/>
      <c r="I722" s="73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</row>
    <row r="723" spans="1:27" ht="14.4">
      <c r="A723" s="65"/>
      <c r="B723" s="73"/>
      <c r="C723" s="73"/>
      <c r="D723" s="65"/>
      <c r="E723" s="74"/>
      <c r="F723" s="74"/>
      <c r="G723" s="74"/>
      <c r="H723" s="65"/>
      <c r="I723" s="73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</row>
    <row r="724" spans="1:27" ht="14.4">
      <c r="A724" s="65"/>
      <c r="B724" s="73"/>
      <c r="C724" s="73"/>
      <c r="D724" s="65"/>
      <c r="E724" s="74"/>
      <c r="F724" s="74"/>
      <c r="G724" s="74"/>
      <c r="H724" s="65"/>
      <c r="I724" s="73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</row>
    <row r="725" spans="1:27" ht="14.4">
      <c r="A725" s="65"/>
      <c r="B725" s="73"/>
      <c r="C725" s="73"/>
      <c r="D725" s="65"/>
      <c r="E725" s="74"/>
      <c r="F725" s="74"/>
      <c r="G725" s="74"/>
      <c r="H725" s="65"/>
      <c r="I725" s="73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</row>
    <row r="726" spans="1:27" ht="14.4">
      <c r="A726" s="65"/>
      <c r="B726" s="73"/>
      <c r="C726" s="73"/>
      <c r="D726" s="65"/>
      <c r="E726" s="74"/>
      <c r="F726" s="74"/>
      <c r="G726" s="74"/>
      <c r="H726" s="65"/>
      <c r="I726" s="73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</row>
    <row r="727" spans="1:27" ht="14.4">
      <c r="A727" s="65"/>
      <c r="B727" s="73"/>
      <c r="C727" s="73"/>
      <c r="D727" s="65"/>
      <c r="E727" s="74"/>
      <c r="F727" s="74"/>
      <c r="G727" s="74"/>
      <c r="H727" s="65"/>
      <c r="I727" s="73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</row>
    <row r="728" spans="1:27" ht="14.4">
      <c r="A728" s="65"/>
      <c r="B728" s="73"/>
      <c r="C728" s="73"/>
      <c r="D728" s="65"/>
      <c r="E728" s="74"/>
      <c r="F728" s="74"/>
      <c r="G728" s="74"/>
      <c r="H728" s="65"/>
      <c r="I728" s="73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</row>
    <row r="729" spans="1:27" ht="14.4">
      <c r="A729" s="65"/>
      <c r="B729" s="73"/>
      <c r="C729" s="73"/>
      <c r="D729" s="65"/>
      <c r="E729" s="74"/>
      <c r="F729" s="74"/>
      <c r="G729" s="74"/>
      <c r="H729" s="65"/>
      <c r="I729" s="73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</row>
    <row r="730" spans="1:27" ht="14.4">
      <c r="A730" s="65"/>
      <c r="B730" s="73"/>
      <c r="C730" s="73"/>
      <c r="D730" s="65"/>
      <c r="E730" s="74"/>
      <c r="F730" s="74"/>
      <c r="G730" s="74"/>
      <c r="H730" s="65"/>
      <c r="I730" s="73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</row>
    <row r="731" spans="1:27" ht="14.4">
      <c r="A731" s="65"/>
      <c r="B731" s="73"/>
      <c r="C731" s="73"/>
      <c r="D731" s="65"/>
      <c r="E731" s="74"/>
      <c r="F731" s="74"/>
      <c r="G731" s="74"/>
      <c r="H731" s="65"/>
      <c r="I731" s="73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</row>
    <row r="732" spans="1:27" ht="14.4">
      <c r="A732" s="65"/>
      <c r="B732" s="73"/>
      <c r="C732" s="73"/>
      <c r="D732" s="65"/>
      <c r="E732" s="74"/>
      <c r="F732" s="74"/>
      <c r="G732" s="74"/>
      <c r="H732" s="65"/>
      <c r="I732" s="73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</row>
    <row r="733" spans="1:27" ht="14.4">
      <c r="A733" s="65"/>
      <c r="B733" s="73"/>
      <c r="C733" s="73"/>
      <c r="D733" s="65"/>
      <c r="E733" s="74"/>
      <c r="F733" s="74"/>
      <c r="G733" s="74"/>
      <c r="H733" s="65"/>
      <c r="I733" s="73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</row>
    <row r="734" spans="1:27" ht="14.4">
      <c r="A734" s="65"/>
      <c r="B734" s="73"/>
      <c r="C734" s="73"/>
      <c r="D734" s="65"/>
      <c r="E734" s="74"/>
      <c r="F734" s="74"/>
      <c r="G734" s="74"/>
      <c r="H734" s="65"/>
      <c r="I734" s="73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</row>
    <row r="735" spans="1:27" ht="14.4">
      <c r="A735" s="65"/>
      <c r="B735" s="73"/>
      <c r="C735" s="73"/>
      <c r="D735" s="65"/>
      <c r="E735" s="74"/>
      <c r="F735" s="74"/>
      <c r="G735" s="74"/>
      <c r="H735" s="65"/>
      <c r="I735" s="73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</row>
    <row r="736" spans="1:27" ht="14.4">
      <c r="A736" s="65"/>
      <c r="B736" s="73"/>
      <c r="C736" s="73"/>
      <c r="D736" s="65"/>
      <c r="E736" s="74"/>
      <c r="F736" s="74"/>
      <c r="G736" s="74"/>
      <c r="H736" s="65"/>
      <c r="I736" s="73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</row>
    <row r="737" spans="1:27" ht="14.4">
      <c r="A737" s="65"/>
      <c r="B737" s="73"/>
      <c r="C737" s="73"/>
      <c r="D737" s="65"/>
      <c r="E737" s="74"/>
      <c r="F737" s="74"/>
      <c r="G737" s="74"/>
      <c r="H737" s="65"/>
      <c r="I737" s="73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</row>
    <row r="738" spans="1:27" ht="14.4">
      <c r="A738" s="65"/>
      <c r="B738" s="73"/>
      <c r="C738" s="73"/>
      <c r="D738" s="65"/>
      <c r="E738" s="74"/>
      <c r="F738" s="74"/>
      <c r="G738" s="74"/>
      <c r="H738" s="65"/>
      <c r="I738" s="73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</row>
    <row r="739" spans="1:27" ht="14.4">
      <c r="A739" s="65"/>
      <c r="B739" s="73"/>
      <c r="C739" s="73"/>
      <c r="D739" s="65"/>
      <c r="E739" s="74"/>
      <c r="F739" s="74"/>
      <c r="G739" s="74"/>
      <c r="H739" s="65"/>
      <c r="I739" s="73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</row>
    <row r="740" spans="1:27" ht="14.4">
      <c r="A740" s="65"/>
      <c r="B740" s="73"/>
      <c r="C740" s="73"/>
      <c r="D740" s="65"/>
      <c r="E740" s="74"/>
      <c r="F740" s="74"/>
      <c r="G740" s="74"/>
      <c r="H740" s="65"/>
      <c r="I740" s="73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</row>
    <row r="741" spans="1:27" ht="14.4">
      <c r="A741" s="65"/>
      <c r="B741" s="73"/>
      <c r="C741" s="73"/>
      <c r="D741" s="65"/>
      <c r="E741" s="74"/>
      <c r="F741" s="74"/>
      <c r="G741" s="74"/>
      <c r="H741" s="65"/>
      <c r="I741" s="73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</row>
    <row r="742" spans="1:27" ht="14.4">
      <c r="A742" s="65"/>
      <c r="B742" s="73"/>
      <c r="C742" s="73"/>
      <c r="D742" s="65"/>
      <c r="E742" s="74"/>
      <c r="F742" s="74"/>
      <c r="G742" s="74"/>
      <c r="H742" s="65"/>
      <c r="I742" s="73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</row>
    <row r="743" spans="1:27" ht="14.4">
      <c r="A743" s="65"/>
      <c r="B743" s="73"/>
      <c r="C743" s="73"/>
      <c r="D743" s="65"/>
      <c r="E743" s="74"/>
      <c r="F743" s="74"/>
      <c r="G743" s="74"/>
      <c r="H743" s="65"/>
      <c r="I743" s="73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</row>
    <row r="744" spans="1:27" ht="14.4">
      <c r="A744" s="65"/>
      <c r="B744" s="73"/>
      <c r="C744" s="73"/>
      <c r="D744" s="65"/>
      <c r="E744" s="74"/>
      <c r="F744" s="74"/>
      <c r="G744" s="74"/>
      <c r="H744" s="65"/>
      <c r="I744" s="73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</row>
    <row r="745" spans="1:27" ht="14.4">
      <c r="A745" s="65"/>
      <c r="B745" s="73"/>
      <c r="C745" s="73"/>
      <c r="D745" s="65"/>
      <c r="E745" s="74"/>
      <c r="F745" s="74"/>
      <c r="G745" s="74"/>
      <c r="H745" s="65"/>
      <c r="I745" s="73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</row>
    <row r="746" spans="1:27" ht="14.4">
      <c r="A746" s="65"/>
      <c r="B746" s="73"/>
      <c r="C746" s="73"/>
      <c r="D746" s="65"/>
      <c r="E746" s="74"/>
      <c r="F746" s="74"/>
      <c r="G746" s="74"/>
      <c r="H746" s="65"/>
      <c r="I746" s="73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</row>
    <row r="747" spans="1:27" ht="14.4">
      <c r="A747" s="65"/>
      <c r="B747" s="73"/>
      <c r="C747" s="73"/>
      <c r="D747" s="65"/>
      <c r="E747" s="74"/>
      <c r="F747" s="74"/>
      <c r="G747" s="74"/>
      <c r="H747" s="65"/>
      <c r="I747" s="73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</row>
    <row r="748" spans="1:27" ht="14.4">
      <c r="A748" s="65"/>
      <c r="B748" s="73"/>
      <c r="C748" s="73"/>
      <c r="D748" s="65"/>
      <c r="E748" s="74"/>
      <c r="F748" s="74"/>
      <c r="G748" s="74"/>
      <c r="H748" s="65"/>
      <c r="I748" s="73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</row>
    <row r="749" spans="1:27" ht="14.4">
      <c r="A749" s="65"/>
      <c r="B749" s="73"/>
      <c r="C749" s="73"/>
      <c r="D749" s="65"/>
      <c r="E749" s="74"/>
      <c r="F749" s="74"/>
      <c r="G749" s="74"/>
      <c r="H749" s="65"/>
      <c r="I749" s="73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</row>
    <row r="750" spans="1:27" ht="14.4">
      <c r="A750" s="65"/>
      <c r="B750" s="73"/>
      <c r="C750" s="73"/>
      <c r="D750" s="65"/>
      <c r="E750" s="74"/>
      <c r="F750" s="74"/>
      <c r="G750" s="74"/>
      <c r="H750" s="65"/>
      <c r="I750" s="73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</row>
    <row r="751" spans="1:27" ht="14.4">
      <c r="A751" s="65"/>
      <c r="B751" s="73"/>
      <c r="C751" s="73"/>
      <c r="D751" s="65"/>
      <c r="E751" s="74"/>
      <c r="F751" s="74"/>
      <c r="G751" s="74"/>
      <c r="H751" s="65"/>
      <c r="I751" s="73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</row>
    <row r="752" spans="1:27" ht="14.4">
      <c r="A752" s="65"/>
      <c r="B752" s="73"/>
      <c r="C752" s="73"/>
      <c r="D752" s="65"/>
      <c r="E752" s="74"/>
      <c r="F752" s="74"/>
      <c r="G752" s="74"/>
      <c r="H752" s="65"/>
      <c r="I752" s="73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</row>
    <row r="753" spans="1:27" ht="14.4">
      <c r="A753" s="65"/>
      <c r="B753" s="73"/>
      <c r="C753" s="73"/>
      <c r="D753" s="65"/>
      <c r="E753" s="74"/>
      <c r="F753" s="74"/>
      <c r="G753" s="74"/>
      <c r="H753" s="65"/>
      <c r="I753" s="73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</row>
    <row r="754" spans="1:27" ht="14.4">
      <c r="A754" s="65"/>
      <c r="B754" s="73"/>
      <c r="C754" s="73"/>
      <c r="D754" s="65"/>
      <c r="E754" s="74"/>
      <c r="F754" s="74"/>
      <c r="G754" s="74"/>
      <c r="H754" s="65"/>
      <c r="I754" s="73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</row>
    <row r="755" spans="1:27" ht="14.4">
      <c r="A755" s="65"/>
      <c r="B755" s="73"/>
      <c r="C755" s="73"/>
      <c r="D755" s="65"/>
      <c r="E755" s="74"/>
      <c r="F755" s="74"/>
      <c r="G755" s="74"/>
      <c r="H755" s="65"/>
      <c r="I755" s="73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</row>
    <row r="756" spans="1:27" ht="14.4">
      <c r="A756" s="65"/>
      <c r="B756" s="73"/>
      <c r="C756" s="73"/>
      <c r="D756" s="65"/>
      <c r="E756" s="74"/>
      <c r="F756" s="74"/>
      <c r="G756" s="74"/>
      <c r="H756" s="65"/>
      <c r="I756" s="73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</row>
    <row r="757" spans="1:27" ht="14.4">
      <c r="A757" s="65"/>
      <c r="B757" s="73"/>
      <c r="C757" s="73"/>
      <c r="D757" s="65"/>
      <c r="E757" s="74"/>
      <c r="F757" s="74"/>
      <c r="G757" s="74"/>
      <c r="H757" s="65"/>
      <c r="I757" s="73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</row>
    <row r="758" spans="1:27" ht="14.4">
      <c r="A758" s="65"/>
      <c r="B758" s="73"/>
      <c r="C758" s="73"/>
      <c r="D758" s="65"/>
      <c r="E758" s="74"/>
      <c r="F758" s="74"/>
      <c r="G758" s="74"/>
      <c r="H758" s="65"/>
      <c r="I758" s="73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</row>
    <row r="759" spans="1:27" ht="14.4">
      <c r="A759" s="65"/>
      <c r="B759" s="73"/>
      <c r="C759" s="73"/>
      <c r="D759" s="65"/>
      <c r="E759" s="74"/>
      <c r="F759" s="74"/>
      <c r="G759" s="74"/>
      <c r="H759" s="65"/>
      <c r="I759" s="73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</row>
    <row r="760" spans="1:27" ht="14.4">
      <c r="A760" s="65"/>
      <c r="B760" s="73"/>
      <c r="C760" s="73"/>
      <c r="D760" s="65"/>
      <c r="E760" s="74"/>
      <c r="F760" s="74"/>
      <c r="G760" s="74"/>
      <c r="H760" s="65"/>
      <c r="I760" s="73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</row>
    <row r="761" spans="1:27" ht="14.4">
      <c r="A761" s="65"/>
      <c r="B761" s="73"/>
      <c r="C761" s="73"/>
      <c r="D761" s="65"/>
      <c r="E761" s="74"/>
      <c r="F761" s="74"/>
      <c r="G761" s="74"/>
      <c r="H761" s="65"/>
      <c r="I761" s="73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</row>
    <row r="762" spans="1:27" ht="14.4">
      <c r="A762" s="65"/>
      <c r="B762" s="73"/>
      <c r="C762" s="73"/>
      <c r="D762" s="65"/>
      <c r="E762" s="74"/>
      <c r="F762" s="74"/>
      <c r="G762" s="74"/>
      <c r="H762" s="65"/>
      <c r="I762" s="73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</row>
    <row r="763" spans="1:27" ht="14.4">
      <c r="A763" s="65"/>
      <c r="B763" s="73"/>
      <c r="C763" s="73"/>
      <c r="D763" s="65"/>
      <c r="E763" s="74"/>
      <c r="F763" s="74"/>
      <c r="G763" s="74"/>
      <c r="H763" s="65"/>
      <c r="I763" s="73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</row>
    <row r="764" spans="1:27" ht="14.4">
      <c r="A764" s="65"/>
      <c r="B764" s="73"/>
      <c r="C764" s="73"/>
      <c r="D764" s="65"/>
      <c r="E764" s="74"/>
      <c r="F764" s="74"/>
      <c r="G764" s="74"/>
      <c r="H764" s="65"/>
      <c r="I764" s="73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</row>
    <row r="765" spans="1:27" ht="14.4">
      <c r="A765" s="65"/>
      <c r="B765" s="73"/>
      <c r="C765" s="73"/>
      <c r="D765" s="65"/>
      <c r="E765" s="74"/>
      <c r="F765" s="74"/>
      <c r="G765" s="74"/>
      <c r="H765" s="65"/>
      <c r="I765" s="73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</row>
    <row r="766" spans="1:27" ht="14.4">
      <c r="A766" s="65"/>
      <c r="B766" s="73"/>
      <c r="C766" s="73"/>
      <c r="D766" s="65"/>
      <c r="E766" s="74"/>
      <c r="F766" s="74"/>
      <c r="G766" s="74"/>
      <c r="H766" s="65"/>
      <c r="I766" s="73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</row>
    <row r="767" spans="1:27" ht="14.4">
      <c r="A767" s="65"/>
      <c r="B767" s="73"/>
      <c r="C767" s="73"/>
      <c r="D767" s="65"/>
      <c r="E767" s="74"/>
      <c r="F767" s="74"/>
      <c r="G767" s="74"/>
      <c r="H767" s="65"/>
      <c r="I767" s="73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</row>
    <row r="768" spans="1:27" ht="14.4">
      <c r="A768" s="65"/>
      <c r="B768" s="73"/>
      <c r="C768" s="73"/>
      <c r="D768" s="65"/>
      <c r="E768" s="74"/>
      <c r="F768" s="74"/>
      <c r="G768" s="74"/>
      <c r="H768" s="65"/>
      <c r="I768" s="73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</row>
    <row r="769" spans="1:27" ht="14.4">
      <c r="A769" s="65"/>
      <c r="B769" s="73"/>
      <c r="C769" s="73"/>
      <c r="D769" s="65"/>
      <c r="E769" s="74"/>
      <c r="F769" s="74"/>
      <c r="G769" s="74"/>
      <c r="H769" s="65"/>
      <c r="I769" s="73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</row>
    <row r="770" spans="1:27" ht="14.4">
      <c r="A770" s="65"/>
      <c r="B770" s="73"/>
      <c r="C770" s="73"/>
      <c r="D770" s="65"/>
      <c r="E770" s="74"/>
      <c r="F770" s="74"/>
      <c r="G770" s="74"/>
      <c r="H770" s="65"/>
      <c r="I770" s="73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</row>
    <row r="771" spans="1:27" ht="14.4">
      <c r="A771" s="65"/>
      <c r="B771" s="73"/>
      <c r="C771" s="73"/>
      <c r="D771" s="65"/>
      <c r="E771" s="74"/>
      <c r="F771" s="74"/>
      <c r="G771" s="74"/>
      <c r="H771" s="65"/>
      <c r="I771" s="73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</row>
    <row r="772" spans="1:27" ht="14.4">
      <c r="A772" s="65"/>
      <c r="B772" s="73"/>
      <c r="C772" s="73"/>
      <c r="D772" s="65"/>
      <c r="E772" s="74"/>
      <c r="F772" s="74"/>
      <c r="G772" s="74"/>
      <c r="H772" s="65"/>
      <c r="I772" s="73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</row>
    <row r="773" spans="1:27" ht="14.4">
      <c r="A773" s="65"/>
      <c r="B773" s="73"/>
      <c r="C773" s="73"/>
      <c r="D773" s="65"/>
      <c r="E773" s="74"/>
      <c r="F773" s="74"/>
      <c r="G773" s="74"/>
      <c r="H773" s="65"/>
      <c r="I773" s="73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</row>
    <row r="774" spans="1:27" ht="14.4">
      <c r="A774" s="65"/>
      <c r="B774" s="73"/>
      <c r="C774" s="73"/>
      <c r="D774" s="65"/>
      <c r="E774" s="74"/>
      <c r="F774" s="74"/>
      <c r="G774" s="74"/>
      <c r="H774" s="65"/>
      <c r="I774" s="73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</row>
    <row r="775" spans="1:27" ht="14.4">
      <c r="A775" s="65"/>
      <c r="B775" s="73"/>
      <c r="C775" s="73"/>
      <c r="D775" s="65"/>
      <c r="E775" s="74"/>
      <c r="F775" s="74"/>
      <c r="G775" s="74"/>
      <c r="H775" s="65"/>
      <c r="I775" s="73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</row>
    <row r="776" spans="1:27" ht="14.4">
      <c r="A776" s="65"/>
      <c r="B776" s="73"/>
      <c r="C776" s="73"/>
      <c r="D776" s="65"/>
      <c r="E776" s="74"/>
      <c r="F776" s="74"/>
      <c r="G776" s="74"/>
      <c r="H776" s="65"/>
      <c r="I776" s="73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</row>
    <row r="777" spans="1:27" ht="14.4">
      <c r="A777" s="65"/>
      <c r="B777" s="73"/>
      <c r="C777" s="73"/>
      <c r="D777" s="65"/>
      <c r="E777" s="74"/>
      <c r="F777" s="74"/>
      <c r="G777" s="74"/>
      <c r="H777" s="65"/>
      <c r="I777" s="73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</row>
    <row r="778" spans="1:27" ht="14.4">
      <c r="A778" s="65"/>
      <c r="B778" s="73"/>
      <c r="C778" s="73"/>
      <c r="D778" s="65"/>
      <c r="E778" s="74"/>
      <c r="F778" s="74"/>
      <c r="G778" s="74"/>
      <c r="H778" s="65"/>
      <c r="I778" s="73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</row>
    <row r="779" spans="1:27" ht="14.4">
      <c r="A779" s="65"/>
      <c r="B779" s="73"/>
      <c r="C779" s="73"/>
      <c r="D779" s="65"/>
      <c r="E779" s="74"/>
      <c r="F779" s="74"/>
      <c r="G779" s="74"/>
      <c r="H779" s="65"/>
      <c r="I779" s="73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</row>
    <row r="780" spans="1:27" ht="14.4">
      <c r="A780" s="65"/>
      <c r="B780" s="73"/>
      <c r="C780" s="73"/>
      <c r="D780" s="65"/>
      <c r="E780" s="74"/>
      <c r="F780" s="74"/>
      <c r="G780" s="74"/>
      <c r="H780" s="65"/>
      <c r="I780" s="73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</row>
    <row r="781" spans="1:27" ht="14.4">
      <c r="A781" s="65"/>
      <c r="B781" s="73"/>
      <c r="C781" s="73"/>
      <c r="D781" s="65"/>
      <c r="E781" s="74"/>
      <c r="F781" s="74"/>
      <c r="G781" s="74"/>
      <c r="H781" s="65"/>
      <c r="I781" s="73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</row>
    <row r="782" spans="1:27" ht="14.4">
      <c r="A782" s="65"/>
      <c r="B782" s="73"/>
      <c r="C782" s="73"/>
      <c r="D782" s="65"/>
      <c r="E782" s="74"/>
      <c r="F782" s="74"/>
      <c r="G782" s="74"/>
      <c r="H782" s="65"/>
      <c r="I782" s="73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</row>
    <row r="783" spans="1:27" ht="14.4">
      <c r="A783" s="65"/>
      <c r="B783" s="73"/>
      <c r="C783" s="73"/>
      <c r="D783" s="65"/>
      <c r="E783" s="74"/>
      <c r="F783" s="74"/>
      <c r="G783" s="74"/>
      <c r="H783" s="65"/>
      <c r="I783" s="73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</row>
    <row r="784" spans="1:27" ht="14.4">
      <c r="A784" s="65"/>
      <c r="B784" s="73"/>
      <c r="C784" s="73"/>
      <c r="D784" s="65"/>
      <c r="E784" s="74"/>
      <c r="F784" s="74"/>
      <c r="G784" s="74"/>
      <c r="H784" s="65"/>
      <c r="I784" s="73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</row>
    <row r="785" spans="1:27" ht="14.4">
      <c r="A785" s="65"/>
      <c r="B785" s="73"/>
      <c r="C785" s="73"/>
      <c r="D785" s="65"/>
      <c r="E785" s="74"/>
      <c r="F785" s="74"/>
      <c r="G785" s="74"/>
      <c r="H785" s="65"/>
      <c r="I785" s="73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</row>
    <row r="786" spans="1:27" ht="14.4">
      <c r="A786" s="65"/>
      <c r="B786" s="73"/>
      <c r="C786" s="73"/>
      <c r="D786" s="65"/>
      <c r="E786" s="74"/>
      <c r="F786" s="74"/>
      <c r="G786" s="74"/>
      <c r="H786" s="65"/>
      <c r="I786" s="73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</row>
    <row r="787" spans="1:27" ht="14.4">
      <c r="A787" s="65"/>
      <c r="B787" s="73"/>
      <c r="C787" s="73"/>
      <c r="D787" s="65"/>
      <c r="E787" s="74"/>
      <c r="F787" s="74"/>
      <c r="G787" s="74"/>
      <c r="H787" s="65"/>
      <c r="I787" s="73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</row>
    <row r="788" spans="1:27" ht="14.4">
      <c r="A788" s="65"/>
      <c r="B788" s="73"/>
      <c r="C788" s="73"/>
      <c r="D788" s="65"/>
      <c r="E788" s="74"/>
      <c r="F788" s="74"/>
      <c r="G788" s="74"/>
      <c r="H788" s="65"/>
      <c r="I788" s="73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</row>
    <row r="789" spans="1:27" ht="14.4">
      <c r="A789" s="65"/>
      <c r="B789" s="73"/>
      <c r="C789" s="73"/>
      <c r="D789" s="65"/>
      <c r="E789" s="74"/>
      <c r="F789" s="74"/>
      <c r="G789" s="74"/>
      <c r="H789" s="65"/>
      <c r="I789" s="73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</row>
    <row r="790" spans="1:27" ht="14.4">
      <c r="A790" s="65"/>
      <c r="B790" s="73"/>
      <c r="C790" s="73"/>
      <c r="D790" s="65"/>
      <c r="E790" s="74"/>
      <c r="F790" s="74"/>
      <c r="G790" s="74"/>
      <c r="H790" s="65"/>
      <c r="I790" s="73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</row>
    <row r="791" spans="1:27" ht="14.4">
      <c r="A791" s="65"/>
      <c r="B791" s="73"/>
      <c r="C791" s="73"/>
      <c r="D791" s="65"/>
      <c r="E791" s="74"/>
      <c r="F791" s="74"/>
      <c r="G791" s="74"/>
      <c r="H791" s="65"/>
      <c r="I791" s="73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</row>
    <row r="792" spans="1:27" ht="14.4">
      <c r="A792" s="65"/>
      <c r="B792" s="73"/>
      <c r="C792" s="73"/>
      <c r="D792" s="65"/>
      <c r="E792" s="74"/>
      <c r="F792" s="74"/>
      <c r="G792" s="74"/>
      <c r="H792" s="65"/>
      <c r="I792" s="73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</row>
    <row r="793" spans="1:27" ht="14.4">
      <c r="A793" s="65"/>
      <c r="B793" s="73"/>
      <c r="C793" s="73"/>
      <c r="D793" s="65"/>
      <c r="E793" s="74"/>
      <c r="F793" s="74"/>
      <c r="G793" s="74"/>
      <c r="H793" s="65"/>
      <c r="I793" s="73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</row>
    <row r="794" spans="1:27" ht="14.4">
      <c r="A794" s="65"/>
      <c r="B794" s="73"/>
      <c r="C794" s="73"/>
      <c r="D794" s="65"/>
      <c r="E794" s="74"/>
      <c r="F794" s="74"/>
      <c r="G794" s="74"/>
      <c r="H794" s="65"/>
      <c r="I794" s="73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</row>
    <row r="795" spans="1:27" ht="14.4">
      <c r="A795" s="65"/>
      <c r="B795" s="73"/>
      <c r="C795" s="73"/>
      <c r="D795" s="65"/>
      <c r="E795" s="74"/>
      <c r="F795" s="74"/>
      <c r="G795" s="74"/>
      <c r="H795" s="65"/>
      <c r="I795" s="73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</row>
    <row r="796" spans="1:27" ht="14.4">
      <c r="A796" s="65"/>
      <c r="B796" s="73"/>
      <c r="C796" s="73"/>
      <c r="D796" s="65"/>
      <c r="E796" s="74"/>
      <c r="F796" s="74"/>
      <c r="G796" s="74"/>
      <c r="H796" s="65"/>
      <c r="I796" s="73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</row>
    <row r="797" spans="1:27" ht="14.4">
      <c r="A797" s="65"/>
      <c r="B797" s="73"/>
      <c r="C797" s="73"/>
      <c r="D797" s="65"/>
      <c r="E797" s="74"/>
      <c r="F797" s="74"/>
      <c r="G797" s="74"/>
      <c r="H797" s="65"/>
      <c r="I797" s="73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</row>
    <row r="798" spans="1:27" ht="14.4">
      <c r="A798" s="65"/>
      <c r="B798" s="73"/>
      <c r="C798" s="73"/>
      <c r="D798" s="65"/>
      <c r="E798" s="74"/>
      <c r="F798" s="74"/>
      <c r="G798" s="74"/>
      <c r="H798" s="65"/>
      <c r="I798" s="73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</row>
    <row r="799" spans="1:27" ht="14.4">
      <c r="A799" s="65"/>
      <c r="B799" s="73"/>
      <c r="C799" s="73"/>
      <c r="D799" s="65"/>
      <c r="E799" s="74"/>
      <c r="F799" s="74"/>
      <c r="G799" s="74"/>
      <c r="H799" s="65"/>
      <c r="I799" s="73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</row>
    <row r="800" spans="1:27" ht="14.4">
      <c r="A800" s="65"/>
      <c r="B800" s="73"/>
      <c r="C800" s="73"/>
      <c r="D800" s="65"/>
      <c r="E800" s="74"/>
      <c r="F800" s="74"/>
      <c r="G800" s="74"/>
      <c r="H800" s="65"/>
      <c r="I800" s="73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</row>
    <row r="801" spans="1:27" ht="14.4">
      <c r="A801" s="65"/>
      <c r="B801" s="73"/>
      <c r="C801" s="73"/>
      <c r="D801" s="65"/>
      <c r="E801" s="74"/>
      <c r="F801" s="74"/>
      <c r="G801" s="74"/>
      <c r="H801" s="65"/>
      <c r="I801" s="73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</row>
    <row r="802" spans="1:27" ht="14.4">
      <c r="A802" s="65"/>
      <c r="B802" s="73"/>
      <c r="C802" s="73"/>
      <c r="D802" s="65"/>
      <c r="E802" s="74"/>
      <c r="F802" s="74"/>
      <c r="G802" s="74"/>
      <c r="H802" s="65"/>
      <c r="I802" s="73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</row>
    <row r="803" spans="1:27" ht="14.4">
      <c r="A803" s="65"/>
      <c r="B803" s="73"/>
      <c r="C803" s="73"/>
      <c r="D803" s="65"/>
      <c r="E803" s="74"/>
      <c r="F803" s="74"/>
      <c r="G803" s="74"/>
      <c r="H803" s="65"/>
      <c r="I803" s="73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</row>
    <row r="804" spans="1:27" ht="14.4">
      <c r="A804" s="65"/>
      <c r="B804" s="73"/>
      <c r="C804" s="73"/>
      <c r="D804" s="65"/>
      <c r="E804" s="74"/>
      <c r="F804" s="74"/>
      <c r="G804" s="74"/>
      <c r="H804" s="65"/>
      <c r="I804" s="73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</row>
    <row r="805" spans="1:27" ht="14.4">
      <c r="A805" s="65"/>
      <c r="B805" s="73"/>
      <c r="C805" s="73"/>
      <c r="D805" s="65"/>
      <c r="E805" s="74"/>
      <c r="F805" s="74"/>
      <c r="G805" s="74"/>
      <c r="H805" s="65"/>
      <c r="I805" s="73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</row>
    <row r="806" spans="1:27" ht="14.4">
      <c r="A806" s="65"/>
      <c r="B806" s="73"/>
      <c r="C806" s="73"/>
      <c r="D806" s="65"/>
      <c r="E806" s="74"/>
      <c r="F806" s="74"/>
      <c r="G806" s="74"/>
      <c r="H806" s="65"/>
      <c r="I806" s="73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</row>
    <row r="807" spans="1:27" ht="14.4">
      <c r="A807" s="65"/>
      <c r="B807" s="73"/>
      <c r="C807" s="73"/>
      <c r="D807" s="65"/>
      <c r="E807" s="74"/>
      <c r="F807" s="74"/>
      <c r="G807" s="74"/>
      <c r="H807" s="65"/>
      <c r="I807" s="73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</row>
    <row r="808" spans="1:27" ht="14.4">
      <c r="A808" s="65"/>
      <c r="B808" s="73"/>
      <c r="C808" s="73"/>
      <c r="D808" s="65"/>
      <c r="E808" s="74"/>
      <c r="F808" s="74"/>
      <c r="G808" s="74"/>
      <c r="H808" s="65"/>
      <c r="I808" s="73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</row>
    <row r="809" spans="1:27" ht="14.4">
      <c r="A809" s="65"/>
      <c r="B809" s="73"/>
      <c r="C809" s="73"/>
      <c r="D809" s="65"/>
      <c r="E809" s="74"/>
      <c r="F809" s="74"/>
      <c r="G809" s="74"/>
      <c r="H809" s="65"/>
      <c r="I809" s="73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</row>
    <row r="810" spans="1:27" ht="14.4">
      <c r="A810" s="65"/>
      <c r="B810" s="73"/>
      <c r="C810" s="73"/>
      <c r="D810" s="65"/>
      <c r="E810" s="74"/>
      <c r="F810" s="74"/>
      <c r="G810" s="74"/>
      <c r="H810" s="65"/>
      <c r="I810" s="73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</row>
    <row r="811" spans="1:27" ht="14.4">
      <c r="A811" s="65"/>
      <c r="B811" s="73"/>
      <c r="C811" s="73"/>
      <c r="D811" s="65"/>
      <c r="E811" s="74"/>
      <c r="F811" s="74"/>
      <c r="G811" s="74"/>
      <c r="H811" s="65"/>
      <c r="I811" s="73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</row>
    <row r="812" spans="1:27" ht="14.4">
      <c r="A812" s="65"/>
      <c r="B812" s="73"/>
      <c r="C812" s="73"/>
      <c r="D812" s="65"/>
      <c r="E812" s="74"/>
      <c r="F812" s="74"/>
      <c r="G812" s="74"/>
      <c r="H812" s="65"/>
      <c r="I812" s="73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</row>
    <row r="813" spans="1:27" ht="14.4">
      <c r="A813" s="65"/>
      <c r="B813" s="73"/>
      <c r="C813" s="73"/>
      <c r="D813" s="65"/>
      <c r="E813" s="74"/>
      <c r="F813" s="74"/>
      <c r="G813" s="74"/>
      <c r="H813" s="65"/>
      <c r="I813" s="73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</row>
    <row r="814" spans="1:27" ht="14.4">
      <c r="A814" s="65"/>
      <c r="B814" s="73"/>
      <c r="C814" s="73"/>
      <c r="D814" s="65"/>
      <c r="E814" s="74"/>
      <c r="F814" s="74"/>
      <c r="G814" s="74"/>
      <c r="H814" s="65"/>
      <c r="I814" s="73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</row>
    <row r="815" spans="1:27" ht="14.4">
      <c r="A815" s="65"/>
      <c r="B815" s="73"/>
      <c r="C815" s="73"/>
      <c r="D815" s="65"/>
      <c r="E815" s="74"/>
      <c r="F815" s="74"/>
      <c r="G815" s="74"/>
      <c r="H815" s="65"/>
      <c r="I815" s="73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</row>
    <row r="816" spans="1:27" ht="14.4">
      <c r="A816" s="65"/>
      <c r="B816" s="73"/>
      <c r="C816" s="73"/>
      <c r="D816" s="65"/>
      <c r="E816" s="74"/>
      <c r="F816" s="74"/>
      <c r="G816" s="74"/>
      <c r="H816" s="65"/>
      <c r="I816" s="73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</row>
    <row r="817" spans="1:27" ht="14.4">
      <c r="A817" s="65"/>
      <c r="B817" s="73"/>
      <c r="C817" s="73"/>
      <c r="D817" s="65"/>
      <c r="E817" s="74"/>
      <c r="F817" s="74"/>
      <c r="G817" s="74"/>
      <c r="H817" s="65"/>
      <c r="I817" s="73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</row>
    <row r="818" spans="1:27" ht="14.4">
      <c r="A818" s="65"/>
      <c r="B818" s="73"/>
      <c r="C818" s="73"/>
      <c r="D818" s="65"/>
      <c r="E818" s="74"/>
      <c r="F818" s="74"/>
      <c r="G818" s="74"/>
      <c r="H818" s="65"/>
      <c r="I818" s="73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</row>
    <row r="819" spans="1:27" ht="14.4">
      <c r="A819" s="65"/>
      <c r="B819" s="73"/>
      <c r="C819" s="73"/>
      <c r="D819" s="65"/>
      <c r="E819" s="74"/>
      <c r="F819" s="74"/>
      <c r="G819" s="74"/>
      <c r="H819" s="65"/>
      <c r="I819" s="73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</row>
    <row r="820" spans="1:27" ht="14.4">
      <c r="A820" s="65"/>
      <c r="B820" s="73"/>
      <c r="C820" s="73"/>
      <c r="D820" s="65"/>
      <c r="E820" s="74"/>
      <c r="F820" s="74"/>
      <c r="G820" s="74"/>
      <c r="H820" s="65"/>
      <c r="I820" s="73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</row>
    <row r="821" spans="1:27" ht="14.4">
      <c r="A821" s="65"/>
      <c r="B821" s="73"/>
      <c r="C821" s="73"/>
      <c r="D821" s="65"/>
      <c r="E821" s="74"/>
      <c r="F821" s="74"/>
      <c r="G821" s="74"/>
      <c r="H821" s="65"/>
      <c r="I821" s="73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</row>
    <row r="822" spans="1:27" ht="14.4">
      <c r="A822" s="65"/>
      <c r="B822" s="73"/>
      <c r="C822" s="73"/>
      <c r="D822" s="65"/>
      <c r="E822" s="74"/>
      <c r="F822" s="74"/>
      <c r="G822" s="74"/>
      <c r="H822" s="65"/>
      <c r="I822" s="73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</row>
    <row r="823" spans="1:27" ht="14.4">
      <c r="A823" s="65"/>
      <c r="B823" s="73"/>
      <c r="C823" s="73"/>
      <c r="D823" s="65"/>
      <c r="E823" s="74"/>
      <c r="F823" s="74"/>
      <c r="G823" s="74"/>
      <c r="H823" s="65"/>
      <c r="I823" s="73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</row>
    <row r="824" spans="1:27" ht="14.4">
      <c r="A824" s="65"/>
      <c r="B824" s="73"/>
      <c r="C824" s="73"/>
      <c r="D824" s="65"/>
      <c r="E824" s="74"/>
      <c r="F824" s="74"/>
      <c r="G824" s="74"/>
      <c r="H824" s="65"/>
      <c r="I824" s="73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</row>
    <row r="825" spans="1:27" ht="14.4">
      <c r="A825" s="65"/>
      <c r="B825" s="73"/>
      <c r="C825" s="73"/>
      <c r="D825" s="65"/>
      <c r="E825" s="74"/>
      <c r="F825" s="74"/>
      <c r="G825" s="74"/>
      <c r="H825" s="65"/>
      <c r="I825" s="73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</row>
    <row r="826" spans="1:27" ht="14.4">
      <c r="A826" s="65"/>
      <c r="B826" s="73"/>
      <c r="C826" s="73"/>
      <c r="D826" s="65"/>
      <c r="E826" s="74"/>
      <c r="F826" s="74"/>
      <c r="G826" s="74"/>
      <c r="H826" s="65"/>
      <c r="I826" s="73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</row>
    <row r="827" spans="1:27" ht="14.4">
      <c r="A827" s="65"/>
      <c r="B827" s="73"/>
      <c r="C827" s="73"/>
      <c r="D827" s="65"/>
      <c r="E827" s="74"/>
      <c r="F827" s="74"/>
      <c r="G827" s="74"/>
      <c r="H827" s="65"/>
      <c r="I827" s="73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</row>
    <row r="828" spans="1:27" ht="14.4">
      <c r="A828" s="65"/>
      <c r="B828" s="73"/>
      <c r="C828" s="73"/>
      <c r="D828" s="65"/>
      <c r="E828" s="74"/>
      <c r="F828" s="74"/>
      <c r="G828" s="74"/>
      <c r="H828" s="65"/>
      <c r="I828" s="73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</row>
    <row r="829" spans="1:27" ht="14.4">
      <c r="A829" s="65"/>
      <c r="B829" s="73"/>
      <c r="C829" s="73"/>
      <c r="D829" s="65"/>
      <c r="E829" s="74"/>
      <c r="F829" s="74"/>
      <c r="G829" s="74"/>
      <c r="H829" s="65"/>
      <c r="I829" s="73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</row>
    <row r="830" spans="1:27" ht="14.4">
      <c r="A830" s="65"/>
      <c r="B830" s="73"/>
      <c r="C830" s="73"/>
      <c r="D830" s="65"/>
      <c r="E830" s="74"/>
      <c r="F830" s="74"/>
      <c r="G830" s="74"/>
      <c r="H830" s="65"/>
      <c r="I830" s="73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</row>
    <row r="831" spans="1:27" ht="14.4">
      <c r="A831" s="65"/>
      <c r="B831" s="73"/>
      <c r="C831" s="73"/>
      <c r="D831" s="65"/>
      <c r="E831" s="74"/>
      <c r="F831" s="74"/>
      <c r="G831" s="74"/>
      <c r="H831" s="65"/>
      <c r="I831" s="73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</row>
    <row r="832" spans="1:27" ht="14.4">
      <c r="A832" s="65"/>
      <c r="B832" s="73"/>
      <c r="C832" s="73"/>
      <c r="D832" s="65"/>
      <c r="E832" s="74"/>
      <c r="F832" s="74"/>
      <c r="G832" s="74"/>
      <c r="H832" s="65"/>
      <c r="I832" s="73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</row>
    <row r="833" spans="1:27" ht="14.4">
      <c r="A833" s="65"/>
      <c r="B833" s="73"/>
      <c r="C833" s="73"/>
      <c r="D833" s="65"/>
      <c r="E833" s="74"/>
      <c r="F833" s="74"/>
      <c r="G833" s="74"/>
      <c r="H833" s="65"/>
      <c r="I833" s="73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</row>
    <row r="834" spans="1:27" ht="14.4">
      <c r="A834" s="65"/>
      <c r="B834" s="73"/>
      <c r="C834" s="73"/>
      <c r="D834" s="65"/>
      <c r="E834" s="74"/>
      <c r="F834" s="74"/>
      <c r="G834" s="74"/>
      <c r="H834" s="65"/>
      <c r="I834" s="73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</row>
    <row r="835" spans="1:27" ht="14.4">
      <c r="A835" s="65"/>
      <c r="B835" s="73"/>
      <c r="C835" s="73"/>
      <c r="D835" s="65"/>
      <c r="E835" s="74"/>
      <c r="F835" s="74"/>
      <c r="G835" s="74"/>
      <c r="H835" s="65"/>
      <c r="I835" s="73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</row>
    <row r="836" spans="1:27" ht="14.4">
      <c r="A836" s="65"/>
      <c r="B836" s="73"/>
      <c r="C836" s="73"/>
      <c r="D836" s="65"/>
      <c r="E836" s="74"/>
      <c r="F836" s="74"/>
      <c r="G836" s="74"/>
      <c r="H836" s="65"/>
      <c r="I836" s="73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</row>
    <row r="837" spans="1:27" ht="14.4">
      <c r="A837" s="65"/>
      <c r="B837" s="73"/>
      <c r="C837" s="73"/>
      <c r="D837" s="65"/>
      <c r="E837" s="74"/>
      <c r="F837" s="74"/>
      <c r="G837" s="74"/>
      <c r="H837" s="65"/>
      <c r="I837" s="73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</row>
    <row r="838" spans="1:27" ht="14.4">
      <c r="A838" s="65"/>
      <c r="B838" s="73"/>
      <c r="C838" s="73"/>
      <c r="D838" s="65"/>
      <c r="E838" s="74"/>
      <c r="F838" s="74"/>
      <c r="G838" s="74"/>
      <c r="H838" s="65"/>
      <c r="I838" s="73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</row>
    <row r="839" spans="1:27" ht="14.4">
      <c r="A839" s="65"/>
      <c r="B839" s="73"/>
      <c r="C839" s="73"/>
      <c r="D839" s="65"/>
      <c r="E839" s="74"/>
      <c r="F839" s="74"/>
      <c r="G839" s="74"/>
      <c r="H839" s="65"/>
      <c r="I839" s="73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</row>
    <row r="840" spans="1:27" ht="14.4">
      <c r="A840" s="65"/>
      <c r="B840" s="73"/>
      <c r="C840" s="73"/>
      <c r="D840" s="65"/>
      <c r="E840" s="74"/>
      <c r="F840" s="74"/>
      <c r="G840" s="74"/>
      <c r="H840" s="65"/>
      <c r="I840" s="73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</row>
    <row r="841" spans="1:27" ht="14.4">
      <c r="A841" s="65"/>
      <c r="B841" s="73"/>
      <c r="C841" s="73"/>
      <c r="D841" s="65"/>
      <c r="E841" s="74"/>
      <c r="F841" s="74"/>
      <c r="G841" s="74"/>
      <c r="H841" s="65"/>
      <c r="I841" s="73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</row>
    <row r="842" spans="1:27" ht="14.4">
      <c r="A842" s="65"/>
      <c r="B842" s="73"/>
      <c r="C842" s="73"/>
      <c r="D842" s="65"/>
      <c r="E842" s="74"/>
      <c r="F842" s="74"/>
      <c r="G842" s="74"/>
      <c r="H842" s="65"/>
      <c r="I842" s="73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</row>
    <row r="843" spans="1:27" ht="14.4">
      <c r="A843" s="65"/>
      <c r="B843" s="73"/>
      <c r="C843" s="73"/>
      <c r="D843" s="65"/>
      <c r="E843" s="74"/>
      <c r="F843" s="74"/>
      <c r="G843" s="74"/>
      <c r="H843" s="65"/>
      <c r="I843" s="73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</row>
    <row r="844" spans="1:27" ht="14.4">
      <c r="A844" s="65"/>
      <c r="B844" s="73"/>
      <c r="C844" s="73"/>
      <c r="D844" s="65"/>
      <c r="E844" s="74"/>
      <c r="F844" s="74"/>
      <c r="G844" s="74"/>
      <c r="H844" s="65"/>
      <c r="I844" s="73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</row>
    <row r="845" spans="1:27" ht="14.4">
      <c r="A845" s="65"/>
      <c r="B845" s="73"/>
      <c r="C845" s="73"/>
      <c r="D845" s="65"/>
      <c r="E845" s="74"/>
      <c r="F845" s="74"/>
      <c r="G845" s="74"/>
      <c r="H845" s="65"/>
      <c r="I845" s="73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</row>
    <row r="846" spans="1:27" ht="14.4">
      <c r="A846" s="65"/>
      <c r="B846" s="73"/>
      <c r="C846" s="73"/>
      <c r="D846" s="65"/>
      <c r="E846" s="74"/>
      <c r="F846" s="74"/>
      <c r="G846" s="74"/>
      <c r="H846" s="65"/>
      <c r="I846" s="73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</row>
    <row r="847" spans="1:27" ht="14.4">
      <c r="A847" s="65"/>
      <c r="B847" s="73"/>
      <c r="C847" s="73"/>
      <c r="D847" s="65"/>
      <c r="E847" s="74"/>
      <c r="F847" s="74"/>
      <c r="G847" s="74"/>
      <c r="H847" s="65"/>
      <c r="I847" s="73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</row>
    <row r="848" spans="1:27" ht="14.4">
      <c r="A848" s="65"/>
      <c r="B848" s="73"/>
      <c r="C848" s="73"/>
      <c r="D848" s="65"/>
      <c r="E848" s="74"/>
      <c r="F848" s="74"/>
      <c r="G848" s="74"/>
      <c r="H848" s="65"/>
      <c r="I848" s="73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</row>
    <row r="849" spans="1:27" ht="14.4">
      <c r="A849" s="65"/>
      <c r="B849" s="73"/>
      <c r="C849" s="73"/>
      <c r="D849" s="65"/>
      <c r="E849" s="74"/>
      <c r="F849" s="74"/>
      <c r="G849" s="74"/>
      <c r="H849" s="65"/>
      <c r="I849" s="73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</row>
    <row r="850" spans="1:27" ht="14.4">
      <c r="A850" s="65"/>
      <c r="B850" s="73"/>
      <c r="C850" s="73"/>
      <c r="D850" s="65"/>
      <c r="E850" s="74"/>
      <c r="F850" s="74"/>
      <c r="G850" s="74"/>
      <c r="H850" s="65"/>
      <c r="I850" s="73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</row>
    <row r="851" spans="1:27" ht="14.4">
      <c r="A851" s="65"/>
      <c r="B851" s="73"/>
      <c r="C851" s="73"/>
      <c r="D851" s="65"/>
      <c r="E851" s="74"/>
      <c r="F851" s="74"/>
      <c r="G851" s="74"/>
      <c r="H851" s="65"/>
      <c r="I851" s="73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</row>
    <row r="852" spans="1:27" ht="14.4">
      <c r="A852" s="65"/>
      <c r="B852" s="73"/>
      <c r="C852" s="73"/>
      <c r="D852" s="65"/>
      <c r="E852" s="74"/>
      <c r="F852" s="74"/>
      <c r="G852" s="74"/>
      <c r="H852" s="65"/>
      <c r="I852" s="73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</row>
    <row r="853" spans="1:27" ht="14.4">
      <c r="A853" s="65"/>
      <c r="B853" s="73"/>
      <c r="C853" s="73"/>
      <c r="D853" s="65"/>
      <c r="E853" s="74"/>
      <c r="F853" s="74"/>
      <c r="G853" s="74"/>
      <c r="H853" s="65"/>
      <c r="I853" s="73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</row>
    <row r="854" spans="1:27" ht="14.4">
      <c r="A854" s="65"/>
      <c r="B854" s="73"/>
      <c r="C854" s="73"/>
      <c r="D854" s="65"/>
      <c r="E854" s="74"/>
      <c r="F854" s="74"/>
      <c r="G854" s="74"/>
      <c r="H854" s="65"/>
      <c r="I854" s="73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</row>
    <row r="855" spans="1:27" ht="14.4">
      <c r="A855" s="65"/>
      <c r="B855" s="73"/>
      <c r="C855" s="73"/>
      <c r="D855" s="65"/>
      <c r="E855" s="74"/>
      <c r="F855" s="74"/>
      <c r="G855" s="74"/>
      <c r="H855" s="65"/>
      <c r="I855" s="73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</row>
    <row r="856" spans="1:27" ht="14.4">
      <c r="A856" s="65"/>
      <c r="B856" s="73"/>
      <c r="C856" s="73"/>
      <c r="D856" s="65"/>
      <c r="E856" s="74"/>
      <c r="F856" s="74"/>
      <c r="G856" s="74"/>
      <c r="H856" s="65"/>
      <c r="I856" s="73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</row>
    <row r="857" spans="1:27" ht="14.4">
      <c r="A857" s="65"/>
      <c r="B857" s="73"/>
      <c r="C857" s="73"/>
      <c r="D857" s="65"/>
      <c r="E857" s="74"/>
      <c r="F857" s="74"/>
      <c r="G857" s="74"/>
      <c r="H857" s="65"/>
      <c r="I857" s="73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</row>
    <row r="858" spans="1:27" ht="14.4">
      <c r="A858" s="65"/>
      <c r="B858" s="73"/>
      <c r="C858" s="73"/>
      <c r="D858" s="65"/>
      <c r="E858" s="74"/>
      <c r="F858" s="74"/>
      <c r="G858" s="74"/>
      <c r="H858" s="65"/>
      <c r="I858" s="73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</row>
    <row r="859" spans="1:27" ht="14.4">
      <c r="A859" s="65"/>
      <c r="B859" s="73"/>
      <c r="C859" s="73"/>
      <c r="D859" s="65"/>
      <c r="E859" s="74"/>
      <c r="F859" s="74"/>
      <c r="G859" s="74"/>
      <c r="H859" s="65"/>
      <c r="I859" s="73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</row>
    <row r="860" spans="1:27" ht="14.4">
      <c r="A860" s="65"/>
      <c r="B860" s="73"/>
      <c r="C860" s="73"/>
      <c r="D860" s="65"/>
      <c r="E860" s="74"/>
      <c r="F860" s="74"/>
      <c r="G860" s="74"/>
      <c r="H860" s="65"/>
      <c r="I860" s="73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</row>
    <row r="861" spans="1:27" ht="14.4">
      <c r="A861" s="65"/>
      <c r="B861" s="73"/>
      <c r="C861" s="73"/>
      <c r="D861" s="65"/>
      <c r="E861" s="74"/>
      <c r="F861" s="74"/>
      <c r="G861" s="74"/>
      <c r="H861" s="65"/>
      <c r="I861" s="73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</row>
    <row r="862" spans="1:27" ht="14.4">
      <c r="A862" s="65"/>
      <c r="B862" s="73"/>
      <c r="C862" s="73"/>
      <c r="D862" s="65"/>
      <c r="E862" s="74"/>
      <c r="F862" s="74"/>
      <c r="G862" s="74"/>
      <c r="H862" s="65"/>
      <c r="I862" s="73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</row>
    <row r="863" spans="1:27" ht="14.4">
      <c r="A863" s="65"/>
      <c r="B863" s="73"/>
      <c r="C863" s="73"/>
      <c r="D863" s="65"/>
      <c r="E863" s="74"/>
      <c r="F863" s="74"/>
      <c r="G863" s="74"/>
      <c r="H863" s="65"/>
      <c r="I863" s="73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</row>
    <row r="864" spans="1:27" ht="14.4">
      <c r="A864" s="65"/>
      <c r="B864" s="73"/>
      <c r="C864" s="73"/>
      <c r="D864" s="65"/>
      <c r="E864" s="74"/>
      <c r="F864" s="74"/>
      <c r="G864" s="74"/>
      <c r="H864" s="65"/>
      <c r="I864" s="73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</row>
    <row r="865" spans="1:27" ht="14.4">
      <c r="A865" s="65"/>
      <c r="B865" s="73"/>
      <c r="C865" s="73"/>
      <c r="D865" s="65"/>
      <c r="E865" s="74"/>
      <c r="F865" s="74"/>
      <c r="G865" s="74"/>
      <c r="H865" s="65"/>
      <c r="I865" s="73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</row>
    <row r="866" spans="1:27" ht="14.4">
      <c r="A866" s="65"/>
      <c r="B866" s="73"/>
      <c r="C866" s="73"/>
      <c r="D866" s="65"/>
      <c r="E866" s="74"/>
      <c r="F866" s="74"/>
      <c r="G866" s="74"/>
      <c r="H866" s="65"/>
      <c r="I866" s="73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</row>
    <row r="867" spans="1:27" ht="14.4">
      <c r="A867" s="65"/>
      <c r="B867" s="73"/>
      <c r="C867" s="73"/>
      <c r="D867" s="65"/>
      <c r="E867" s="74"/>
      <c r="F867" s="74"/>
      <c r="G867" s="74"/>
      <c r="H867" s="65"/>
      <c r="I867" s="73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</row>
    <row r="868" spans="1:27" ht="14.4">
      <c r="A868" s="65"/>
      <c r="B868" s="73"/>
      <c r="C868" s="73"/>
      <c r="D868" s="65"/>
      <c r="E868" s="74"/>
      <c r="F868" s="74"/>
      <c r="G868" s="74"/>
      <c r="H868" s="65"/>
      <c r="I868" s="73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</row>
    <row r="869" spans="1:27" ht="14.4">
      <c r="A869" s="65"/>
      <c r="B869" s="73"/>
      <c r="C869" s="73"/>
      <c r="D869" s="65"/>
      <c r="E869" s="74"/>
      <c r="F869" s="74"/>
      <c r="G869" s="74"/>
      <c r="H869" s="65"/>
      <c r="I869" s="73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</row>
    <row r="870" spans="1:27" ht="14.4">
      <c r="A870" s="65"/>
      <c r="B870" s="73"/>
      <c r="C870" s="73"/>
      <c r="D870" s="65"/>
      <c r="E870" s="74"/>
      <c r="F870" s="74"/>
      <c r="G870" s="74"/>
      <c r="H870" s="65"/>
      <c r="I870" s="73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</row>
    <row r="871" spans="1:27" ht="14.4">
      <c r="A871" s="65"/>
      <c r="B871" s="73"/>
      <c r="C871" s="73"/>
      <c r="D871" s="65"/>
      <c r="E871" s="74"/>
      <c r="F871" s="74"/>
      <c r="G871" s="74"/>
      <c r="H871" s="65"/>
      <c r="I871" s="73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</row>
    <row r="872" spans="1:27" ht="14.4">
      <c r="A872" s="65"/>
      <c r="B872" s="73"/>
      <c r="C872" s="73"/>
      <c r="D872" s="65"/>
      <c r="E872" s="74"/>
      <c r="F872" s="74"/>
      <c r="G872" s="74"/>
      <c r="H872" s="65"/>
      <c r="I872" s="73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</row>
    <row r="873" spans="1:27" ht="14.4">
      <c r="A873" s="65"/>
      <c r="B873" s="73"/>
      <c r="C873" s="73"/>
      <c r="D873" s="65"/>
      <c r="E873" s="74"/>
      <c r="F873" s="74"/>
      <c r="G873" s="74"/>
      <c r="H873" s="65"/>
      <c r="I873" s="73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</row>
    <row r="874" spans="1:27" ht="14.4">
      <c r="A874" s="65"/>
      <c r="B874" s="73"/>
      <c r="C874" s="73"/>
      <c r="D874" s="65"/>
      <c r="E874" s="74"/>
      <c r="F874" s="74"/>
      <c r="G874" s="74"/>
      <c r="H874" s="65"/>
      <c r="I874" s="73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</row>
    <row r="875" spans="1:27" ht="14.4">
      <c r="A875" s="65"/>
      <c r="B875" s="73"/>
      <c r="C875" s="73"/>
      <c r="D875" s="65"/>
      <c r="E875" s="74"/>
      <c r="F875" s="74"/>
      <c r="G875" s="74"/>
      <c r="H875" s="65"/>
      <c r="I875" s="73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</row>
    <row r="876" spans="1:27" ht="14.4">
      <c r="A876" s="65"/>
      <c r="B876" s="73"/>
      <c r="C876" s="73"/>
      <c r="D876" s="65"/>
      <c r="E876" s="74"/>
      <c r="F876" s="74"/>
      <c r="G876" s="74"/>
      <c r="H876" s="65"/>
      <c r="I876" s="73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</row>
    <row r="877" spans="1:27" ht="14.4">
      <c r="A877" s="65"/>
      <c r="B877" s="73"/>
      <c r="C877" s="73"/>
      <c r="D877" s="65"/>
      <c r="E877" s="74"/>
      <c r="F877" s="74"/>
      <c r="G877" s="74"/>
      <c r="H877" s="65"/>
      <c r="I877" s="73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</row>
    <row r="878" spans="1:27" ht="14.4">
      <c r="A878" s="65"/>
      <c r="B878" s="73"/>
      <c r="C878" s="73"/>
      <c r="D878" s="65"/>
      <c r="E878" s="74"/>
      <c r="F878" s="74"/>
      <c r="G878" s="74"/>
      <c r="H878" s="65"/>
      <c r="I878" s="73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</row>
    <row r="879" spans="1:27" ht="14.4">
      <c r="A879" s="65"/>
      <c r="B879" s="73"/>
      <c r="C879" s="73"/>
      <c r="D879" s="65"/>
      <c r="E879" s="74"/>
      <c r="F879" s="74"/>
      <c r="G879" s="74"/>
      <c r="H879" s="65"/>
      <c r="I879" s="73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</row>
    <row r="880" spans="1:27" ht="14.4">
      <c r="A880" s="65"/>
      <c r="B880" s="73"/>
      <c r="C880" s="73"/>
      <c r="D880" s="65"/>
      <c r="E880" s="74"/>
      <c r="F880" s="74"/>
      <c r="G880" s="74"/>
      <c r="H880" s="65"/>
      <c r="I880" s="73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</row>
    <row r="881" spans="1:27" ht="14.4">
      <c r="A881" s="65"/>
      <c r="B881" s="73"/>
      <c r="C881" s="73"/>
      <c r="D881" s="65"/>
      <c r="E881" s="74"/>
      <c r="F881" s="74"/>
      <c r="G881" s="74"/>
      <c r="H881" s="65"/>
      <c r="I881" s="73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</row>
    <row r="882" spans="1:27" ht="14.4">
      <c r="A882" s="65"/>
      <c r="B882" s="73"/>
      <c r="C882" s="73"/>
      <c r="D882" s="65"/>
      <c r="E882" s="74"/>
      <c r="F882" s="74"/>
      <c r="G882" s="74"/>
      <c r="H882" s="65"/>
      <c r="I882" s="73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</row>
    <row r="883" spans="1:27" ht="14.4">
      <c r="A883" s="65"/>
      <c r="B883" s="73"/>
      <c r="C883" s="73"/>
      <c r="D883" s="65"/>
      <c r="E883" s="74"/>
      <c r="F883" s="74"/>
      <c r="G883" s="74"/>
      <c r="H883" s="65"/>
      <c r="I883" s="73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</row>
    <row r="884" spans="1:27" ht="14.4">
      <c r="A884" s="65"/>
      <c r="B884" s="73"/>
      <c r="C884" s="73"/>
      <c r="D884" s="65"/>
      <c r="E884" s="74"/>
      <c r="F884" s="74"/>
      <c r="G884" s="74"/>
      <c r="H884" s="65"/>
      <c r="I884" s="73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</row>
    <row r="885" spans="1:27" ht="14.4">
      <c r="A885" s="65"/>
      <c r="B885" s="73"/>
      <c r="C885" s="73"/>
      <c r="D885" s="65"/>
      <c r="E885" s="74"/>
      <c r="F885" s="74"/>
      <c r="G885" s="74"/>
      <c r="H885" s="65"/>
      <c r="I885" s="73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</row>
    <row r="886" spans="1:27" ht="14.4">
      <c r="A886" s="65"/>
      <c r="B886" s="73"/>
      <c r="C886" s="73"/>
      <c r="D886" s="65"/>
      <c r="E886" s="74"/>
      <c r="F886" s="74"/>
      <c r="G886" s="74"/>
      <c r="H886" s="65"/>
      <c r="I886" s="73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</row>
    <row r="887" spans="1:27" ht="14.4">
      <c r="A887" s="65"/>
      <c r="B887" s="73"/>
      <c r="C887" s="73"/>
      <c r="D887" s="65"/>
      <c r="E887" s="74"/>
      <c r="F887" s="74"/>
      <c r="G887" s="74"/>
      <c r="H887" s="65"/>
      <c r="I887" s="73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</row>
    <row r="888" spans="1:27" ht="14.4">
      <c r="A888" s="65"/>
      <c r="B888" s="73"/>
      <c r="C888" s="73"/>
      <c r="D888" s="65"/>
      <c r="E888" s="74"/>
      <c r="F888" s="74"/>
      <c r="G888" s="74"/>
      <c r="H888" s="65"/>
      <c r="I888" s="73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</row>
    <row r="889" spans="1:27" ht="14.4">
      <c r="A889" s="65"/>
      <c r="B889" s="73"/>
      <c r="C889" s="73"/>
      <c r="D889" s="65"/>
      <c r="E889" s="74"/>
      <c r="F889" s="74"/>
      <c r="G889" s="74"/>
      <c r="H889" s="65"/>
      <c r="I889" s="73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</row>
    <row r="890" spans="1:27" ht="14.4">
      <c r="A890" s="65"/>
      <c r="B890" s="73"/>
      <c r="C890" s="73"/>
      <c r="D890" s="65"/>
      <c r="E890" s="74"/>
      <c r="F890" s="74"/>
      <c r="G890" s="74"/>
      <c r="H890" s="65"/>
      <c r="I890" s="73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</row>
    <row r="891" spans="1:27" ht="14.4">
      <c r="A891" s="65"/>
      <c r="B891" s="73"/>
      <c r="C891" s="73"/>
      <c r="D891" s="65"/>
      <c r="E891" s="74"/>
      <c r="F891" s="74"/>
      <c r="G891" s="74"/>
      <c r="H891" s="65"/>
      <c r="I891" s="73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</row>
    <row r="892" spans="1:27" ht="14.4">
      <c r="A892" s="65"/>
      <c r="B892" s="73"/>
      <c r="C892" s="73"/>
      <c r="D892" s="65"/>
      <c r="E892" s="74"/>
      <c r="F892" s="74"/>
      <c r="G892" s="74"/>
      <c r="H892" s="65"/>
      <c r="I892" s="73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</row>
    <row r="893" spans="1:27" ht="14.4">
      <c r="A893" s="65"/>
      <c r="B893" s="73"/>
      <c r="C893" s="73"/>
      <c r="D893" s="65"/>
      <c r="E893" s="74"/>
      <c r="F893" s="74"/>
      <c r="G893" s="74"/>
      <c r="H893" s="65"/>
      <c r="I893" s="73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</row>
    <row r="894" spans="1:27" ht="14.4">
      <c r="A894" s="65"/>
      <c r="B894" s="73"/>
      <c r="C894" s="73"/>
      <c r="D894" s="65"/>
      <c r="E894" s="74"/>
      <c r="F894" s="74"/>
      <c r="G894" s="74"/>
      <c r="H894" s="65"/>
      <c r="I894" s="73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</row>
    <row r="895" spans="1:27" ht="14.4">
      <c r="A895" s="65"/>
      <c r="B895" s="73"/>
      <c r="C895" s="73"/>
      <c r="D895" s="65"/>
      <c r="E895" s="74"/>
      <c r="F895" s="74"/>
      <c r="G895" s="74"/>
      <c r="H895" s="65"/>
      <c r="I895" s="73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</row>
    <row r="896" spans="1:27" ht="14.4">
      <c r="A896" s="65"/>
      <c r="B896" s="73"/>
      <c r="C896" s="73"/>
      <c r="D896" s="65"/>
      <c r="E896" s="74"/>
      <c r="F896" s="74"/>
      <c r="G896" s="74"/>
      <c r="H896" s="65"/>
      <c r="I896" s="73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</row>
    <row r="897" spans="1:27" ht="14.4">
      <c r="A897" s="65"/>
      <c r="B897" s="73"/>
      <c r="C897" s="73"/>
      <c r="D897" s="65"/>
      <c r="E897" s="74"/>
      <c r="F897" s="74"/>
      <c r="G897" s="74"/>
      <c r="H897" s="65"/>
      <c r="I897" s="73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</row>
    <row r="898" spans="1:27" ht="14.4">
      <c r="A898" s="65"/>
      <c r="B898" s="73"/>
      <c r="C898" s="73"/>
      <c r="D898" s="65"/>
      <c r="E898" s="74"/>
      <c r="F898" s="74"/>
      <c r="G898" s="74"/>
      <c r="H898" s="65"/>
      <c r="I898" s="73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</row>
    <row r="899" spans="1:27" ht="14.4">
      <c r="A899" s="65"/>
      <c r="B899" s="73"/>
      <c r="C899" s="73"/>
      <c r="D899" s="65"/>
      <c r="E899" s="74"/>
      <c r="F899" s="74"/>
      <c r="G899" s="74"/>
      <c r="H899" s="65"/>
      <c r="I899" s="73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</row>
    <row r="900" spans="1:27" ht="14.4">
      <c r="A900" s="65"/>
      <c r="B900" s="73"/>
      <c r="C900" s="73"/>
      <c r="D900" s="65"/>
      <c r="E900" s="74"/>
      <c r="F900" s="74"/>
      <c r="G900" s="74"/>
      <c r="H900" s="65"/>
      <c r="I900" s="73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</row>
    <row r="901" spans="1:27" ht="14.4">
      <c r="A901" s="65"/>
      <c r="B901" s="73"/>
      <c r="C901" s="73"/>
      <c r="D901" s="65"/>
      <c r="E901" s="74"/>
      <c r="F901" s="74"/>
      <c r="G901" s="74"/>
      <c r="H901" s="65"/>
      <c r="I901" s="73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</row>
    <row r="902" spans="1:27" ht="14.4">
      <c r="A902" s="65"/>
      <c r="B902" s="73"/>
      <c r="C902" s="73"/>
      <c r="D902" s="65"/>
      <c r="E902" s="74"/>
      <c r="F902" s="74"/>
      <c r="G902" s="74"/>
      <c r="H902" s="65"/>
      <c r="I902" s="73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</row>
    <row r="903" spans="1:27" ht="14.4">
      <c r="A903" s="65"/>
      <c r="B903" s="73"/>
      <c r="C903" s="73"/>
      <c r="D903" s="65"/>
      <c r="E903" s="74"/>
      <c r="F903" s="74"/>
      <c r="G903" s="74"/>
      <c r="H903" s="65"/>
      <c r="I903" s="73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</row>
    <row r="904" spans="1:27" ht="14.4">
      <c r="A904" s="65"/>
      <c r="B904" s="73"/>
      <c r="C904" s="73"/>
      <c r="D904" s="65"/>
      <c r="E904" s="74"/>
      <c r="F904" s="74"/>
      <c r="G904" s="74"/>
      <c r="H904" s="65"/>
      <c r="I904" s="73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</row>
    <row r="905" spans="1:27" ht="14.4">
      <c r="A905" s="65"/>
      <c r="B905" s="73"/>
      <c r="C905" s="73"/>
      <c r="D905" s="65"/>
      <c r="E905" s="74"/>
      <c r="F905" s="74"/>
      <c r="G905" s="74"/>
      <c r="H905" s="65"/>
      <c r="I905" s="73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</row>
    <row r="906" spans="1:27" ht="14.4">
      <c r="A906" s="65"/>
      <c r="B906" s="73"/>
      <c r="C906" s="73"/>
      <c r="D906" s="65"/>
      <c r="E906" s="74"/>
      <c r="F906" s="74"/>
      <c r="G906" s="74"/>
      <c r="H906" s="65"/>
      <c r="I906" s="73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</row>
    <row r="907" spans="1:27" ht="14.4">
      <c r="A907" s="65"/>
      <c r="B907" s="73"/>
      <c r="C907" s="73"/>
      <c r="D907" s="65"/>
      <c r="E907" s="74"/>
      <c r="F907" s="74"/>
      <c r="G907" s="74"/>
      <c r="H907" s="65"/>
      <c r="I907" s="73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</row>
    <row r="908" spans="1:27" ht="14.4">
      <c r="A908" s="65"/>
      <c r="B908" s="73"/>
      <c r="C908" s="73"/>
      <c r="D908" s="65"/>
      <c r="E908" s="74"/>
      <c r="F908" s="74"/>
      <c r="G908" s="74"/>
      <c r="H908" s="65"/>
      <c r="I908" s="73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</row>
    <row r="909" spans="1:27" ht="14.4">
      <c r="A909" s="65"/>
      <c r="B909" s="73"/>
      <c r="C909" s="73"/>
      <c r="D909" s="65"/>
      <c r="E909" s="74"/>
      <c r="F909" s="74"/>
      <c r="G909" s="74"/>
      <c r="H909" s="65"/>
      <c r="I909" s="73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</row>
    <row r="910" spans="1:27" ht="14.4">
      <c r="A910" s="65"/>
      <c r="B910" s="73"/>
      <c r="C910" s="73"/>
      <c r="D910" s="65"/>
      <c r="E910" s="74"/>
      <c r="F910" s="74"/>
      <c r="G910" s="74"/>
      <c r="H910" s="65"/>
      <c r="I910" s="73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</row>
    <row r="911" spans="1:27" ht="14.4">
      <c r="A911" s="65"/>
      <c r="B911" s="73"/>
      <c r="C911" s="73"/>
      <c r="D911" s="65"/>
      <c r="E911" s="74"/>
      <c r="F911" s="74"/>
      <c r="G911" s="74"/>
      <c r="H911" s="65"/>
      <c r="I911" s="73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</row>
    <row r="912" spans="1:27" ht="14.4">
      <c r="A912" s="65"/>
      <c r="B912" s="73"/>
      <c r="C912" s="73"/>
      <c r="D912" s="65"/>
      <c r="E912" s="74"/>
      <c r="F912" s="74"/>
      <c r="G912" s="74"/>
      <c r="H912" s="65"/>
      <c r="I912" s="73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</row>
    <row r="913" spans="1:27" ht="14.4">
      <c r="A913" s="65"/>
      <c r="B913" s="73"/>
      <c r="C913" s="73"/>
      <c r="D913" s="65"/>
      <c r="E913" s="74"/>
      <c r="F913" s="74"/>
      <c r="G913" s="74"/>
      <c r="H913" s="65"/>
      <c r="I913" s="73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</row>
    <row r="914" spans="1:27" ht="14.4">
      <c r="A914" s="65"/>
      <c r="B914" s="73"/>
      <c r="C914" s="73"/>
      <c r="D914" s="65"/>
      <c r="E914" s="74"/>
      <c r="F914" s="74"/>
      <c r="G914" s="74"/>
      <c r="H914" s="65"/>
      <c r="I914" s="73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</row>
    <row r="915" spans="1:27" ht="14.4">
      <c r="A915" s="65"/>
      <c r="B915" s="73"/>
      <c r="C915" s="73"/>
      <c r="D915" s="65"/>
      <c r="E915" s="74"/>
      <c r="F915" s="74"/>
      <c r="G915" s="74"/>
      <c r="H915" s="65"/>
      <c r="I915" s="73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</row>
    <row r="916" spans="1:27" ht="14.4">
      <c r="A916" s="65"/>
      <c r="B916" s="73"/>
      <c r="C916" s="73"/>
      <c r="D916" s="65"/>
      <c r="E916" s="74"/>
      <c r="F916" s="74"/>
      <c r="G916" s="74"/>
      <c r="H916" s="65"/>
      <c r="I916" s="73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</row>
    <row r="917" spans="1:27" ht="14.4">
      <c r="A917" s="65"/>
      <c r="B917" s="73"/>
      <c r="C917" s="73"/>
      <c r="D917" s="65"/>
      <c r="E917" s="74"/>
      <c r="F917" s="74"/>
      <c r="G917" s="74"/>
      <c r="H917" s="65"/>
      <c r="I917" s="73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</row>
    <row r="918" spans="1:27" ht="14.4">
      <c r="A918" s="65"/>
      <c r="B918" s="73"/>
      <c r="C918" s="73"/>
      <c r="D918" s="65"/>
      <c r="E918" s="74"/>
      <c r="F918" s="74"/>
      <c r="G918" s="74"/>
      <c r="H918" s="65"/>
      <c r="I918" s="73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</row>
    <row r="919" spans="1:27" ht="14.4">
      <c r="A919" s="65"/>
      <c r="B919" s="73"/>
      <c r="C919" s="73"/>
      <c r="D919" s="65"/>
      <c r="E919" s="74"/>
      <c r="F919" s="74"/>
      <c r="G919" s="74"/>
      <c r="H919" s="65"/>
      <c r="I919" s="73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</row>
    <row r="920" spans="1:27" ht="14.4">
      <c r="A920" s="65"/>
      <c r="B920" s="73"/>
      <c r="C920" s="73"/>
      <c r="D920" s="65"/>
      <c r="E920" s="74"/>
      <c r="F920" s="74"/>
      <c r="G920" s="74"/>
      <c r="H920" s="65"/>
      <c r="I920" s="73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</row>
    <row r="921" spans="1:27" ht="14.4">
      <c r="A921" s="65"/>
      <c r="B921" s="73"/>
      <c r="C921" s="73"/>
      <c r="D921" s="65"/>
      <c r="E921" s="74"/>
      <c r="F921" s="74"/>
      <c r="G921" s="74"/>
      <c r="H921" s="65"/>
      <c r="I921" s="73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</row>
    <row r="922" spans="1:27" ht="14.4">
      <c r="A922" s="65"/>
      <c r="B922" s="73"/>
      <c r="C922" s="73"/>
      <c r="D922" s="65"/>
      <c r="E922" s="74"/>
      <c r="F922" s="74"/>
      <c r="G922" s="74"/>
      <c r="H922" s="65"/>
      <c r="I922" s="73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</row>
    <row r="923" spans="1:27" ht="14.4">
      <c r="A923" s="65"/>
      <c r="B923" s="73"/>
      <c r="C923" s="73"/>
      <c r="D923" s="65"/>
      <c r="E923" s="74"/>
      <c r="F923" s="74"/>
      <c r="G923" s="74"/>
      <c r="H923" s="65"/>
      <c r="I923" s="73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</row>
    <row r="924" spans="1:27" ht="14.4">
      <c r="A924" s="65"/>
      <c r="B924" s="73"/>
      <c r="C924" s="73"/>
      <c r="D924" s="65"/>
      <c r="E924" s="74"/>
      <c r="F924" s="74"/>
      <c r="G924" s="74"/>
      <c r="H924" s="65"/>
      <c r="I924" s="73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</row>
    <row r="925" spans="1:27" ht="14.4">
      <c r="A925" s="65"/>
      <c r="B925" s="73"/>
      <c r="C925" s="73"/>
      <c r="D925" s="65"/>
      <c r="E925" s="74"/>
      <c r="F925" s="74"/>
      <c r="G925" s="74"/>
      <c r="H925" s="65"/>
      <c r="I925" s="73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</row>
    <row r="926" spans="1:27" ht="14.4">
      <c r="A926" s="65"/>
      <c r="B926" s="73"/>
      <c r="C926" s="73"/>
      <c r="D926" s="65"/>
      <c r="E926" s="74"/>
      <c r="F926" s="74"/>
      <c r="G926" s="74"/>
      <c r="H926" s="65"/>
      <c r="I926" s="73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</row>
    <row r="927" spans="1:27" ht="14.4">
      <c r="A927" s="65"/>
      <c r="B927" s="73"/>
      <c r="C927" s="73"/>
      <c r="D927" s="65"/>
      <c r="E927" s="74"/>
      <c r="F927" s="74"/>
      <c r="G927" s="74"/>
      <c r="H927" s="65"/>
      <c r="I927" s="73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</row>
    <row r="928" spans="1:27" ht="14.4">
      <c r="A928" s="65"/>
      <c r="B928" s="73"/>
      <c r="C928" s="73"/>
      <c r="D928" s="65"/>
      <c r="E928" s="74"/>
      <c r="F928" s="74"/>
      <c r="G928" s="74"/>
      <c r="H928" s="65"/>
      <c r="I928" s="73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</row>
    <row r="929" spans="1:27" ht="14.4">
      <c r="A929" s="65"/>
      <c r="B929" s="73"/>
      <c r="C929" s="73"/>
      <c r="D929" s="65"/>
      <c r="E929" s="74"/>
      <c r="F929" s="74"/>
      <c r="G929" s="74"/>
      <c r="H929" s="65"/>
      <c r="I929" s="73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</row>
    <row r="930" spans="1:27" ht="14.4">
      <c r="A930" s="65"/>
      <c r="B930" s="73"/>
      <c r="C930" s="73"/>
      <c r="D930" s="65"/>
      <c r="E930" s="74"/>
      <c r="F930" s="74"/>
      <c r="G930" s="74"/>
      <c r="H930" s="65"/>
      <c r="I930" s="73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</row>
    <row r="931" spans="1:27" ht="14.4">
      <c r="A931" s="65"/>
      <c r="B931" s="73"/>
      <c r="C931" s="73"/>
      <c r="D931" s="65"/>
      <c r="E931" s="74"/>
      <c r="F931" s="74"/>
      <c r="G931" s="74"/>
      <c r="H931" s="65"/>
      <c r="I931" s="73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</row>
    <row r="932" spans="1:27" ht="14.4">
      <c r="A932" s="65"/>
      <c r="B932" s="73"/>
      <c r="C932" s="73"/>
      <c r="D932" s="65"/>
      <c r="E932" s="74"/>
      <c r="F932" s="74"/>
      <c r="G932" s="74"/>
      <c r="H932" s="65"/>
      <c r="I932" s="73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</row>
    <row r="933" spans="1:27" ht="14.4">
      <c r="A933" s="65"/>
      <c r="B933" s="73"/>
      <c r="C933" s="73"/>
      <c r="D933" s="65"/>
      <c r="E933" s="74"/>
      <c r="F933" s="74"/>
      <c r="G933" s="74"/>
      <c r="H933" s="65"/>
      <c r="I933" s="73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</row>
    <row r="934" spans="1:27" ht="14.4">
      <c r="A934" s="65"/>
      <c r="B934" s="73"/>
      <c r="C934" s="73"/>
      <c r="D934" s="65"/>
      <c r="E934" s="74"/>
      <c r="F934" s="74"/>
      <c r="G934" s="74"/>
      <c r="H934" s="65"/>
      <c r="I934" s="73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</row>
    <row r="935" spans="1:27" ht="14.4">
      <c r="A935" s="65"/>
      <c r="B935" s="73"/>
      <c r="C935" s="73"/>
      <c r="D935" s="65"/>
      <c r="E935" s="74"/>
      <c r="F935" s="74"/>
      <c r="G935" s="74"/>
      <c r="H935" s="65"/>
      <c r="I935" s="73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</row>
    <row r="936" spans="1:27" ht="14.4">
      <c r="A936" s="65"/>
      <c r="B936" s="73"/>
      <c r="C936" s="73"/>
      <c r="D936" s="65"/>
      <c r="E936" s="74"/>
      <c r="F936" s="74"/>
      <c r="G936" s="74"/>
      <c r="H936" s="65"/>
      <c r="I936" s="73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</row>
    <row r="937" spans="1:27" ht="14.4">
      <c r="A937" s="65"/>
      <c r="B937" s="73"/>
      <c r="C937" s="73"/>
      <c r="D937" s="65"/>
      <c r="E937" s="74"/>
      <c r="F937" s="74"/>
      <c r="G937" s="74"/>
      <c r="H937" s="65"/>
      <c r="I937" s="73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</row>
    <row r="938" spans="1:27" ht="14.4">
      <c r="A938" s="65"/>
      <c r="B938" s="73"/>
      <c r="C938" s="73"/>
      <c r="D938" s="65"/>
      <c r="E938" s="74"/>
      <c r="F938" s="74"/>
      <c r="G938" s="74"/>
      <c r="H938" s="65"/>
      <c r="I938" s="73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</row>
    <row r="939" spans="1:27" ht="14.4">
      <c r="A939" s="65"/>
      <c r="B939" s="73"/>
      <c r="C939" s="73"/>
      <c r="D939" s="65"/>
      <c r="E939" s="74"/>
      <c r="F939" s="74"/>
      <c r="G939" s="74"/>
      <c r="H939" s="65"/>
      <c r="I939" s="73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</row>
    <row r="940" spans="1:27" ht="14.4">
      <c r="A940" s="65"/>
      <c r="B940" s="73"/>
      <c r="C940" s="73"/>
      <c r="D940" s="65"/>
      <c r="E940" s="74"/>
      <c r="F940" s="74"/>
      <c r="G940" s="74"/>
      <c r="H940" s="65"/>
      <c r="I940" s="73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</row>
    <row r="941" spans="1:27" ht="14.4">
      <c r="A941" s="65"/>
      <c r="B941" s="73"/>
      <c r="C941" s="73"/>
      <c r="D941" s="65"/>
      <c r="E941" s="74"/>
      <c r="F941" s="74"/>
      <c r="G941" s="74"/>
      <c r="H941" s="65"/>
      <c r="I941" s="73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</row>
    <row r="942" spans="1:27" ht="14.4">
      <c r="A942" s="65"/>
      <c r="B942" s="73"/>
      <c r="C942" s="73"/>
      <c r="D942" s="65"/>
      <c r="E942" s="74"/>
      <c r="F942" s="74"/>
      <c r="G942" s="74"/>
      <c r="H942" s="65"/>
      <c r="I942" s="73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</row>
    <row r="943" spans="1:27" ht="14.4">
      <c r="A943" s="65"/>
      <c r="B943" s="73"/>
      <c r="C943" s="73"/>
      <c r="D943" s="65"/>
      <c r="E943" s="74"/>
      <c r="F943" s="74"/>
      <c r="G943" s="74"/>
      <c r="H943" s="65"/>
      <c r="I943" s="73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</row>
    <row r="944" spans="1:27" ht="14.4">
      <c r="A944" s="65"/>
      <c r="B944" s="73"/>
      <c r="C944" s="73"/>
      <c r="D944" s="65"/>
      <c r="E944" s="74"/>
      <c r="F944" s="74"/>
      <c r="G944" s="74"/>
      <c r="H944" s="65"/>
      <c r="I944" s="73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</row>
    <row r="945" spans="1:27" ht="14.4">
      <c r="A945" s="65"/>
      <c r="B945" s="73"/>
      <c r="C945" s="73"/>
      <c r="D945" s="65"/>
      <c r="E945" s="74"/>
      <c r="F945" s="74"/>
      <c r="G945" s="74"/>
      <c r="H945" s="65"/>
      <c r="I945" s="73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</row>
    <row r="946" spans="1:27" ht="14.4">
      <c r="A946" s="65"/>
      <c r="B946" s="73"/>
      <c r="C946" s="73"/>
      <c r="D946" s="65"/>
      <c r="E946" s="74"/>
      <c r="F946" s="74"/>
      <c r="G946" s="74"/>
      <c r="H946" s="65"/>
      <c r="I946" s="73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</row>
    <row r="947" spans="1:27" ht="14.4">
      <c r="A947" s="65"/>
      <c r="B947" s="73"/>
      <c r="C947" s="73"/>
      <c r="D947" s="65"/>
      <c r="E947" s="74"/>
      <c r="F947" s="74"/>
      <c r="G947" s="74"/>
      <c r="H947" s="65"/>
      <c r="I947" s="73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</row>
    <row r="948" spans="1:27" ht="14.4">
      <c r="A948" s="65"/>
      <c r="B948" s="73"/>
      <c r="C948" s="73"/>
      <c r="D948" s="65"/>
      <c r="E948" s="74"/>
      <c r="F948" s="74"/>
      <c r="G948" s="74"/>
      <c r="H948" s="65"/>
      <c r="I948" s="73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</row>
    <row r="949" spans="1:27" ht="14.4">
      <c r="A949" s="65"/>
      <c r="B949" s="73"/>
      <c r="C949" s="73"/>
      <c r="D949" s="65"/>
      <c r="E949" s="74"/>
      <c r="F949" s="74"/>
      <c r="G949" s="74"/>
      <c r="H949" s="65"/>
      <c r="I949" s="73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</row>
    <row r="950" spans="1:27" ht="14.4">
      <c r="A950" s="65"/>
      <c r="B950" s="73"/>
      <c r="C950" s="73"/>
      <c r="D950" s="65"/>
      <c r="E950" s="74"/>
      <c r="F950" s="74"/>
      <c r="G950" s="74"/>
      <c r="H950" s="65"/>
      <c r="I950" s="73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</row>
    <row r="951" spans="1:27" ht="14.4">
      <c r="A951" s="65"/>
      <c r="B951" s="73"/>
      <c r="C951" s="73"/>
      <c r="D951" s="65"/>
      <c r="E951" s="74"/>
      <c r="F951" s="74"/>
      <c r="G951" s="74"/>
      <c r="H951" s="65"/>
      <c r="I951" s="73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</row>
    <row r="952" spans="1:27" ht="14.4">
      <c r="A952" s="65"/>
      <c r="B952" s="73"/>
      <c r="C952" s="73"/>
      <c r="D952" s="65"/>
      <c r="E952" s="74"/>
      <c r="F952" s="74"/>
      <c r="G952" s="74"/>
      <c r="H952" s="65"/>
      <c r="I952" s="73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</row>
    <row r="953" spans="1:27" ht="14.4">
      <c r="A953" s="65"/>
      <c r="B953" s="73"/>
      <c r="C953" s="73"/>
      <c r="D953" s="65"/>
      <c r="E953" s="74"/>
      <c r="F953" s="74"/>
      <c r="G953" s="74"/>
      <c r="H953" s="65"/>
      <c r="I953" s="73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</row>
    <row r="954" spans="1:27" ht="14.4">
      <c r="A954" s="65"/>
      <c r="B954" s="73"/>
      <c r="C954" s="73"/>
      <c r="D954" s="65"/>
      <c r="E954" s="74"/>
      <c r="F954" s="74"/>
      <c r="G954" s="74"/>
      <c r="H954" s="65"/>
      <c r="I954" s="73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</row>
    <row r="955" spans="1:27" ht="14.4">
      <c r="A955" s="65"/>
      <c r="B955" s="73"/>
      <c r="C955" s="73"/>
      <c r="D955" s="65"/>
      <c r="E955" s="74"/>
      <c r="F955" s="74"/>
      <c r="G955" s="74"/>
      <c r="H955" s="65"/>
      <c r="I955" s="73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</row>
    <row r="956" spans="1:27" ht="14.4">
      <c r="A956" s="65"/>
      <c r="B956" s="73"/>
      <c r="C956" s="73"/>
      <c r="D956" s="65"/>
      <c r="E956" s="74"/>
      <c r="F956" s="74"/>
      <c r="G956" s="74"/>
      <c r="H956" s="65"/>
      <c r="I956" s="73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</row>
    <row r="957" spans="1:27" ht="14.4">
      <c r="A957" s="65"/>
      <c r="B957" s="73"/>
      <c r="C957" s="73"/>
      <c r="D957" s="65"/>
      <c r="E957" s="74"/>
      <c r="F957" s="74"/>
      <c r="G957" s="74"/>
      <c r="H957" s="65"/>
      <c r="I957" s="73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</row>
    <row r="958" spans="1:27" ht="14.4">
      <c r="A958" s="65"/>
      <c r="B958" s="73"/>
      <c r="C958" s="73"/>
      <c r="D958" s="65"/>
      <c r="E958" s="74"/>
      <c r="F958" s="74"/>
      <c r="G958" s="74"/>
      <c r="H958" s="65"/>
      <c r="I958" s="73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</row>
    <row r="959" spans="1:27" ht="14.4">
      <c r="A959" s="65"/>
      <c r="B959" s="73"/>
      <c r="C959" s="73"/>
      <c r="D959" s="65"/>
      <c r="E959" s="74"/>
      <c r="F959" s="74"/>
      <c r="G959" s="74"/>
      <c r="H959" s="65"/>
      <c r="I959" s="73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</row>
    <row r="960" spans="1:27" ht="14.4">
      <c r="A960" s="65"/>
      <c r="B960" s="73"/>
      <c r="C960" s="73"/>
      <c r="D960" s="65"/>
      <c r="E960" s="74"/>
      <c r="F960" s="74"/>
      <c r="G960" s="74"/>
      <c r="H960" s="65"/>
      <c r="I960" s="73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</row>
    <row r="961" spans="1:27" ht="14.4">
      <c r="A961" s="65"/>
      <c r="B961" s="73"/>
      <c r="C961" s="73"/>
      <c r="D961" s="65"/>
      <c r="E961" s="74"/>
      <c r="F961" s="74"/>
      <c r="G961" s="74"/>
      <c r="H961" s="65"/>
      <c r="I961" s="73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</row>
    <row r="962" spans="1:27" ht="14.4">
      <c r="A962" s="65"/>
      <c r="B962" s="73"/>
      <c r="C962" s="73"/>
      <c r="D962" s="65"/>
      <c r="E962" s="74"/>
      <c r="F962" s="74"/>
      <c r="G962" s="74"/>
      <c r="H962" s="65"/>
      <c r="I962" s="73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</row>
    <row r="963" spans="1:27" ht="14.4">
      <c r="A963" s="65"/>
      <c r="B963" s="73"/>
      <c r="C963" s="73"/>
      <c r="D963" s="65"/>
      <c r="E963" s="74"/>
      <c r="F963" s="74"/>
      <c r="G963" s="74"/>
      <c r="H963" s="65"/>
      <c r="I963" s="73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</row>
    <row r="964" spans="1:27" ht="14.4">
      <c r="A964" s="65"/>
      <c r="B964" s="73"/>
      <c r="C964" s="73"/>
      <c r="D964" s="65"/>
      <c r="E964" s="74"/>
      <c r="F964" s="74"/>
      <c r="G964" s="74"/>
      <c r="H964" s="65"/>
      <c r="I964" s="73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</row>
    <row r="965" spans="1:27" ht="14.4">
      <c r="A965" s="65"/>
      <c r="B965" s="73"/>
      <c r="C965" s="73"/>
      <c r="D965" s="65"/>
      <c r="E965" s="74"/>
      <c r="F965" s="74"/>
      <c r="G965" s="74"/>
      <c r="H965" s="65"/>
      <c r="I965" s="73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</row>
    <row r="966" spans="1:27" ht="14.4">
      <c r="A966" s="65"/>
      <c r="B966" s="73"/>
      <c r="C966" s="73"/>
      <c r="D966" s="65"/>
      <c r="E966" s="74"/>
      <c r="F966" s="74"/>
      <c r="G966" s="74"/>
      <c r="H966" s="65"/>
      <c r="I966" s="73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</row>
    <row r="967" spans="1:27" ht="14.4">
      <c r="A967" s="65"/>
      <c r="B967" s="73"/>
      <c r="C967" s="73"/>
      <c r="D967" s="65"/>
      <c r="E967" s="74"/>
      <c r="F967" s="74"/>
      <c r="G967" s="74"/>
      <c r="H967" s="65"/>
      <c r="I967" s="73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</row>
    <row r="968" spans="1:27" ht="14.4">
      <c r="A968" s="65"/>
      <c r="B968" s="73"/>
      <c r="C968" s="73"/>
      <c r="D968" s="65"/>
      <c r="E968" s="74"/>
      <c r="F968" s="74"/>
      <c r="G968" s="74"/>
      <c r="H968" s="65"/>
      <c r="I968" s="73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</row>
    <row r="969" spans="1:27" ht="14.4">
      <c r="A969" s="65"/>
      <c r="B969" s="73"/>
      <c r="C969" s="73"/>
      <c r="D969" s="65"/>
      <c r="E969" s="74"/>
      <c r="F969" s="74"/>
      <c r="G969" s="74"/>
      <c r="H969" s="65"/>
      <c r="I969" s="73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</row>
    <row r="970" spans="1:27" ht="14.4">
      <c r="A970" s="65"/>
      <c r="B970" s="73"/>
      <c r="C970" s="73"/>
      <c r="D970" s="65"/>
      <c r="E970" s="74"/>
      <c r="F970" s="74"/>
      <c r="G970" s="74"/>
      <c r="H970" s="65"/>
      <c r="I970" s="73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</row>
    <row r="971" spans="1:27" ht="14.4">
      <c r="A971" s="65"/>
      <c r="B971" s="73"/>
      <c r="C971" s="73"/>
      <c r="D971" s="65"/>
      <c r="E971" s="74"/>
      <c r="F971" s="74"/>
      <c r="G971" s="74"/>
      <c r="H971" s="65"/>
      <c r="I971" s="73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</row>
    <row r="972" spans="1:27" ht="14.4">
      <c r="A972" s="65"/>
      <c r="B972" s="73"/>
      <c r="C972" s="73"/>
      <c r="D972" s="65"/>
      <c r="E972" s="74"/>
      <c r="F972" s="74"/>
      <c r="G972" s="74"/>
      <c r="H972" s="65"/>
      <c r="I972" s="73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</row>
    <row r="973" spans="1:27" ht="14.4">
      <c r="A973" s="65"/>
      <c r="B973" s="73"/>
      <c r="C973" s="73"/>
      <c r="D973" s="65"/>
      <c r="E973" s="74"/>
      <c r="F973" s="74"/>
      <c r="G973" s="74"/>
      <c r="H973" s="65"/>
      <c r="I973" s="73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</row>
    <row r="974" spans="1:27" ht="14.4">
      <c r="A974" s="65"/>
      <c r="B974" s="73"/>
      <c r="C974" s="73"/>
      <c r="D974" s="65"/>
      <c r="E974" s="74"/>
      <c r="F974" s="74"/>
      <c r="G974" s="74"/>
      <c r="H974" s="65"/>
      <c r="I974" s="73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</row>
    <row r="975" spans="1:27" ht="14.4">
      <c r="A975" s="65"/>
      <c r="B975" s="73"/>
      <c r="C975" s="73"/>
      <c r="D975" s="65"/>
      <c r="E975" s="74"/>
      <c r="F975" s="74"/>
      <c r="G975" s="74"/>
      <c r="H975" s="65"/>
      <c r="I975" s="73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</row>
    <row r="976" spans="1:27" ht="14.4">
      <c r="A976" s="65"/>
      <c r="B976" s="73"/>
      <c r="C976" s="73"/>
      <c r="D976" s="65"/>
      <c r="E976" s="74"/>
      <c r="F976" s="74"/>
      <c r="G976" s="74"/>
      <c r="H976" s="65"/>
      <c r="I976" s="73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</row>
    <row r="977" spans="1:27" ht="14.4">
      <c r="A977" s="65"/>
      <c r="B977" s="73"/>
      <c r="C977" s="73"/>
      <c r="D977" s="65"/>
      <c r="E977" s="74"/>
      <c r="F977" s="74"/>
      <c r="G977" s="74"/>
      <c r="H977" s="65"/>
      <c r="I977" s="73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</row>
    <row r="978" spans="1:27" ht="14.4">
      <c r="A978" s="65"/>
      <c r="B978" s="73"/>
      <c r="C978" s="73"/>
      <c r="D978" s="65"/>
      <c r="E978" s="74"/>
      <c r="F978" s="74"/>
      <c r="G978" s="74"/>
      <c r="H978" s="65"/>
      <c r="I978" s="73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</row>
    <row r="979" spans="1:27" ht="14.4">
      <c r="A979" s="65"/>
      <c r="B979" s="73"/>
      <c r="C979" s="73"/>
      <c r="D979" s="65"/>
      <c r="E979" s="74"/>
      <c r="F979" s="74"/>
      <c r="G979" s="74"/>
      <c r="H979" s="65"/>
      <c r="I979" s="73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</row>
    <row r="980" spans="1:27" ht="14.4">
      <c r="A980" s="65"/>
      <c r="B980" s="73"/>
      <c r="C980" s="73"/>
      <c r="D980" s="65"/>
      <c r="E980" s="74"/>
      <c r="F980" s="74"/>
      <c r="G980" s="74"/>
      <c r="H980" s="65"/>
      <c r="I980" s="73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</row>
    <row r="981" spans="1:27" ht="14.4">
      <c r="A981" s="65"/>
      <c r="B981" s="73"/>
      <c r="C981" s="73"/>
      <c r="D981" s="65"/>
      <c r="E981" s="74"/>
      <c r="F981" s="74"/>
      <c r="G981" s="74"/>
      <c r="H981" s="65"/>
      <c r="I981" s="73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</row>
    <row r="982" spans="1:27" ht="14.4">
      <c r="A982" s="65"/>
      <c r="B982" s="73"/>
      <c r="C982" s="73"/>
      <c r="D982" s="65"/>
      <c r="E982" s="74"/>
      <c r="F982" s="74"/>
      <c r="G982" s="74"/>
      <c r="H982" s="65"/>
      <c r="I982" s="73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</row>
    <row r="983" spans="1:27" ht="14.4">
      <c r="A983" s="65"/>
      <c r="B983" s="73"/>
      <c r="C983" s="73"/>
      <c r="D983" s="65"/>
      <c r="E983" s="74"/>
      <c r="F983" s="74"/>
      <c r="G983" s="74"/>
      <c r="H983" s="65"/>
      <c r="I983" s="73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</row>
    <row r="984" spans="1:27" ht="14.4">
      <c r="A984" s="65"/>
      <c r="B984" s="73"/>
      <c r="C984" s="73"/>
      <c r="D984" s="65"/>
      <c r="E984" s="74"/>
      <c r="F984" s="74"/>
      <c r="G984" s="74"/>
      <c r="H984" s="65"/>
      <c r="I984" s="73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</row>
    <row r="985" spans="1:27" ht="14.4">
      <c r="A985" s="65"/>
      <c r="B985" s="73"/>
      <c r="C985" s="73"/>
      <c r="D985" s="65"/>
      <c r="E985" s="74"/>
      <c r="F985" s="74"/>
      <c r="G985" s="74"/>
      <c r="H985" s="65"/>
      <c r="I985" s="73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</row>
    <row r="986" spans="1:27" ht="14.4">
      <c r="A986" s="65"/>
      <c r="B986" s="73"/>
      <c r="C986" s="73"/>
      <c r="D986" s="65"/>
      <c r="E986" s="74"/>
      <c r="F986" s="74"/>
      <c r="G986" s="74"/>
      <c r="H986" s="65"/>
      <c r="I986" s="73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</row>
    <row r="987" spans="1:27" ht="14.4">
      <c r="A987" s="65"/>
      <c r="B987" s="73"/>
      <c r="C987" s="73"/>
      <c r="D987" s="65"/>
      <c r="E987" s="74"/>
      <c r="F987" s="74"/>
      <c r="G987" s="74"/>
      <c r="H987" s="65"/>
      <c r="I987" s="73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</row>
    <row r="988" spans="1:27" ht="14.4">
      <c r="A988" s="65"/>
      <c r="B988" s="73"/>
      <c r="C988" s="73"/>
      <c r="D988" s="65"/>
      <c r="E988" s="74"/>
      <c r="F988" s="74"/>
      <c r="G988" s="74"/>
      <c r="H988" s="65"/>
      <c r="I988" s="73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</row>
    <row r="989" spans="1:27" ht="14.4">
      <c r="A989" s="65"/>
      <c r="B989" s="73"/>
      <c r="C989" s="73"/>
      <c r="D989" s="65"/>
      <c r="E989" s="74"/>
      <c r="F989" s="74"/>
      <c r="G989" s="74"/>
      <c r="H989" s="65"/>
      <c r="I989" s="73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</row>
    <row r="990" spans="1:27" ht="14.4">
      <c r="A990" s="65"/>
      <c r="B990" s="73"/>
      <c r="C990" s="73"/>
      <c r="D990" s="65"/>
      <c r="E990" s="74"/>
      <c r="F990" s="74"/>
      <c r="G990" s="74"/>
      <c r="H990" s="65"/>
      <c r="I990" s="73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</row>
    <row r="991" spans="1:27" ht="14.4">
      <c r="A991" s="65"/>
      <c r="B991" s="73"/>
      <c r="C991" s="73"/>
      <c r="D991" s="65"/>
      <c r="E991" s="74"/>
      <c r="F991" s="74"/>
      <c r="G991" s="74"/>
      <c r="H991" s="65"/>
      <c r="I991" s="73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</row>
    <row r="992" spans="1:27" ht="14.4">
      <c r="A992" s="65"/>
      <c r="B992" s="73"/>
      <c r="C992" s="73"/>
      <c r="D992" s="65"/>
      <c r="E992" s="74"/>
      <c r="F992" s="74"/>
      <c r="G992" s="74"/>
      <c r="H992" s="65"/>
      <c r="I992" s="73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</row>
    <row r="993" spans="1:27" ht="14.4">
      <c r="A993" s="65"/>
      <c r="B993" s="73"/>
      <c r="C993" s="73"/>
      <c r="D993" s="65"/>
      <c r="E993" s="74"/>
      <c r="F993" s="74"/>
      <c r="G993" s="74"/>
      <c r="H993" s="65"/>
      <c r="I993" s="73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</row>
    <row r="994" spans="1:27" ht="14.4">
      <c r="A994" s="65"/>
      <c r="B994" s="73"/>
      <c r="C994" s="73"/>
      <c r="D994" s="65"/>
      <c r="E994" s="74"/>
      <c r="F994" s="74"/>
      <c r="G994" s="74"/>
      <c r="H994" s="65"/>
      <c r="I994" s="73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</row>
    <row r="995" spans="1:27" ht="14.4">
      <c r="A995" s="65"/>
      <c r="B995" s="73"/>
      <c r="C995" s="73"/>
      <c r="D995" s="65"/>
      <c r="E995" s="74"/>
      <c r="F995" s="74"/>
      <c r="G995" s="74"/>
      <c r="H995" s="65"/>
      <c r="I995" s="73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</row>
    <row r="996" spans="1:27" ht="14.4">
      <c r="A996" s="65"/>
      <c r="B996" s="73"/>
      <c r="C996" s="73"/>
      <c r="D996" s="65"/>
      <c r="E996" s="74"/>
      <c r="F996" s="74"/>
      <c r="G996" s="74"/>
      <c r="H996" s="65"/>
      <c r="I996" s="73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65"/>
    </row>
    <row r="997" spans="1:27" ht="14.4">
      <c r="A997" s="65"/>
      <c r="B997" s="73"/>
      <c r="C997" s="73"/>
      <c r="D997" s="65"/>
      <c r="E997" s="74"/>
      <c r="F997" s="74"/>
      <c r="G997" s="74"/>
      <c r="H997" s="65"/>
      <c r="I997" s="73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65"/>
    </row>
    <row r="998" spans="1:27" ht="14.4">
      <c r="A998" s="65"/>
      <c r="B998" s="73"/>
      <c r="C998" s="73"/>
      <c r="D998" s="65"/>
      <c r="E998" s="74"/>
      <c r="F998" s="74"/>
      <c r="G998" s="74"/>
      <c r="H998" s="65"/>
      <c r="I998" s="73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65"/>
    </row>
    <row r="999" spans="1:27" ht="14.4">
      <c r="A999" s="65"/>
      <c r="B999" s="73"/>
      <c r="C999" s="73"/>
      <c r="D999" s="65"/>
      <c r="E999" s="74"/>
      <c r="F999" s="74"/>
      <c r="G999" s="74"/>
      <c r="H999" s="65"/>
      <c r="I999" s="73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  <c r="AA999" s="65"/>
    </row>
    <row r="1000" spans="1:27" ht="14.4">
      <c r="A1000" s="65"/>
      <c r="B1000" s="73"/>
      <c r="C1000" s="73"/>
      <c r="D1000" s="65"/>
      <c r="E1000" s="74"/>
      <c r="F1000" s="74"/>
      <c r="G1000" s="74"/>
      <c r="H1000" s="65"/>
      <c r="I1000" s="73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  <c r="AA1000" s="6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942"/>
  <sheetViews>
    <sheetView workbookViewId="0">
      <pane ySplit="1" topLeftCell="A2" activePane="bottomLeft" state="frozen"/>
      <selection pane="bottomLeft" activeCell="D12" sqref="D12"/>
    </sheetView>
  </sheetViews>
  <sheetFormatPr defaultColWidth="12.5546875" defaultRowHeight="15.75" customHeight="1"/>
  <cols>
    <col min="1" max="1" width="12.5546875" customWidth="1"/>
    <col min="2" max="2" width="12.44140625" customWidth="1"/>
    <col min="3" max="3" width="14.44140625" customWidth="1"/>
    <col min="4" max="4" width="33.44140625" customWidth="1"/>
    <col min="5" max="5" width="15.44140625" customWidth="1"/>
    <col min="6" max="7" width="12.44140625" customWidth="1"/>
    <col min="8" max="8" width="43.44140625" customWidth="1"/>
    <col min="9" max="9" width="49.5546875" customWidth="1"/>
  </cols>
  <sheetData>
    <row r="1" spans="1:27" s="756" customFormat="1" ht="29.4" thickBot="1">
      <c r="A1" s="757" t="s">
        <v>10</v>
      </c>
      <c r="B1" s="767" t="s">
        <v>11</v>
      </c>
      <c r="C1" s="763" t="s">
        <v>12</v>
      </c>
      <c r="D1" s="764" t="s">
        <v>13</v>
      </c>
      <c r="E1" s="764" t="s">
        <v>14</v>
      </c>
      <c r="F1" s="765" t="s">
        <v>15</v>
      </c>
      <c r="G1" s="766" t="s">
        <v>16</v>
      </c>
      <c r="H1" s="764" t="s">
        <v>532</v>
      </c>
      <c r="I1" s="762" t="s">
        <v>17</v>
      </c>
      <c r="J1" s="755"/>
      <c r="K1" s="755"/>
      <c r="L1" s="755"/>
      <c r="M1" s="755"/>
      <c r="N1" s="755"/>
      <c r="O1" s="755"/>
      <c r="P1" s="755"/>
      <c r="Q1" s="755"/>
      <c r="R1" s="755"/>
      <c r="S1" s="755"/>
      <c r="T1" s="755"/>
      <c r="U1" s="755"/>
      <c r="V1" s="755"/>
      <c r="W1" s="755"/>
      <c r="X1" s="755"/>
      <c r="Y1" s="755"/>
      <c r="Z1" s="755"/>
      <c r="AA1" s="755"/>
    </row>
    <row r="2" spans="1:27" s="466" customFormat="1" ht="40.049999999999997" customHeight="1">
      <c r="A2" s="467" t="s">
        <v>519</v>
      </c>
      <c r="B2" s="468">
        <v>45863</v>
      </c>
      <c r="C2" s="758"/>
      <c r="D2" s="759" t="s">
        <v>586</v>
      </c>
      <c r="E2" s="760">
        <v>18448328</v>
      </c>
      <c r="F2" s="759"/>
      <c r="G2" s="761"/>
      <c r="H2" s="759" t="s">
        <v>521</v>
      </c>
      <c r="I2" s="759" t="s">
        <v>520</v>
      </c>
      <c r="J2" s="465"/>
      <c r="K2" s="465"/>
      <c r="L2" s="465"/>
      <c r="M2" s="465"/>
      <c r="N2" s="465"/>
      <c r="O2" s="465"/>
      <c r="P2" s="465"/>
      <c r="Q2" s="465"/>
      <c r="R2" s="465"/>
      <c r="S2" s="465"/>
      <c r="T2" s="465"/>
      <c r="U2" s="465"/>
      <c r="V2" s="465"/>
      <c r="W2" s="465"/>
      <c r="X2" s="465"/>
      <c r="Y2" s="465"/>
      <c r="Z2" s="465"/>
      <c r="AA2" s="465"/>
    </row>
    <row r="3" spans="1:27" ht="15.75" customHeight="1">
      <c r="A3" s="15"/>
      <c r="B3" s="15"/>
      <c r="C3" s="15"/>
      <c r="D3" s="16"/>
      <c r="E3" s="17"/>
      <c r="F3" s="16"/>
      <c r="G3" s="16"/>
      <c r="H3" s="16"/>
      <c r="I3" s="16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</row>
    <row r="4" spans="1:27" ht="15.75" customHeight="1">
      <c r="A4" s="15"/>
      <c r="B4" s="15"/>
      <c r="C4" s="15"/>
      <c r="D4" s="16"/>
      <c r="E4" s="17"/>
      <c r="F4" s="16"/>
      <c r="G4" s="16"/>
      <c r="H4" s="16"/>
      <c r="I4" s="16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</row>
    <row r="5" spans="1:27" ht="15.75" customHeight="1">
      <c r="A5" s="15"/>
      <c r="B5" s="15"/>
      <c r="C5" s="15"/>
      <c r="D5" s="16"/>
      <c r="E5" s="17"/>
      <c r="F5" s="66"/>
      <c r="G5" s="66"/>
      <c r="H5" s="66"/>
      <c r="I5" s="16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</row>
    <row r="6" spans="1:27" ht="15.75" customHeight="1">
      <c r="A6" s="20"/>
      <c r="B6" s="20"/>
      <c r="C6" s="20"/>
      <c r="D6" s="21"/>
      <c r="E6" s="22"/>
      <c r="F6" s="22"/>
      <c r="G6" s="21"/>
      <c r="H6" s="21"/>
      <c r="I6" s="21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</row>
    <row r="7" spans="1:27" ht="15.75" customHeight="1">
      <c r="A7" s="15"/>
      <c r="B7" s="15"/>
      <c r="C7" s="15"/>
      <c r="D7" s="16"/>
      <c r="E7" s="17"/>
      <c r="F7" s="16"/>
      <c r="G7" s="16"/>
      <c r="H7" s="16"/>
      <c r="I7" s="16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</row>
    <row r="8" spans="1:27" ht="15.75" customHeight="1">
      <c r="A8" s="15"/>
      <c r="B8" s="15"/>
      <c r="C8" s="15"/>
      <c r="D8" s="16"/>
      <c r="E8" s="17"/>
      <c r="F8" s="16"/>
      <c r="G8" s="16"/>
      <c r="H8" s="16"/>
      <c r="I8" s="16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</row>
    <row r="9" spans="1:27" ht="15.75" customHeight="1">
      <c r="A9" s="24"/>
      <c r="B9" s="24"/>
      <c r="C9" s="24"/>
      <c r="D9" s="25"/>
      <c r="E9" s="19"/>
      <c r="F9" s="25"/>
      <c r="G9" s="19"/>
      <c r="H9" s="25"/>
      <c r="I9" s="2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</row>
    <row r="10" spans="1:27" ht="15.75" customHeight="1">
      <c r="A10" s="15"/>
      <c r="B10" s="15"/>
      <c r="C10" s="15"/>
      <c r="D10" s="16"/>
      <c r="E10" s="17"/>
      <c r="F10" s="16"/>
      <c r="G10" s="16"/>
      <c r="H10" s="16"/>
      <c r="I10" s="16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</row>
    <row r="11" spans="1:27" ht="14.4">
      <c r="A11" s="15"/>
      <c r="B11" s="15"/>
      <c r="C11" s="15"/>
      <c r="D11" s="16"/>
      <c r="E11" s="17"/>
      <c r="F11" s="16"/>
      <c r="G11" s="16"/>
      <c r="H11" s="16"/>
      <c r="I11" s="16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</row>
    <row r="12" spans="1:27" ht="14.4">
      <c r="A12" s="20"/>
      <c r="B12" s="20"/>
      <c r="C12" s="20"/>
      <c r="D12" s="21"/>
      <c r="E12" s="22"/>
      <c r="F12" s="22"/>
      <c r="G12" s="21"/>
      <c r="H12" s="21"/>
      <c r="I12" s="21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</row>
    <row r="13" spans="1:27" ht="14.4">
      <c r="A13" s="20"/>
      <c r="B13" s="20"/>
      <c r="C13" s="20"/>
      <c r="D13" s="21"/>
      <c r="E13" s="22"/>
      <c r="F13" s="22"/>
      <c r="G13" s="21"/>
      <c r="H13" s="21"/>
      <c r="I13" s="21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 spans="1:27" ht="14.4">
      <c r="A14" s="20"/>
      <c r="B14" s="20"/>
      <c r="C14" s="20"/>
      <c r="D14" s="21"/>
      <c r="E14" s="22"/>
      <c r="F14" s="22"/>
      <c r="G14" s="21"/>
      <c r="H14" s="21"/>
      <c r="I14" s="21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</row>
    <row r="15" spans="1:27" ht="14.4">
      <c r="A15" s="20"/>
      <c r="B15" s="20"/>
      <c r="C15" s="20"/>
      <c r="D15" s="21"/>
      <c r="E15" s="22"/>
      <c r="F15" s="22"/>
      <c r="G15" s="21"/>
      <c r="H15" s="21"/>
      <c r="I15" s="21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</row>
    <row r="16" spans="1:27" ht="14.4">
      <c r="A16" s="20"/>
      <c r="B16" s="20"/>
      <c r="C16" s="20"/>
      <c r="D16" s="21"/>
      <c r="E16" s="22"/>
      <c r="F16" s="22"/>
      <c r="G16" s="21"/>
      <c r="H16" s="21"/>
      <c r="I16" s="21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</row>
    <row r="17" spans="1:27" ht="14.4">
      <c r="A17" s="15"/>
      <c r="B17" s="15"/>
      <c r="C17" s="15"/>
      <c r="D17" s="16"/>
      <c r="E17" s="17"/>
      <c r="F17" s="16"/>
      <c r="G17" s="16"/>
      <c r="H17" s="16"/>
      <c r="I17" s="16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</row>
    <row r="18" spans="1:27" ht="14.4">
      <c r="A18" s="15"/>
      <c r="B18" s="15"/>
      <c r="C18" s="15"/>
      <c r="D18" s="16"/>
      <c r="E18" s="17"/>
      <c r="F18" s="16"/>
      <c r="G18" s="16"/>
      <c r="H18" s="16"/>
      <c r="I18" s="16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</row>
    <row r="19" spans="1:27" ht="14.4">
      <c r="A19" s="62"/>
      <c r="B19" s="62"/>
      <c r="C19" s="62"/>
      <c r="D19" s="69"/>
      <c r="E19" s="70">
        <v>18448328</v>
      </c>
      <c r="F19" s="71"/>
      <c r="G19" s="72"/>
      <c r="H19" s="68"/>
      <c r="I19" s="68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</row>
    <row r="20" spans="1:27" ht="14.4">
      <c r="A20" s="65"/>
      <c r="B20" s="73"/>
      <c r="C20" s="73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</row>
    <row r="21" spans="1:27" ht="14.4">
      <c r="A21" s="65"/>
      <c r="B21" s="73"/>
      <c r="C21" s="73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</row>
    <row r="22" spans="1:27" ht="14.4">
      <c r="A22" s="65"/>
      <c r="B22" s="73"/>
      <c r="C22" s="73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</row>
    <row r="23" spans="1:27" ht="14.4">
      <c r="A23" s="65"/>
      <c r="B23" s="73"/>
      <c r="C23" s="73"/>
      <c r="D23" s="16"/>
      <c r="E23" s="34" t="s">
        <v>19</v>
      </c>
      <c r="F23" s="34" t="s">
        <v>20</v>
      </c>
      <c r="G23" s="62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</row>
    <row r="24" spans="1:27" ht="14.4">
      <c r="A24" s="65"/>
      <c r="B24" s="73"/>
      <c r="C24" s="73"/>
      <c r="D24" s="16" t="s">
        <v>21</v>
      </c>
      <c r="E24" s="53">
        <v>1</v>
      </c>
      <c r="F24" s="17">
        <v>18448328</v>
      </c>
      <c r="G24" s="63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 spans="1:27" ht="14.4">
      <c r="A25" s="65"/>
      <c r="B25" s="73"/>
      <c r="C25" s="73"/>
      <c r="D25" s="25" t="s">
        <v>22</v>
      </c>
      <c r="E25" s="24"/>
      <c r="F25" s="19"/>
      <c r="G25" s="74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 spans="1:27" ht="14.4">
      <c r="A26" s="65"/>
      <c r="B26" s="73"/>
      <c r="C26" s="73"/>
      <c r="D26" s="37" t="s">
        <v>25</v>
      </c>
      <c r="E26" s="64">
        <v>1</v>
      </c>
      <c r="F26" s="17">
        <v>18448328</v>
      </c>
      <c r="G26" s="74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</row>
    <row r="27" spans="1:27" ht="14.4">
      <c r="A27" s="65"/>
      <c r="B27" s="73"/>
      <c r="C27" s="73"/>
      <c r="D27" s="21" t="s">
        <v>24</v>
      </c>
      <c r="E27" s="20"/>
      <c r="F27" s="22"/>
      <c r="G27" s="77"/>
      <c r="H27" s="78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</row>
    <row r="28" spans="1:27" ht="14.4">
      <c r="A28" s="65"/>
      <c r="B28" s="73"/>
      <c r="C28" s="73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</row>
    <row r="29" spans="1:27" ht="14.4">
      <c r="A29" s="65"/>
      <c r="B29" s="73"/>
      <c r="C29" s="73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</row>
    <row r="30" spans="1:27" ht="14.4">
      <c r="A30" s="65"/>
      <c r="B30" s="73"/>
      <c r="C30" s="73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</row>
    <row r="31" spans="1:27" ht="14.4">
      <c r="A31" s="65"/>
      <c r="B31" s="73"/>
      <c r="C31" s="73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</row>
    <row r="32" spans="1:27" ht="14.4">
      <c r="A32" s="65"/>
      <c r="B32" s="73"/>
      <c r="C32" s="73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</row>
    <row r="33" spans="1:27" ht="14.4">
      <c r="A33" s="65"/>
      <c r="B33" s="73"/>
      <c r="C33" s="73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</row>
    <row r="34" spans="1:27" ht="14.4">
      <c r="A34" s="65"/>
      <c r="B34" s="73"/>
      <c r="C34" s="73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</row>
    <row r="35" spans="1:27" ht="14.4">
      <c r="A35" s="65"/>
      <c r="B35" s="73"/>
      <c r="C35" s="73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</row>
    <row r="36" spans="1:27" ht="14.4">
      <c r="A36" s="65"/>
      <c r="B36" s="73"/>
      <c r="C36" s="73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</row>
    <row r="37" spans="1:27" ht="14.4">
      <c r="A37" s="65"/>
      <c r="B37" s="73"/>
      <c r="C37" s="73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</row>
    <row r="38" spans="1:27" ht="14.4">
      <c r="A38" s="65"/>
      <c r="B38" s="73"/>
      <c r="C38" s="73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</row>
    <row r="39" spans="1:27" ht="14.4">
      <c r="A39" s="65"/>
      <c r="B39" s="73"/>
      <c r="C39" s="73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</row>
    <row r="40" spans="1:27" ht="14.4">
      <c r="A40" s="65"/>
      <c r="B40" s="73"/>
      <c r="C40" s="73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</row>
    <row r="41" spans="1:27" ht="14.4">
      <c r="A41" s="65"/>
      <c r="B41" s="73"/>
      <c r="C41" s="73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</row>
    <row r="42" spans="1:27" ht="14.4">
      <c r="A42" s="65"/>
      <c r="B42" s="73"/>
      <c r="C42" s="73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</row>
    <row r="43" spans="1:27" ht="14.4">
      <c r="A43" s="65"/>
      <c r="B43" s="73"/>
      <c r="C43" s="73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 spans="1:27" ht="14.4">
      <c r="A44" s="65"/>
      <c r="B44" s="73"/>
      <c r="C44" s="73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</row>
    <row r="45" spans="1:27" ht="14.4">
      <c r="A45" s="65"/>
      <c r="B45" s="73"/>
      <c r="C45" s="73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</row>
    <row r="46" spans="1:27" ht="14.4">
      <c r="A46" s="65"/>
      <c r="B46" s="73"/>
      <c r="C46" s="73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</row>
    <row r="47" spans="1:27" ht="14.4">
      <c r="A47" s="65"/>
      <c r="B47" s="73"/>
      <c r="C47" s="73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</row>
    <row r="48" spans="1:27" ht="14.4">
      <c r="A48" s="65"/>
      <c r="B48" s="73"/>
      <c r="C48" s="73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</row>
    <row r="49" spans="1:27" ht="14.4">
      <c r="A49" s="65"/>
      <c r="B49" s="73"/>
      <c r="C49" s="73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</row>
    <row r="50" spans="1:27" ht="14.4">
      <c r="A50" s="65"/>
      <c r="B50" s="73"/>
      <c r="C50" s="73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</row>
    <row r="51" spans="1:27" ht="14.4">
      <c r="A51" s="65"/>
      <c r="B51" s="73"/>
      <c r="C51" s="73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</row>
    <row r="52" spans="1:27" ht="14.4">
      <c r="A52" s="65"/>
      <c r="B52" s="73"/>
      <c r="C52" s="73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</row>
    <row r="53" spans="1:27" ht="14.4">
      <c r="A53" s="65"/>
      <c r="B53" s="73"/>
      <c r="C53" s="73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</row>
    <row r="54" spans="1:27" ht="14.4">
      <c r="A54" s="65"/>
      <c r="B54" s="73"/>
      <c r="C54" s="73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</row>
    <row r="55" spans="1:27" ht="14.4">
      <c r="A55" s="65"/>
      <c r="B55" s="73"/>
      <c r="C55" s="73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 spans="1:27" ht="14.4">
      <c r="A56" s="65"/>
      <c r="B56" s="73"/>
      <c r="C56" s="73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</row>
    <row r="57" spans="1:27" ht="14.4">
      <c r="A57" s="65"/>
      <c r="B57" s="73"/>
      <c r="C57" s="73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</row>
    <row r="58" spans="1:27" ht="14.4">
      <c r="A58" s="65"/>
      <c r="B58" s="73"/>
      <c r="C58" s="73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</row>
    <row r="59" spans="1:27" ht="14.4">
      <c r="A59" s="65"/>
      <c r="B59" s="73"/>
      <c r="C59" s="73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</row>
    <row r="60" spans="1:27" ht="14.4">
      <c r="A60" s="65"/>
      <c r="B60" s="73"/>
      <c r="C60" s="73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</row>
    <row r="61" spans="1:27" ht="14.4">
      <c r="A61" s="65"/>
      <c r="B61" s="73"/>
      <c r="C61" s="73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</row>
    <row r="62" spans="1:27" ht="14.4">
      <c r="A62" s="65"/>
      <c r="B62" s="73"/>
      <c r="C62" s="73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</row>
    <row r="63" spans="1:27" ht="14.4">
      <c r="A63" s="65"/>
      <c r="B63" s="73"/>
      <c r="C63" s="73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</row>
    <row r="64" spans="1:27" ht="14.4">
      <c r="A64" s="65"/>
      <c r="B64" s="73"/>
      <c r="C64" s="73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</row>
    <row r="65" spans="1:27" ht="14.4">
      <c r="A65" s="65"/>
      <c r="B65" s="73"/>
      <c r="C65" s="73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</row>
    <row r="66" spans="1:27" ht="14.4">
      <c r="A66" s="65"/>
      <c r="B66" s="73"/>
      <c r="C66" s="73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</row>
    <row r="67" spans="1:27" ht="14.4">
      <c r="A67" s="65"/>
      <c r="B67" s="73"/>
      <c r="C67" s="73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</row>
    <row r="68" spans="1:27" ht="14.4">
      <c r="A68" s="65"/>
      <c r="B68" s="73"/>
      <c r="C68" s="73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</row>
    <row r="69" spans="1:27" ht="14.4">
      <c r="A69" s="65"/>
      <c r="B69" s="73"/>
      <c r="C69" s="73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</row>
    <row r="70" spans="1:27" ht="14.4">
      <c r="A70" s="65"/>
      <c r="B70" s="73"/>
      <c r="C70" s="73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</row>
    <row r="71" spans="1:27" ht="14.4">
      <c r="A71" s="65"/>
      <c r="B71" s="73"/>
      <c r="C71" s="73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</row>
    <row r="72" spans="1:27" ht="14.4">
      <c r="A72" s="65"/>
      <c r="B72" s="73"/>
      <c r="C72" s="73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</row>
    <row r="73" spans="1:27" ht="14.4">
      <c r="A73" s="65"/>
      <c r="B73" s="73"/>
      <c r="C73" s="73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</row>
    <row r="74" spans="1:27" ht="14.4">
      <c r="A74" s="65"/>
      <c r="B74" s="73"/>
      <c r="C74" s="73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</row>
    <row r="75" spans="1:27" ht="14.4">
      <c r="A75" s="65"/>
      <c r="B75" s="73"/>
      <c r="C75" s="73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</row>
    <row r="76" spans="1:27" ht="14.4">
      <c r="A76" s="65"/>
      <c r="B76" s="73"/>
      <c r="C76" s="73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</row>
    <row r="77" spans="1:27" ht="14.4">
      <c r="A77" s="65"/>
      <c r="B77" s="73"/>
      <c r="C77" s="73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</row>
    <row r="78" spans="1:27" ht="14.4">
      <c r="A78" s="65"/>
      <c r="B78" s="73"/>
      <c r="C78" s="73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</row>
    <row r="79" spans="1:27" ht="14.4">
      <c r="A79" s="65"/>
      <c r="B79" s="73"/>
      <c r="C79" s="73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</row>
    <row r="80" spans="1:27" ht="14.4">
      <c r="A80" s="65"/>
      <c r="B80" s="73"/>
      <c r="C80" s="73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</row>
    <row r="81" spans="1:27" ht="14.4">
      <c r="A81" s="65"/>
      <c r="B81" s="73"/>
      <c r="C81" s="73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</row>
    <row r="82" spans="1:27" ht="14.4">
      <c r="A82" s="65"/>
      <c r="B82" s="73"/>
      <c r="C82" s="73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</row>
    <row r="83" spans="1:27" ht="14.4">
      <c r="A83" s="65"/>
      <c r="B83" s="73"/>
      <c r="C83" s="73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</row>
    <row r="84" spans="1:27" ht="14.4">
      <c r="A84" s="65"/>
      <c r="B84" s="73"/>
      <c r="C84" s="73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</row>
    <row r="85" spans="1:27" ht="14.4">
      <c r="A85" s="65"/>
      <c r="B85" s="73"/>
      <c r="C85" s="73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</row>
    <row r="86" spans="1:27" ht="14.4">
      <c r="A86" s="65"/>
      <c r="B86" s="73"/>
      <c r="C86" s="73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</row>
    <row r="87" spans="1:27" ht="14.4">
      <c r="A87" s="65"/>
      <c r="B87" s="73"/>
      <c r="C87" s="73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</row>
    <row r="88" spans="1:27" ht="14.4">
      <c r="A88" s="65"/>
      <c r="B88" s="73"/>
      <c r="C88" s="73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</row>
    <row r="89" spans="1:27" ht="14.4">
      <c r="A89" s="65"/>
      <c r="B89" s="73"/>
      <c r="C89" s="73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</row>
    <row r="90" spans="1:27" ht="14.4">
      <c r="A90" s="65"/>
      <c r="B90" s="73"/>
      <c r="C90" s="73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</row>
    <row r="91" spans="1:27" ht="14.4">
      <c r="A91" s="65"/>
      <c r="B91" s="73"/>
      <c r="C91" s="73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</row>
    <row r="92" spans="1:27" ht="14.4">
      <c r="A92" s="65"/>
      <c r="B92" s="73"/>
      <c r="C92" s="73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</row>
    <row r="93" spans="1:27" ht="14.4">
      <c r="A93" s="65"/>
      <c r="B93" s="73"/>
      <c r="C93" s="73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</row>
    <row r="94" spans="1:27" ht="14.4">
      <c r="A94" s="65"/>
      <c r="B94" s="73"/>
      <c r="C94" s="73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</row>
    <row r="95" spans="1:27" ht="14.4">
      <c r="A95" s="65"/>
      <c r="B95" s="73"/>
      <c r="C95" s="73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</row>
    <row r="96" spans="1:27" ht="14.4">
      <c r="A96" s="65"/>
      <c r="B96" s="73"/>
      <c r="C96" s="73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</row>
    <row r="97" spans="1:27" ht="14.4">
      <c r="A97" s="65"/>
      <c r="B97" s="73"/>
      <c r="C97" s="73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</row>
    <row r="98" spans="1:27" ht="14.4">
      <c r="A98" s="65"/>
      <c r="B98" s="73"/>
      <c r="C98" s="73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</row>
    <row r="99" spans="1:27" ht="14.4">
      <c r="A99" s="65"/>
      <c r="B99" s="73"/>
      <c r="C99" s="73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</row>
    <row r="100" spans="1:27" ht="14.4">
      <c r="A100" s="65"/>
      <c r="B100" s="73"/>
      <c r="C100" s="73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</row>
    <row r="101" spans="1:27" ht="14.4">
      <c r="A101" s="65"/>
      <c r="B101" s="73"/>
      <c r="C101" s="73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</row>
    <row r="102" spans="1:27" ht="14.4">
      <c r="A102" s="65"/>
      <c r="B102" s="73"/>
      <c r="C102" s="73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</row>
    <row r="103" spans="1:27" ht="14.4">
      <c r="A103" s="65"/>
      <c r="B103" s="73"/>
      <c r="C103" s="73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</row>
    <row r="104" spans="1:27" ht="14.4">
      <c r="A104" s="65"/>
      <c r="B104" s="73"/>
      <c r="C104" s="73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</row>
    <row r="105" spans="1:27" ht="14.4">
      <c r="A105" s="65"/>
      <c r="B105" s="73"/>
      <c r="C105" s="73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</row>
    <row r="106" spans="1:27" ht="14.4">
      <c r="A106" s="65"/>
      <c r="B106" s="73"/>
      <c r="C106" s="73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</row>
    <row r="107" spans="1:27" ht="14.4">
      <c r="A107" s="65"/>
      <c r="B107" s="73"/>
      <c r="C107" s="73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</row>
    <row r="108" spans="1:27" ht="14.4">
      <c r="A108" s="65"/>
      <c r="B108" s="73"/>
      <c r="C108" s="73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</row>
    <row r="109" spans="1:27" ht="14.4">
      <c r="A109" s="65"/>
      <c r="B109" s="73"/>
      <c r="C109" s="73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</row>
    <row r="110" spans="1:27" ht="14.4">
      <c r="A110" s="65"/>
      <c r="B110" s="73"/>
      <c r="C110" s="73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</row>
    <row r="111" spans="1:27" ht="14.4">
      <c r="A111" s="65"/>
      <c r="B111" s="73"/>
      <c r="C111" s="73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</row>
    <row r="112" spans="1:27" ht="14.4">
      <c r="A112" s="65"/>
      <c r="B112" s="73"/>
      <c r="C112" s="73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</row>
    <row r="113" spans="1:27" ht="14.4">
      <c r="A113" s="65"/>
      <c r="B113" s="73"/>
      <c r="C113" s="73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</row>
    <row r="114" spans="1:27" ht="14.4">
      <c r="A114" s="65"/>
      <c r="B114" s="73"/>
      <c r="C114" s="73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</row>
    <row r="115" spans="1:27" ht="14.4">
      <c r="A115" s="65"/>
      <c r="B115" s="73"/>
      <c r="C115" s="73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</row>
    <row r="116" spans="1:27" ht="14.4">
      <c r="A116" s="65"/>
      <c r="B116" s="73"/>
      <c r="C116" s="73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</row>
    <row r="117" spans="1:27" ht="14.4">
      <c r="A117" s="65"/>
      <c r="B117" s="73"/>
      <c r="C117" s="73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</row>
    <row r="118" spans="1:27" ht="14.4">
      <c r="A118" s="65"/>
      <c r="B118" s="73"/>
      <c r="C118" s="73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</row>
    <row r="119" spans="1:27" ht="14.4">
      <c r="A119" s="65"/>
      <c r="B119" s="73"/>
      <c r="C119" s="73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</row>
    <row r="120" spans="1:27" ht="14.4">
      <c r="A120" s="65"/>
      <c r="B120" s="73"/>
      <c r="C120" s="73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</row>
    <row r="121" spans="1:27" ht="14.4">
      <c r="A121" s="65"/>
      <c r="B121" s="73"/>
      <c r="C121" s="73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</row>
    <row r="122" spans="1:27" ht="14.4">
      <c r="A122" s="65"/>
      <c r="B122" s="73"/>
      <c r="C122" s="73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</row>
    <row r="123" spans="1:27" ht="14.4">
      <c r="A123" s="65"/>
      <c r="B123" s="73"/>
      <c r="C123" s="73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</row>
    <row r="124" spans="1:27" ht="14.4">
      <c r="A124" s="65"/>
      <c r="B124" s="73"/>
      <c r="C124" s="73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</row>
    <row r="125" spans="1:27" ht="14.4">
      <c r="A125" s="65"/>
      <c r="B125" s="73"/>
      <c r="C125" s="73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</row>
    <row r="126" spans="1:27" ht="14.4">
      <c r="A126" s="65"/>
      <c r="B126" s="73"/>
      <c r="C126" s="73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</row>
    <row r="127" spans="1:27" ht="14.4">
      <c r="A127" s="65"/>
      <c r="B127" s="73"/>
      <c r="C127" s="73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</row>
    <row r="128" spans="1:27" ht="14.4">
      <c r="A128" s="65"/>
      <c r="B128" s="73"/>
      <c r="C128" s="73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</row>
    <row r="129" spans="1:27" ht="14.4">
      <c r="A129" s="65"/>
      <c r="B129" s="73"/>
      <c r="C129" s="73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</row>
    <row r="130" spans="1:27" ht="14.4">
      <c r="A130" s="65"/>
      <c r="B130" s="73"/>
      <c r="C130" s="73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</row>
    <row r="131" spans="1:27" ht="14.4">
      <c r="A131" s="65"/>
      <c r="B131" s="73"/>
      <c r="C131" s="73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</row>
    <row r="132" spans="1:27" ht="14.4">
      <c r="A132" s="65"/>
      <c r="B132" s="73"/>
      <c r="C132" s="73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</row>
    <row r="133" spans="1:27" ht="14.4">
      <c r="A133" s="65"/>
      <c r="B133" s="73"/>
      <c r="C133" s="73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</row>
    <row r="134" spans="1:27" ht="14.4">
      <c r="A134" s="65"/>
      <c r="B134" s="73"/>
      <c r="C134" s="73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</row>
    <row r="135" spans="1:27" ht="14.4">
      <c r="A135" s="65"/>
      <c r="B135" s="73"/>
      <c r="C135" s="73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</row>
    <row r="136" spans="1:27" ht="14.4">
      <c r="A136" s="65"/>
      <c r="B136" s="73"/>
      <c r="C136" s="73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</row>
    <row r="137" spans="1:27" ht="14.4">
      <c r="A137" s="65"/>
      <c r="B137" s="73"/>
      <c r="C137" s="73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</row>
    <row r="138" spans="1:27" ht="14.4">
      <c r="A138" s="65"/>
      <c r="B138" s="73"/>
      <c r="C138" s="73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</row>
    <row r="139" spans="1:27" ht="14.4">
      <c r="A139" s="65"/>
      <c r="B139" s="73"/>
      <c r="C139" s="73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</row>
    <row r="140" spans="1:27" ht="14.4">
      <c r="A140" s="65"/>
      <c r="B140" s="73"/>
      <c r="C140" s="73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</row>
    <row r="141" spans="1:27" ht="14.4">
      <c r="A141" s="65"/>
      <c r="B141" s="73"/>
      <c r="C141" s="73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</row>
    <row r="142" spans="1:27" ht="14.4">
      <c r="A142" s="65"/>
      <c r="B142" s="73"/>
      <c r="C142" s="73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</row>
    <row r="143" spans="1:27" ht="14.4">
      <c r="A143" s="65"/>
      <c r="B143" s="73"/>
      <c r="C143" s="73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</row>
    <row r="144" spans="1:27" ht="14.4">
      <c r="A144" s="65"/>
      <c r="B144" s="73"/>
      <c r="C144" s="73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</row>
    <row r="145" spans="1:27" ht="14.4">
      <c r="A145" s="65"/>
      <c r="B145" s="73"/>
      <c r="C145" s="73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</row>
    <row r="146" spans="1:27" ht="14.4">
      <c r="A146" s="65"/>
      <c r="B146" s="73"/>
      <c r="C146" s="73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</row>
    <row r="147" spans="1:27" ht="14.4">
      <c r="A147" s="65"/>
      <c r="B147" s="73"/>
      <c r="C147" s="73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</row>
    <row r="148" spans="1:27" ht="14.4">
      <c r="A148" s="65"/>
      <c r="B148" s="73"/>
      <c r="C148" s="73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</row>
    <row r="149" spans="1:27" ht="14.4">
      <c r="A149" s="65"/>
      <c r="B149" s="73"/>
      <c r="C149" s="73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</row>
    <row r="150" spans="1:27" ht="14.4">
      <c r="A150" s="65"/>
      <c r="B150" s="73"/>
      <c r="C150" s="73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</row>
    <row r="151" spans="1:27" ht="14.4">
      <c r="A151" s="65"/>
      <c r="B151" s="73"/>
      <c r="C151" s="73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</row>
    <row r="152" spans="1:27" ht="14.4">
      <c r="A152" s="65"/>
      <c r="B152" s="73"/>
      <c r="C152" s="73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</row>
    <row r="153" spans="1:27" ht="14.4">
      <c r="A153" s="65"/>
      <c r="B153" s="73"/>
      <c r="C153" s="73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</row>
    <row r="154" spans="1:27" ht="14.4">
      <c r="A154" s="65"/>
      <c r="B154" s="73"/>
      <c r="C154" s="73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</row>
    <row r="155" spans="1:27" ht="14.4">
      <c r="A155" s="65"/>
      <c r="B155" s="73"/>
      <c r="C155" s="73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</row>
    <row r="156" spans="1:27" ht="14.4">
      <c r="A156" s="65"/>
      <c r="B156" s="73"/>
      <c r="C156" s="73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</row>
    <row r="157" spans="1:27" ht="14.4">
      <c r="A157" s="65"/>
      <c r="B157" s="73"/>
      <c r="C157" s="73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</row>
    <row r="158" spans="1:27" ht="14.4">
      <c r="A158" s="65"/>
      <c r="B158" s="73"/>
      <c r="C158" s="73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</row>
    <row r="159" spans="1:27" ht="14.4">
      <c r="A159" s="65"/>
      <c r="B159" s="73"/>
      <c r="C159" s="73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</row>
    <row r="160" spans="1:27" ht="14.4">
      <c r="A160" s="65"/>
      <c r="B160" s="73"/>
      <c r="C160" s="73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</row>
    <row r="161" spans="1:27" ht="14.4">
      <c r="A161" s="65"/>
      <c r="B161" s="73"/>
      <c r="C161" s="73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</row>
    <row r="162" spans="1:27" ht="14.4">
      <c r="A162" s="65"/>
      <c r="B162" s="73"/>
      <c r="C162" s="73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</row>
    <row r="163" spans="1:27" ht="14.4">
      <c r="A163" s="65"/>
      <c r="B163" s="73"/>
      <c r="C163" s="73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</row>
    <row r="164" spans="1:27" ht="14.4">
      <c r="A164" s="65"/>
      <c r="B164" s="73"/>
      <c r="C164" s="73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</row>
    <row r="165" spans="1:27" ht="14.4">
      <c r="A165" s="65"/>
      <c r="B165" s="73"/>
      <c r="C165" s="73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</row>
    <row r="166" spans="1:27" ht="14.4">
      <c r="A166" s="65"/>
      <c r="B166" s="73"/>
      <c r="C166" s="73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</row>
    <row r="167" spans="1:27" ht="14.4">
      <c r="A167" s="65"/>
      <c r="B167" s="73"/>
      <c r="C167" s="73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</row>
    <row r="168" spans="1:27" ht="14.4">
      <c r="A168" s="65"/>
      <c r="B168" s="73"/>
      <c r="C168" s="73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</row>
    <row r="169" spans="1:27" ht="14.4">
      <c r="A169" s="65"/>
      <c r="B169" s="73"/>
      <c r="C169" s="73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</row>
    <row r="170" spans="1:27" ht="14.4">
      <c r="A170" s="65"/>
      <c r="B170" s="73"/>
      <c r="C170" s="73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</row>
    <row r="171" spans="1:27" ht="14.4">
      <c r="A171" s="65"/>
      <c r="B171" s="73"/>
      <c r="C171" s="73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</row>
    <row r="172" spans="1:27" ht="14.4">
      <c r="A172" s="65"/>
      <c r="B172" s="73"/>
      <c r="C172" s="73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</row>
    <row r="173" spans="1:27" ht="14.4">
      <c r="A173" s="65"/>
      <c r="B173" s="73"/>
      <c r="C173" s="73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</row>
    <row r="174" spans="1:27" ht="14.4">
      <c r="A174" s="65"/>
      <c r="B174" s="73"/>
      <c r="C174" s="73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</row>
    <row r="175" spans="1:27" ht="14.4">
      <c r="A175" s="65"/>
      <c r="B175" s="73"/>
      <c r="C175" s="73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</row>
    <row r="176" spans="1:27" ht="14.4">
      <c r="A176" s="65"/>
      <c r="B176" s="73"/>
      <c r="C176" s="73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</row>
    <row r="177" spans="1:27" ht="14.4">
      <c r="A177" s="65"/>
      <c r="B177" s="73"/>
      <c r="C177" s="73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</row>
    <row r="178" spans="1:27" ht="14.4">
      <c r="A178" s="65"/>
      <c r="B178" s="73"/>
      <c r="C178" s="73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</row>
    <row r="179" spans="1:27" ht="14.4">
      <c r="A179" s="65"/>
      <c r="B179" s="73"/>
      <c r="C179" s="73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</row>
    <row r="180" spans="1:27" ht="14.4">
      <c r="A180" s="65"/>
      <c r="B180" s="73"/>
      <c r="C180" s="73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</row>
    <row r="181" spans="1:27" ht="14.4">
      <c r="A181" s="65"/>
      <c r="B181" s="73"/>
      <c r="C181" s="73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</row>
    <row r="182" spans="1:27" ht="14.4">
      <c r="A182" s="65"/>
      <c r="B182" s="73"/>
      <c r="C182" s="73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</row>
    <row r="183" spans="1:27" ht="14.4">
      <c r="A183" s="65"/>
      <c r="B183" s="73"/>
      <c r="C183" s="73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</row>
    <row r="184" spans="1:27" ht="14.4">
      <c r="A184" s="65"/>
      <c r="B184" s="73"/>
      <c r="C184" s="73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</row>
    <row r="185" spans="1:27" ht="14.4">
      <c r="A185" s="65"/>
      <c r="B185" s="73"/>
      <c r="C185" s="73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</row>
    <row r="186" spans="1:27" ht="14.4">
      <c r="A186" s="65"/>
      <c r="B186" s="73"/>
      <c r="C186" s="73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</row>
    <row r="187" spans="1:27" ht="14.4">
      <c r="A187" s="65"/>
      <c r="B187" s="73"/>
      <c r="C187" s="73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</row>
    <row r="188" spans="1:27" ht="14.4">
      <c r="A188" s="65"/>
      <c r="B188" s="73"/>
      <c r="C188" s="73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</row>
    <row r="189" spans="1:27" ht="14.4">
      <c r="A189" s="65"/>
      <c r="B189" s="73"/>
      <c r="C189" s="73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</row>
    <row r="190" spans="1:27" ht="14.4">
      <c r="A190" s="65"/>
      <c r="B190" s="73"/>
      <c r="C190" s="73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</row>
    <row r="191" spans="1:27" ht="14.4">
      <c r="A191" s="65"/>
      <c r="B191" s="73"/>
      <c r="C191" s="73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</row>
    <row r="192" spans="1:27" ht="14.4">
      <c r="A192" s="65"/>
      <c r="B192" s="73"/>
      <c r="C192" s="73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</row>
    <row r="193" spans="1:27" ht="14.4">
      <c r="A193" s="65"/>
      <c r="B193" s="73"/>
      <c r="C193" s="73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</row>
    <row r="194" spans="1:27" ht="14.4">
      <c r="A194" s="65"/>
      <c r="B194" s="73"/>
      <c r="C194" s="73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</row>
    <row r="195" spans="1:27" ht="14.4">
      <c r="A195" s="65"/>
      <c r="B195" s="73"/>
      <c r="C195" s="73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</row>
    <row r="196" spans="1:27" ht="14.4">
      <c r="A196" s="65"/>
      <c r="B196" s="73"/>
      <c r="C196" s="73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</row>
    <row r="197" spans="1:27" ht="14.4">
      <c r="A197" s="65"/>
      <c r="B197" s="73"/>
      <c r="C197" s="73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</row>
    <row r="198" spans="1:27" ht="14.4">
      <c r="A198" s="65"/>
      <c r="B198" s="73"/>
      <c r="C198" s="73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</row>
    <row r="199" spans="1:27" ht="14.4">
      <c r="A199" s="65"/>
      <c r="B199" s="73"/>
      <c r="C199" s="73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</row>
    <row r="200" spans="1:27" ht="14.4">
      <c r="A200" s="65"/>
      <c r="B200" s="73"/>
      <c r="C200" s="73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</row>
    <row r="201" spans="1:27" ht="14.4">
      <c r="A201" s="65"/>
      <c r="B201" s="73"/>
      <c r="C201" s="73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</row>
    <row r="202" spans="1:27" ht="14.4">
      <c r="A202" s="65"/>
      <c r="B202" s="73"/>
      <c r="C202" s="73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</row>
    <row r="203" spans="1:27" ht="14.4">
      <c r="A203" s="65"/>
      <c r="B203" s="73"/>
      <c r="C203" s="73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</row>
    <row r="204" spans="1:27" ht="14.4">
      <c r="A204" s="65"/>
      <c r="B204" s="73"/>
      <c r="C204" s="73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</row>
    <row r="205" spans="1:27" ht="14.4">
      <c r="A205" s="65"/>
      <c r="B205" s="73"/>
      <c r="C205" s="73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</row>
    <row r="206" spans="1:27" ht="14.4">
      <c r="A206" s="65"/>
      <c r="B206" s="73"/>
      <c r="C206" s="73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</row>
    <row r="207" spans="1:27" ht="14.4">
      <c r="A207" s="65"/>
      <c r="B207" s="73"/>
      <c r="C207" s="73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</row>
    <row r="208" spans="1:27" ht="14.4">
      <c r="A208" s="65"/>
      <c r="B208" s="73"/>
      <c r="C208" s="73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</row>
    <row r="209" spans="1:27" ht="14.4">
      <c r="A209" s="65"/>
      <c r="B209" s="73"/>
      <c r="C209" s="73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</row>
    <row r="210" spans="1:27" ht="14.4">
      <c r="A210" s="65"/>
      <c r="B210" s="73"/>
      <c r="C210" s="73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</row>
    <row r="211" spans="1:27" ht="14.4">
      <c r="A211" s="65"/>
      <c r="B211" s="73"/>
      <c r="C211" s="73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</row>
    <row r="212" spans="1:27" ht="14.4">
      <c r="A212" s="65"/>
      <c r="B212" s="73"/>
      <c r="C212" s="73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</row>
    <row r="213" spans="1:27" ht="14.4">
      <c r="A213" s="65"/>
      <c r="B213" s="73"/>
      <c r="C213" s="73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</row>
    <row r="214" spans="1:27" ht="14.4">
      <c r="A214" s="65"/>
      <c r="B214" s="73"/>
      <c r="C214" s="73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</row>
    <row r="215" spans="1:27" ht="14.4">
      <c r="A215" s="65"/>
      <c r="B215" s="73"/>
      <c r="C215" s="73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</row>
    <row r="216" spans="1:27" ht="14.4">
      <c r="A216" s="65"/>
      <c r="B216" s="73"/>
      <c r="C216" s="73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</row>
    <row r="217" spans="1:27" ht="14.4">
      <c r="A217" s="65"/>
      <c r="B217" s="73"/>
      <c r="C217" s="73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</row>
    <row r="218" spans="1:27" ht="14.4">
      <c r="A218" s="65"/>
      <c r="B218" s="73"/>
      <c r="C218" s="73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</row>
    <row r="219" spans="1:27" ht="14.4">
      <c r="A219" s="65"/>
      <c r="B219" s="73"/>
      <c r="C219" s="73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</row>
    <row r="220" spans="1:27" ht="14.4">
      <c r="A220" s="65"/>
      <c r="B220" s="73"/>
      <c r="C220" s="73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</row>
    <row r="221" spans="1:27" ht="14.4">
      <c r="A221" s="65"/>
      <c r="B221" s="73"/>
      <c r="C221" s="73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</row>
    <row r="222" spans="1:27" ht="14.4">
      <c r="A222" s="65"/>
      <c r="B222" s="73"/>
      <c r="C222" s="73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</row>
    <row r="223" spans="1:27" ht="14.4">
      <c r="A223" s="65"/>
      <c r="B223" s="73"/>
      <c r="C223" s="73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</row>
    <row r="224" spans="1:27" ht="14.4">
      <c r="A224" s="65"/>
      <c r="B224" s="73"/>
      <c r="C224" s="73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</row>
    <row r="225" spans="1:27" ht="14.4">
      <c r="A225" s="65"/>
      <c r="B225" s="73"/>
      <c r="C225" s="73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</row>
    <row r="226" spans="1:27" ht="14.4">
      <c r="A226" s="65"/>
      <c r="B226" s="73"/>
      <c r="C226" s="73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</row>
    <row r="227" spans="1:27" ht="14.4">
      <c r="A227" s="65"/>
      <c r="B227" s="73"/>
      <c r="C227" s="73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</row>
    <row r="228" spans="1:27" ht="14.4">
      <c r="A228" s="65"/>
      <c r="B228" s="73"/>
      <c r="C228" s="73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</row>
    <row r="229" spans="1:27" ht="14.4">
      <c r="A229" s="65"/>
      <c r="B229" s="73"/>
      <c r="C229" s="73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</row>
    <row r="230" spans="1:27" ht="14.4">
      <c r="A230" s="65"/>
      <c r="B230" s="73"/>
      <c r="C230" s="73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</row>
    <row r="231" spans="1:27" ht="14.4">
      <c r="A231" s="65"/>
      <c r="B231" s="73"/>
      <c r="C231" s="73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</row>
    <row r="232" spans="1:27" ht="14.4">
      <c r="A232" s="65"/>
      <c r="B232" s="73"/>
      <c r="C232" s="73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</row>
    <row r="233" spans="1:27" ht="14.4">
      <c r="A233" s="65"/>
      <c r="B233" s="73"/>
      <c r="C233" s="73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</row>
    <row r="234" spans="1:27" ht="14.4">
      <c r="A234" s="65"/>
      <c r="B234" s="73"/>
      <c r="C234" s="73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</row>
    <row r="235" spans="1:27" ht="14.4">
      <c r="A235" s="65"/>
      <c r="B235" s="73"/>
      <c r="C235" s="73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</row>
    <row r="236" spans="1:27" ht="14.4">
      <c r="A236" s="65"/>
      <c r="B236" s="73"/>
      <c r="C236" s="73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</row>
    <row r="237" spans="1:27" ht="14.4">
      <c r="A237" s="65"/>
      <c r="B237" s="73"/>
      <c r="C237" s="73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</row>
    <row r="238" spans="1:27" ht="14.4">
      <c r="A238" s="65"/>
      <c r="B238" s="73"/>
      <c r="C238" s="73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</row>
    <row r="239" spans="1:27" ht="14.4">
      <c r="A239" s="65"/>
      <c r="B239" s="73"/>
      <c r="C239" s="73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</row>
    <row r="240" spans="1:27" ht="14.4">
      <c r="A240" s="65"/>
      <c r="B240" s="73"/>
      <c r="C240" s="73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</row>
    <row r="241" spans="1:27" ht="14.4">
      <c r="A241" s="65"/>
      <c r="B241" s="73"/>
      <c r="C241" s="73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</row>
    <row r="242" spans="1:27" ht="14.4">
      <c r="A242" s="65"/>
      <c r="B242" s="73"/>
      <c r="C242" s="73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</row>
    <row r="243" spans="1:27" ht="14.4">
      <c r="A243" s="65"/>
      <c r="B243" s="73"/>
      <c r="C243" s="73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</row>
    <row r="244" spans="1:27" ht="14.4">
      <c r="A244" s="65"/>
      <c r="B244" s="73"/>
      <c r="C244" s="73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</row>
    <row r="245" spans="1:27" ht="14.4">
      <c r="A245" s="65"/>
      <c r="B245" s="73"/>
      <c r="C245" s="73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</row>
    <row r="246" spans="1:27" ht="14.4">
      <c r="A246" s="65"/>
      <c r="B246" s="73"/>
      <c r="C246" s="73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</row>
    <row r="247" spans="1:27" ht="14.4">
      <c r="A247" s="65"/>
      <c r="B247" s="73"/>
      <c r="C247" s="73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</row>
    <row r="248" spans="1:27" ht="14.4">
      <c r="A248" s="65"/>
      <c r="B248" s="73"/>
      <c r="C248" s="73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</row>
    <row r="249" spans="1:27" ht="14.4">
      <c r="A249" s="65"/>
      <c r="B249" s="73"/>
      <c r="C249" s="73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</row>
    <row r="250" spans="1:27" ht="14.4">
      <c r="A250" s="65"/>
      <c r="B250" s="73"/>
      <c r="C250" s="73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</row>
    <row r="251" spans="1:27" ht="14.4">
      <c r="A251" s="65"/>
      <c r="B251" s="73"/>
      <c r="C251" s="73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</row>
    <row r="252" spans="1:27" ht="14.4">
      <c r="A252" s="65"/>
      <c r="B252" s="73"/>
      <c r="C252" s="73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</row>
    <row r="253" spans="1:27" ht="14.4">
      <c r="A253" s="65"/>
      <c r="B253" s="73"/>
      <c r="C253" s="73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</row>
    <row r="254" spans="1:27" ht="14.4">
      <c r="A254" s="65"/>
      <c r="B254" s="73"/>
      <c r="C254" s="73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</row>
    <row r="255" spans="1:27" ht="14.4">
      <c r="A255" s="65"/>
      <c r="B255" s="73"/>
      <c r="C255" s="73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</row>
    <row r="256" spans="1:27" ht="14.4">
      <c r="A256" s="65"/>
      <c r="B256" s="73"/>
      <c r="C256" s="73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</row>
    <row r="257" spans="1:27" ht="14.4">
      <c r="A257" s="65"/>
      <c r="B257" s="73"/>
      <c r="C257" s="73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</row>
    <row r="258" spans="1:27" ht="14.4">
      <c r="A258" s="65"/>
      <c r="B258" s="73"/>
      <c r="C258" s="73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</row>
    <row r="259" spans="1:27" ht="14.4">
      <c r="A259" s="65"/>
      <c r="B259" s="73"/>
      <c r="C259" s="73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</row>
    <row r="260" spans="1:27" ht="14.4">
      <c r="A260" s="65"/>
      <c r="B260" s="73"/>
      <c r="C260" s="73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</row>
    <row r="261" spans="1:27" ht="14.4">
      <c r="A261" s="65"/>
      <c r="B261" s="73"/>
      <c r="C261" s="73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</row>
    <row r="262" spans="1:27" ht="14.4">
      <c r="A262" s="65"/>
      <c r="B262" s="73"/>
      <c r="C262" s="73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</row>
    <row r="263" spans="1:27" ht="14.4">
      <c r="A263" s="65"/>
      <c r="B263" s="73"/>
      <c r="C263" s="73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</row>
    <row r="264" spans="1:27" ht="14.4">
      <c r="A264" s="65"/>
      <c r="B264" s="73"/>
      <c r="C264" s="73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</row>
    <row r="265" spans="1:27" ht="14.4">
      <c r="A265" s="65"/>
      <c r="B265" s="73"/>
      <c r="C265" s="73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</row>
    <row r="266" spans="1:27" ht="14.4">
      <c r="A266" s="65"/>
      <c r="B266" s="73"/>
      <c r="C266" s="73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</row>
    <row r="267" spans="1:27" ht="14.4">
      <c r="A267" s="65"/>
      <c r="B267" s="73"/>
      <c r="C267" s="73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</row>
    <row r="268" spans="1:27" ht="14.4">
      <c r="A268" s="65"/>
      <c r="B268" s="73"/>
      <c r="C268" s="73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</row>
    <row r="269" spans="1:27" ht="14.4">
      <c r="A269" s="65"/>
      <c r="B269" s="73"/>
      <c r="C269" s="73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</row>
    <row r="270" spans="1:27" ht="14.4">
      <c r="A270" s="65"/>
      <c r="B270" s="73"/>
      <c r="C270" s="73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</row>
    <row r="271" spans="1:27" ht="14.4">
      <c r="A271" s="65"/>
      <c r="B271" s="73"/>
      <c r="C271" s="73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</row>
    <row r="272" spans="1:27" ht="14.4">
      <c r="A272" s="65"/>
      <c r="B272" s="73"/>
      <c r="C272" s="73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</row>
    <row r="273" spans="1:27" ht="14.4">
      <c r="A273" s="65"/>
      <c r="B273" s="73"/>
      <c r="C273" s="73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</row>
    <row r="274" spans="1:27" ht="14.4">
      <c r="A274" s="65"/>
      <c r="B274" s="73"/>
      <c r="C274" s="73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</row>
    <row r="275" spans="1:27" ht="14.4">
      <c r="A275" s="65"/>
      <c r="B275" s="73"/>
      <c r="C275" s="73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</row>
    <row r="276" spans="1:27" ht="14.4">
      <c r="A276" s="65"/>
      <c r="B276" s="73"/>
      <c r="C276" s="73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</row>
    <row r="277" spans="1:27" ht="14.4">
      <c r="A277" s="65"/>
      <c r="B277" s="73"/>
      <c r="C277" s="73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</row>
    <row r="278" spans="1:27" ht="14.4">
      <c r="A278" s="65"/>
      <c r="B278" s="73"/>
      <c r="C278" s="73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</row>
    <row r="279" spans="1:27" ht="14.4">
      <c r="A279" s="65"/>
      <c r="B279" s="73"/>
      <c r="C279" s="73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</row>
    <row r="280" spans="1:27" ht="14.4">
      <c r="A280" s="65"/>
      <c r="B280" s="73"/>
      <c r="C280" s="73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</row>
    <row r="281" spans="1:27" ht="14.4">
      <c r="A281" s="65"/>
      <c r="B281" s="73"/>
      <c r="C281" s="73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</row>
    <row r="282" spans="1:27" ht="14.4">
      <c r="A282" s="65"/>
      <c r="B282" s="73"/>
      <c r="C282" s="73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</row>
    <row r="283" spans="1:27" ht="14.4">
      <c r="A283" s="65"/>
      <c r="B283" s="73"/>
      <c r="C283" s="73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</row>
    <row r="284" spans="1:27" ht="14.4">
      <c r="A284" s="65"/>
      <c r="B284" s="73"/>
      <c r="C284" s="73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</row>
    <row r="285" spans="1:27" ht="14.4">
      <c r="A285" s="65"/>
      <c r="B285" s="73"/>
      <c r="C285" s="73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</row>
    <row r="286" spans="1:27" ht="14.4">
      <c r="A286" s="65"/>
      <c r="B286" s="73"/>
      <c r="C286" s="73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</row>
    <row r="287" spans="1:27" ht="14.4">
      <c r="A287" s="65"/>
      <c r="B287" s="73"/>
      <c r="C287" s="73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</row>
    <row r="288" spans="1:27" ht="14.4">
      <c r="A288" s="65"/>
      <c r="B288" s="73"/>
      <c r="C288" s="73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</row>
    <row r="289" spans="1:27" ht="14.4">
      <c r="A289" s="65"/>
      <c r="B289" s="73"/>
      <c r="C289" s="73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</row>
    <row r="290" spans="1:27" ht="14.4">
      <c r="A290" s="65"/>
      <c r="B290" s="73"/>
      <c r="C290" s="73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</row>
    <row r="291" spans="1:27" ht="14.4">
      <c r="A291" s="65"/>
      <c r="B291" s="73"/>
      <c r="C291" s="73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</row>
    <row r="292" spans="1:27" ht="14.4">
      <c r="A292" s="65"/>
      <c r="B292" s="73"/>
      <c r="C292" s="73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</row>
    <row r="293" spans="1:27" ht="14.4">
      <c r="A293" s="65"/>
      <c r="B293" s="73"/>
      <c r="C293" s="73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</row>
    <row r="294" spans="1:27" ht="14.4">
      <c r="A294" s="65"/>
      <c r="B294" s="73"/>
      <c r="C294" s="73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</row>
    <row r="295" spans="1:27" ht="14.4">
      <c r="A295" s="65"/>
      <c r="B295" s="73"/>
      <c r="C295" s="73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</row>
    <row r="296" spans="1:27" ht="14.4">
      <c r="A296" s="65"/>
      <c r="B296" s="73"/>
      <c r="C296" s="73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</row>
    <row r="297" spans="1:27" ht="14.4">
      <c r="A297" s="65"/>
      <c r="B297" s="73"/>
      <c r="C297" s="73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</row>
    <row r="298" spans="1:27" ht="14.4">
      <c r="A298" s="65"/>
      <c r="B298" s="73"/>
      <c r="C298" s="73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</row>
    <row r="299" spans="1:27" ht="14.4">
      <c r="A299" s="65"/>
      <c r="B299" s="73"/>
      <c r="C299" s="73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</row>
    <row r="300" spans="1:27" ht="14.4">
      <c r="A300" s="65"/>
      <c r="B300" s="73"/>
      <c r="C300" s="73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</row>
    <row r="301" spans="1:27" ht="14.4">
      <c r="A301" s="65"/>
      <c r="B301" s="73"/>
      <c r="C301" s="73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</row>
    <row r="302" spans="1:27" ht="14.4">
      <c r="A302" s="65"/>
      <c r="B302" s="73"/>
      <c r="C302" s="73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</row>
    <row r="303" spans="1:27" ht="14.4">
      <c r="A303" s="65"/>
      <c r="B303" s="73"/>
      <c r="C303" s="73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</row>
    <row r="304" spans="1:27" ht="14.4">
      <c r="A304" s="65"/>
      <c r="B304" s="73"/>
      <c r="C304" s="73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</row>
    <row r="305" spans="1:27" ht="14.4">
      <c r="A305" s="65"/>
      <c r="B305" s="73"/>
      <c r="C305" s="73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</row>
    <row r="306" spans="1:27" ht="14.4">
      <c r="A306" s="65"/>
      <c r="B306" s="73"/>
      <c r="C306" s="73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</row>
    <row r="307" spans="1:27" ht="14.4">
      <c r="A307" s="65"/>
      <c r="B307" s="73"/>
      <c r="C307" s="73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</row>
    <row r="308" spans="1:27" ht="14.4">
      <c r="A308" s="65"/>
      <c r="B308" s="73"/>
      <c r="C308" s="73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</row>
    <row r="309" spans="1:27" ht="14.4">
      <c r="A309" s="65"/>
      <c r="B309" s="73"/>
      <c r="C309" s="73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</row>
    <row r="310" spans="1:27" ht="14.4">
      <c r="A310" s="65"/>
      <c r="B310" s="73"/>
      <c r="C310" s="73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</row>
    <row r="311" spans="1:27" ht="14.4">
      <c r="A311" s="65"/>
      <c r="B311" s="73"/>
      <c r="C311" s="73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</row>
    <row r="312" spans="1:27" ht="14.4">
      <c r="A312" s="65"/>
      <c r="B312" s="73"/>
      <c r="C312" s="73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</row>
    <row r="313" spans="1:27" ht="14.4">
      <c r="A313" s="65"/>
      <c r="B313" s="73"/>
      <c r="C313" s="73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</row>
    <row r="314" spans="1:27" ht="14.4">
      <c r="A314" s="65"/>
      <c r="B314" s="73"/>
      <c r="C314" s="73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</row>
    <row r="315" spans="1:27" ht="14.4">
      <c r="A315" s="65"/>
      <c r="B315" s="73"/>
      <c r="C315" s="73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</row>
    <row r="316" spans="1:27" ht="14.4">
      <c r="A316" s="65"/>
      <c r="B316" s="73"/>
      <c r="C316" s="73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</row>
    <row r="317" spans="1:27" ht="14.4">
      <c r="A317" s="65"/>
      <c r="B317" s="73"/>
      <c r="C317" s="73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</row>
    <row r="318" spans="1:27" ht="14.4">
      <c r="A318" s="65"/>
      <c r="B318" s="73"/>
      <c r="C318" s="73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</row>
    <row r="319" spans="1:27" ht="14.4">
      <c r="A319" s="65"/>
      <c r="B319" s="73"/>
      <c r="C319" s="73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</row>
    <row r="320" spans="1:27" ht="14.4">
      <c r="A320" s="65"/>
      <c r="B320" s="73"/>
      <c r="C320" s="73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</row>
    <row r="321" spans="1:27" ht="14.4">
      <c r="A321" s="65"/>
      <c r="B321" s="73"/>
      <c r="C321" s="73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</row>
    <row r="322" spans="1:27" ht="14.4">
      <c r="A322" s="65"/>
      <c r="B322" s="73"/>
      <c r="C322" s="73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</row>
    <row r="323" spans="1:27" ht="14.4">
      <c r="A323" s="65"/>
      <c r="B323" s="73"/>
      <c r="C323" s="73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</row>
    <row r="324" spans="1:27" ht="14.4">
      <c r="A324" s="65"/>
      <c r="B324" s="73"/>
      <c r="C324" s="73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</row>
    <row r="325" spans="1:27" ht="14.4">
      <c r="A325" s="65"/>
      <c r="B325" s="73"/>
      <c r="C325" s="73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</row>
    <row r="326" spans="1:27" ht="14.4">
      <c r="A326" s="65"/>
      <c r="B326" s="73"/>
      <c r="C326" s="73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</row>
    <row r="327" spans="1:27" ht="14.4">
      <c r="A327" s="65"/>
      <c r="B327" s="73"/>
      <c r="C327" s="73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</row>
    <row r="328" spans="1:27" ht="14.4">
      <c r="A328" s="65"/>
      <c r="B328" s="73"/>
      <c r="C328" s="73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</row>
    <row r="329" spans="1:27" ht="14.4">
      <c r="A329" s="65"/>
      <c r="B329" s="73"/>
      <c r="C329" s="73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</row>
    <row r="330" spans="1:27" ht="14.4">
      <c r="A330" s="65"/>
      <c r="B330" s="73"/>
      <c r="C330" s="73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</row>
    <row r="331" spans="1:27" ht="14.4">
      <c r="A331" s="65"/>
      <c r="B331" s="73"/>
      <c r="C331" s="73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</row>
    <row r="332" spans="1:27" ht="14.4">
      <c r="A332" s="65"/>
      <c r="B332" s="73"/>
      <c r="C332" s="73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</row>
    <row r="333" spans="1:27" ht="14.4">
      <c r="A333" s="65"/>
      <c r="B333" s="73"/>
      <c r="C333" s="73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</row>
    <row r="334" spans="1:27" ht="14.4">
      <c r="A334" s="65"/>
      <c r="B334" s="73"/>
      <c r="C334" s="73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</row>
    <row r="335" spans="1:27" ht="14.4">
      <c r="A335" s="65"/>
      <c r="B335" s="73"/>
      <c r="C335" s="73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</row>
    <row r="336" spans="1:27" ht="14.4">
      <c r="A336" s="65"/>
      <c r="B336" s="73"/>
      <c r="C336" s="73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</row>
    <row r="337" spans="1:27" ht="14.4">
      <c r="A337" s="65"/>
      <c r="B337" s="73"/>
      <c r="C337" s="73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</row>
    <row r="338" spans="1:27" ht="14.4">
      <c r="A338" s="65"/>
      <c r="B338" s="73"/>
      <c r="C338" s="73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</row>
    <row r="339" spans="1:27" ht="14.4">
      <c r="A339" s="65"/>
      <c r="B339" s="73"/>
      <c r="C339" s="73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</row>
    <row r="340" spans="1:27" ht="14.4">
      <c r="A340" s="65"/>
      <c r="B340" s="73"/>
      <c r="C340" s="73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</row>
    <row r="341" spans="1:27" ht="14.4">
      <c r="A341" s="65"/>
      <c r="B341" s="73"/>
      <c r="C341" s="73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</row>
    <row r="342" spans="1:27" ht="14.4">
      <c r="A342" s="65"/>
      <c r="B342" s="73"/>
      <c r="C342" s="73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</row>
    <row r="343" spans="1:27" ht="14.4">
      <c r="A343" s="65"/>
      <c r="B343" s="73"/>
      <c r="C343" s="73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</row>
    <row r="344" spans="1:27" ht="14.4">
      <c r="A344" s="65"/>
      <c r="B344" s="73"/>
      <c r="C344" s="73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</row>
    <row r="345" spans="1:27" ht="14.4">
      <c r="A345" s="65"/>
      <c r="B345" s="73"/>
      <c r="C345" s="73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</row>
    <row r="346" spans="1:27" ht="14.4">
      <c r="A346" s="65"/>
      <c r="B346" s="73"/>
      <c r="C346" s="73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</row>
    <row r="347" spans="1:27" ht="14.4">
      <c r="A347" s="65"/>
      <c r="B347" s="73"/>
      <c r="C347" s="73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</row>
    <row r="348" spans="1:27" ht="14.4">
      <c r="A348" s="65"/>
      <c r="B348" s="73"/>
      <c r="C348" s="73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</row>
    <row r="349" spans="1:27" ht="14.4">
      <c r="A349" s="65"/>
      <c r="B349" s="73"/>
      <c r="C349" s="73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</row>
    <row r="350" spans="1:27" ht="14.4">
      <c r="A350" s="65"/>
      <c r="B350" s="73"/>
      <c r="C350" s="73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</row>
    <row r="351" spans="1:27" ht="14.4">
      <c r="A351" s="65"/>
      <c r="B351" s="73"/>
      <c r="C351" s="73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</row>
    <row r="352" spans="1:27" ht="14.4">
      <c r="A352" s="65"/>
      <c r="B352" s="73"/>
      <c r="C352" s="73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</row>
    <row r="353" spans="1:27" ht="14.4">
      <c r="A353" s="65"/>
      <c r="B353" s="73"/>
      <c r="C353" s="73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</row>
    <row r="354" spans="1:27" ht="14.4">
      <c r="A354" s="65"/>
      <c r="B354" s="73"/>
      <c r="C354" s="73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</row>
    <row r="355" spans="1:27" ht="14.4">
      <c r="A355" s="65"/>
      <c r="B355" s="73"/>
      <c r="C355" s="73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</row>
    <row r="356" spans="1:27" ht="14.4">
      <c r="A356" s="65"/>
      <c r="B356" s="73"/>
      <c r="C356" s="73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</row>
    <row r="357" spans="1:27" ht="14.4">
      <c r="A357" s="65"/>
      <c r="B357" s="73"/>
      <c r="C357" s="73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</row>
    <row r="358" spans="1:27" ht="14.4">
      <c r="A358" s="65"/>
      <c r="B358" s="73"/>
      <c r="C358" s="73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</row>
    <row r="359" spans="1:27" ht="14.4">
      <c r="A359" s="65"/>
      <c r="B359" s="73"/>
      <c r="C359" s="73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</row>
    <row r="360" spans="1:27" ht="14.4">
      <c r="A360" s="65"/>
      <c r="B360" s="73"/>
      <c r="C360" s="73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</row>
    <row r="361" spans="1:27" ht="14.4">
      <c r="A361" s="65"/>
      <c r="B361" s="73"/>
      <c r="C361" s="73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</row>
    <row r="362" spans="1:27" ht="14.4">
      <c r="A362" s="65"/>
      <c r="B362" s="73"/>
      <c r="C362" s="73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</row>
    <row r="363" spans="1:27" ht="14.4">
      <c r="A363" s="65"/>
      <c r="B363" s="73"/>
      <c r="C363" s="73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</row>
    <row r="364" spans="1:27" ht="14.4">
      <c r="A364" s="65"/>
      <c r="B364" s="73"/>
      <c r="C364" s="73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</row>
    <row r="365" spans="1:27" ht="14.4">
      <c r="A365" s="65"/>
      <c r="B365" s="73"/>
      <c r="C365" s="73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</row>
    <row r="366" spans="1:27" ht="14.4">
      <c r="A366" s="65"/>
      <c r="B366" s="73"/>
      <c r="C366" s="73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</row>
    <row r="367" spans="1:27" ht="14.4">
      <c r="A367" s="65"/>
      <c r="B367" s="73"/>
      <c r="C367" s="73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</row>
    <row r="368" spans="1:27" ht="14.4">
      <c r="A368" s="65"/>
      <c r="B368" s="73"/>
      <c r="C368" s="73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</row>
    <row r="369" spans="1:27" ht="14.4">
      <c r="A369" s="65"/>
      <c r="B369" s="73"/>
      <c r="C369" s="73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</row>
    <row r="370" spans="1:27" ht="14.4">
      <c r="A370" s="65"/>
      <c r="B370" s="73"/>
      <c r="C370" s="73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</row>
    <row r="371" spans="1:27" ht="14.4">
      <c r="A371" s="65"/>
      <c r="B371" s="73"/>
      <c r="C371" s="73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</row>
    <row r="372" spans="1:27" ht="14.4">
      <c r="A372" s="65"/>
      <c r="B372" s="73"/>
      <c r="C372" s="73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</row>
    <row r="373" spans="1:27" ht="14.4">
      <c r="A373" s="65"/>
      <c r="B373" s="73"/>
      <c r="C373" s="73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</row>
    <row r="374" spans="1:27" ht="14.4">
      <c r="A374" s="65"/>
      <c r="B374" s="73"/>
      <c r="C374" s="73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</row>
    <row r="375" spans="1:27" ht="14.4">
      <c r="A375" s="65"/>
      <c r="B375" s="73"/>
      <c r="C375" s="73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</row>
    <row r="376" spans="1:27" ht="14.4">
      <c r="A376" s="65"/>
      <c r="B376" s="73"/>
      <c r="C376" s="73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</row>
    <row r="377" spans="1:27" ht="14.4">
      <c r="A377" s="65"/>
      <c r="B377" s="73"/>
      <c r="C377" s="73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</row>
    <row r="378" spans="1:27" ht="14.4">
      <c r="A378" s="65"/>
      <c r="B378" s="73"/>
      <c r="C378" s="73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</row>
    <row r="379" spans="1:27" ht="14.4">
      <c r="A379" s="65"/>
      <c r="B379" s="73"/>
      <c r="C379" s="73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</row>
    <row r="380" spans="1:27" ht="14.4">
      <c r="A380" s="65"/>
      <c r="B380" s="73"/>
      <c r="C380" s="73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</row>
    <row r="381" spans="1:27" ht="14.4">
      <c r="A381" s="65"/>
      <c r="B381" s="73"/>
      <c r="C381" s="73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</row>
    <row r="382" spans="1:27" ht="14.4">
      <c r="A382" s="65"/>
      <c r="B382" s="73"/>
      <c r="C382" s="73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</row>
    <row r="383" spans="1:27" ht="14.4">
      <c r="A383" s="65"/>
      <c r="B383" s="73"/>
      <c r="C383" s="73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</row>
    <row r="384" spans="1:27" ht="14.4">
      <c r="A384" s="65"/>
      <c r="B384" s="73"/>
      <c r="C384" s="73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</row>
    <row r="385" spans="1:27" ht="14.4">
      <c r="A385" s="65"/>
      <c r="B385" s="73"/>
      <c r="C385" s="73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</row>
    <row r="386" spans="1:27" ht="14.4">
      <c r="A386" s="65"/>
      <c r="B386" s="73"/>
      <c r="C386" s="73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</row>
    <row r="387" spans="1:27" ht="14.4">
      <c r="A387" s="65"/>
      <c r="B387" s="73"/>
      <c r="C387" s="73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</row>
    <row r="388" spans="1:27" ht="14.4">
      <c r="A388" s="65"/>
      <c r="B388" s="73"/>
      <c r="C388" s="73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</row>
    <row r="389" spans="1:27" ht="14.4">
      <c r="A389" s="65"/>
      <c r="B389" s="73"/>
      <c r="C389" s="73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</row>
    <row r="390" spans="1:27" ht="14.4">
      <c r="A390" s="65"/>
      <c r="B390" s="73"/>
      <c r="C390" s="73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</row>
    <row r="391" spans="1:27" ht="14.4">
      <c r="A391" s="65"/>
      <c r="B391" s="73"/>
      <c r="C391" s="73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</row>
    <row r="392" spans="1:27" ht="14.4">
      <c r="A392" s="65"/>
      <c r="B392" s="73"/>
      <c r="C392" s="73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</row>
    <row r="393" spans="1:27" ht="14.4">
      <c r="A393" s="65"/>
      <c r="B393" s="73"/>
      <c r="C393" s="73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</row>
    <row r="394" spans="1:27" ht="14.4">
      <c r="A394" s="65"/>
      <c r="B394" s="73"/>
      <c r="C394" s="73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</row>
    <row r="395" spans="1:27" ht="14.4">
      <c r="A395" s="65"/>
      <c r="B395" s="73"/>
      <c r="C395" s="73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</row>
    <row r="396" spans="1:27" ht="14.4">
      <c r="A396" s="65"/>
      <c r="B396" s="73"/>
      <c r="C396" s="73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</row>
    <row r="397" spans="1:27" ht="14.4">
      <c r="A397" s="65"/>
      <c r="B397" s="73"/>
      <c r="C397" s="73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</row>
    <row r="398" spans="1:27" ht="14.4">
      <c r="A398" s="65"/>
      <c r="B398" s="73"/>
      <c r="C398" s="73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</row>
    <row r="399" spans="1:27" ht="14.4">
      <c r="A399" s="65"/>
      <c r="B399" s="73"/>
      <c r="C399" s="73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</row>
    <row r="400" spans="1:27" ht="14.4">
      <c r="A400" s="65"/>
      <c r="B400" s="73"/>
      <c r="C400" s="73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</row>
    <row r="401" spans="1:27" ht="14.4">
      <c r="A401" s="65"/>
      <c r="B401" s="73"/>
      <c r="C401" s="73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</row>
    <row r="402" spans="1:27" ht="14.4">
      <c r="A402" s="65"/>
      <c r="B402" s="73"/>
      <c r="C402" s="73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</row>
    <row r="403" spans="1:27" ht="14.4">
      <c r="A403" s="65"/>
      <c r="B403" s="73"/>
      <c r="C403" s="73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</row>
    <row r="404" spans="1:27" ht="14.4">
      <c r="A404" s="65"/>
      <c r="B404" s="73"/>
      <c r="C404" s="73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</row>
    <row r="405" spans="1:27" ht="14.4">
      <c r="A405" s="65"/>
      <c r="B405" s="73"/>
      <c r="C405" s="73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</row>
    <row r="406" spans="1:27" ht="14.4">
      <c r="A406" s="65"/>
      <c r="B406" s="73"/>
      <c r="C406" s="73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</row>
    <row r="407" spans="1:27" ht="14.4">
      <c r="A407" s="65"/>
      <c r="B407" s="73"/>
      <c r="C407" s="73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</row>
    <row r="408" spans="1:27" ht="14.4">
      <c r="A408" s="65"/>
      <c r="B408" s="73"/>
      <c r="C408" s="73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</row>
    <row r="409" spans="1:27" ht="14.4">
      <c r="A409" s="65"/>
      <c r="B409" s="73"/>
      <c r="C409" s="73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</row>
    <row r="410" spans="1:27" ht="14.4">
      <c r="A410" s="65"/>
      <c r="B410" s="73"/>
      <c r="C410" s="73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</row>
    <row r="411" spans="1:27" ht="14.4">
      <c r="A411" s="65"/>
      <c r="B411" s="73"/>
      <c r="C411" s="73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</row>
    <row r="412" spans="1:27" ht="14.4">
      <c r="A412" s="65"/>
      <c r="B412" s="73"/>
      <c r="C412" s="73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</row>
    <row r="413" spans="1:27" ht="14.4">
      <c r="A413" s="65"/>
      <c r="B413" s="73"/>
      <c r="C413" s="73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</row>
    <row r="414" spans="1:27" ht="14.4">
      <c r="A414" s="65"/>
      <c r="B414" s="73"/>
      <c r="C414" s="73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</row>
    <row r="415" spans="1:27" ht="14.4">
      <c r="A415" s="65"/>
      <c r="B415" s="73"/>
      <c r="C415" s="73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</row>
    <row r="416" spans="1:27" ht="14.4">
      <c r="A416" s="65"/>
      <c r="B416" s="73"/>
      <c r="C416" s="73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</row>
    <row r="417" spans="1:27" ht="14.4">
      <c r="A417" s="65"/>
      <c r="B417" s="73"/>
      <c r="C417" s="73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</row>
    <row r="418" spans="1:27" ht="14.4">
      <c r="A418" s="65"/>
      <c r="B418" s="73"/>
      <c r="C418" s="73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</row>
    <row r="419" spans="1:27" ht="14.4">
      <c r="A419" s="65"/>
      <c r="B419" s="73"/>
      <c r="C419" s="73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</row>
    <row r="420" spans="1:27" ht="14.4">
      <c r="A420" s="65"/>
      <c r="B420" s="73"/>
      <c r="C420" s="73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</row>
    <row r="421" spans="1:27" ht="14.4">
      <c r="A421" s="65"/>
      <c r="B421" s="73"/>
      <c r="C421" s="73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</row>
    <row r="422" spans="1:27" ht="14.4">
      <c r="A422" s="65"/>
      <c r="B422" s="73"/>
      <c r="C422" s="73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</row>
    <row r="423" spans="1:27" ht="14.4">
      <c r="A423" s="65"/>
      <c r="B423" s="73"/>
      <c r="C423" s="73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</row>
    <row r="424" spans="1:27" ht="14.4">
      <c r="A424" s="65"/>
      <c r="B424" s="73"/>
      <c r="C424" s="73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</row>
    <row r="425" spans="1:27" ht="14.4">
      <c r="A425" s="65"/>
      <c r="B425" s="73"/>
      <c r="C425" s="73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</row>
    <row r="426" spans="1:27" ht="14.4">
      <c r="A426" s="65"/>
      <c r="B426" s="73"/>
      <c r="C426" s="73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</row>
    <row r="427" spans="1:27" ht="14.4">
      <c r="A427" s="65"/>
      <c r="B427" s="73"/>
      <c r="C427" s="73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</row>
    <row r="428" spans="1:27" ht="14.4">
      <c r="A428" s="65"/>
      <c r="B428" s="73"/>
      <c r="C428" s="73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</row>
    <row r="429" spans="1:27" ht="14.4">
      <c r="A429" s="65"/>
      <c r="B429" s="73"/>
      <c r="C429" s="73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</row>
    <row r="430" spans="1:27" ht="14.4">
      <c r="A430" s="65"/>
      <c r="B430" s="73"/>
      <c r="C430" s="73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</row>
    <row r="431" spans="1:27" ht="14.4">
      <c r="A431" s="65"/>
      <c r="B431" s="73"/>
      <c r="C431" s="73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</row>
    <row r="432" spans="1:27" ht="14.4">
      <c r="A432" s="65"/>
      <c r="B432" s="73"/>
      <c r="C432" s="73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</row>
    <row r="433" spans="1:27" ht="14.4">
      <c r="A433" s="65"/>
      <c r="B433" s="73"/>
      <c r="C433" s="73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</row>
    <row r="434" spans="1:27" ht="14.4">
      <c r="A434" s="65"/>
      <c r="B434" s="73"/>
      <c r="C434" s="73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</row>
    <row r="435" spans="1:27" ht="14.4">
      <c r="A435" s="65"/>
      <c r="B435" s="73"/>
      <c r="C435" s="73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</row>
    <row r="436" spans="1:27" ht="14.4">
      <c r="A436" s="65"/>
      <c r="B436" s="73"/>
      <c r="C436" s="73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</row>
    <row r="437" spans="1:27" ht="14.4">
      <c r="A437" s="65"/>
      <c r="B437" s="73"/>
      <c r="C437" s="73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</row>
    <row r="438" spans="1:27" ht="14.4">
      <c r="A438" s="65"/>
      <c r="B438" s="73"/>
      <c r="C438" s="73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</row>
    <row r="439" spans="1:27" ht="14.4">
      <c r="A439" s="65"/>
      <c r="B439" s="73"/>
      <c r="C439" s="73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</row>
    <row r="440" spans="1:27" ht="14.4">
      <c r="A440" s="65"/>
      <c r="B440" s="73"/>
      <c r="C440" s="73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</row>
    <row r="441" spans="1:27" ht="14.4">
      <c r="A441" s="65"/>
      <c r="B441" s="73"/>
      <c r="C441" s="73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</row>
    <row r="442" spans="1:27" ht="14.4">
      <c r="A442" s="65"/>
      <c r="B442" s="73"/>
      <c r="C442" s="73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</row>
    <row r="443" spans="1:27" ht="14.4">
      <c r="A443" s="65"/>
      <c r="B443" s="73"/>
      <c r="C443" s="73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</row>
    <row r="444" spans="1:27" ht="14.4">
      <c r="A444" s="65"/>
      <c r="B444" s="73"/>
      <c r="C444" s="73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</row>
    <row r="445" spans="1:27" ht="14.4">
      <c r="A445" s="65"/>
      <c r="B445" s="73"/>
      <c r="C445" s="73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</row>
    <row r="446" spans="1:27" ht="14.4">
      <c r="A446" s="65"/>
      <c r="B446" s="73"/>
      <c r="C446" s="73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</row>
    <row r="447" spans="1:27" ht="14.4">
      <c r="A447" s="65"/>
      <c r="B447" s="73"/>
      <c r="C447" s="73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</row>
    <row r="448" spans="1:27" ht="14.4">
      <c r="A448" s="65"/>
      <c r="B448" s="73"/>
      <c r="C448" s="73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</row>
    <row r="449" spans="1:27" ht="14.4">
      <c r="A449" s="65"/>
      <c r="B449" s="73"/>
      <c r="C449" s="73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</row>
    <row r="450" spans="1:27" ht="14.4">
      <c r="A450" s="65"/>
      <c r="B450" s="73"/>
      <c r="C450" s="73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</row>
    <row r="451" spans="1:27" ht="14.4">
      <c r="A451" s="65"/>
      <c r="B451" s="73"/>
      <c r="C451" s="73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</row>
    <row r="452" spans="1:27" ht="14.4">
      <c r="A452" s="65"/>
      <c r="B452" s="73"/>
      <c r="C452" s="73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</row>
    <row r="453" spans="1:27" ht="14.4">
      <c r="A453" s="65"/>
      <c r="B453" s="73"/>
      <c r="C453" s="73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</row>
    <row r="454" spans="1:27" ht="14.4">
      <c r="A454" s="65"/>
      <c r="B454" s="73"/>
      <c r="C454" s="73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</row>
    <row r="455" spans="1:27" ht="14.4">
      <c r="A455" s="65"/>
      <c r="B455" s="73"/>
      <c r="C455" s="73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</row>
    <row r="456" spans="1:27" ht="14.4">
      <c r="A456" s="65"/>
      <c r="B456" s="73"/>
      <c r="C456" s="73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</row>
    <row r="457" spans="1:27" ht="14.4">
      <c r="A457" s="65"/>
      <c r="B457" s="73"/>
      <c r="C457" s="73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</row>
    <row r="458" spans="1:27" ht="14.4">
      <c r="A458" s="65"/>
      <c r="B458" s="73"/>
      <c r="C458" s="73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</row>
    <row r="459" spans="1:27" ht="14.4">
      <c r="A459" s="65"/>
      <c r="B459" s="73"/>
      <c r="C459" s="73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</row>
    <row r="460" spans="1:27" ht="14.4">
      <c r="A460" s="65"/>
      <c r="B460" s="73"/>
      <c r="C460" s="73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</row>
    <row r="461" spans="1:27" ht="14.4">
      <c r="A461" s="65"/>
      <c r="B461" s="73"/>
      <c r="C461" s="73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</row>
    <row r="462" spans="1:27" ht="14.4">
      <c r="A462" s="65"/>
      <c r="B462" s="73"/>
      <c r="C462" s="73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</row>
    <row r="463" spans="1:27" ht="14.4">
      <c r="A463" s="65"/>
      <c r="B463" s="73"/>
      <c r="C463" s="73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</row>
    <row r="464" spans="1:27" ht="14.4">
      <c r="A464" s="65"/>
      <c r="B464" s="73"/>
      <c r="C464" s="73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</row>
    <row r="465" spans="1:27" ht="14.4">
      <c r="A465" s="65"/>
      <c r="B465" s="73"/>
      <c r="C465" s="73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</row>
    <row r="466" spans="1:27" ht="14.4">
      <c r="A466" s="65"/>
      <c r="B466" s="73"/>
      <c r="C466" s="73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</row>
    <row r="467" spans="1:27" ht="14.4">
      <c r="A467" s="65"/>
      <c r="B467" s="73"/>
      <c r="C467" s="73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</row>
    <row r="468" spans="1:27" ht="14.4">
      <c r="A468" s="65"/>
      <c r="B468" s="73"/>
      <c r="C468" s="73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</row>
    <row r="469" spans="1:27" ht="14.4">
      <c r="A469" s="65"/>
      <c r="B469" s="73"/>
      <c r="C469" s="73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</row>
    <row r="470" spans="1:27" ht="14.4">
      <c r="A470" s="65"/>
      <c r="B470" s="73"/>
      <c r="C470" s="73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</row>
    <row r="471" spans="1:27" ht="14.4">
      <c r="A471" s="65"/>
      <c r="B471" s="73"/>
      <c r="C471" s="73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</row>
    <row r="472" spans="1:27" ht="14.4">
      <c r="A472" s="65"/>
      <c r="B472" s="73"/>
      <c r="C472" s="73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</row>
    <row r="473" spans="1:27" ht="14.4">
      <c r="A473" s="65"/>
      <c r="B473" s="73"/>
      <c r="C473" s="73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</row>
    <row r="474" spans="1:27" ht="14.4">
      <c r="A474" s="65"/>
      <c r="B474" s="73"/>
      <c r="C474" s="73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</row>
    <row r="475" spans="1:27" ht="14.4">
      <c r="A475" s="65"/>
      <c r="B475" s="73"/>
      <c r="C475" s="73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</row>
    <row r="476" spans="1:27" ht="14.4">
      <c r="A476" s="65"/>
      <c r="B476" s="73"/>
      <c r="C476" s="73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</row>
    <row r="477" spans="1:27" ht="14.4">
      <c r="A477" s="65"/>
      <c r="B477" s="73"/>
      <c r="C477" s="73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</row>
    <row r="478" spans="1:27" ht="14.4">
      <c r="A478" s="65"/>
      <c r="B478" s="73"/>
      <c r="C478" s="73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</row>
    <row r="479" spans="1:27" ht="14.4">
      <c r="A479" s="65"/>
      <c r="B479" s="73"/>
      <c r="C479" s="73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</row>
    <row r="480" spans="1:27" ht="14.4">
      <c r="A480" s="65"/>
      <c r="B480" s="73"/>
      <c r="C480" s="73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</row>
    <row r="481" spans="1:27" ht="14.4">
      <c r="A481" s="65"/>
      <c r="B481" s="73"/>
      <c r="C481" s="73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</row>
    <row r="482" spans="1:27" ht="14.4">
      <c r="A482" s="65"/>
      <c r="B482" s="73"/>
      <c r="C482" s="73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</row>
    <row r="483" spans="1:27" ht="14.4">
      <c r="A483" s="65"/>
      <c r="B483" s="73"/>
      <c r="C483" s="73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</row>
    <row r="484" spans="1:27" ht="14.4">
      <c r="A484" s="65"/>
      <c r="B484" s="73"/>
      <c r="C484" s="73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</row>
    <row r="485" spans="1:27" ht="14.4">
      <c r="A485" s="65"/>
      <c r="B485" s="73"/>
      <c r="C485" s="73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</row>
    <row r="486" spans="1:27" ht="14.4">
      <c r="A486" s="65"/>
      <c r="B486" s="73"/>
      <c r="C486" s="73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</row>
    <row r="487" spans="1:27" ht="14.4">
      <c r="A487" s="65"/>
      <c r="B487" s="73"/>
      <c r="C487" s="73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</row>
    <row r="488" spans="1:27" ht="14.4">
      <c r="A488" s="65"/>
      <c r="B488" s="73"/>
      <c r="C488" s="73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</row>
    <row r="489" spans="1:27" ht="14.4">
      <c r="A489" s="65"/>
      <c r="B489" s="73"/>
      <c r="C489" s="73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</row>
    <row r="490" spans="1:27" ht="14.4">
      <c r="A490" s="65"/>
      <c r="B490" s="73"/>
      <c r="C490" s="73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</row>
    <row r="491" spans="1:27" ht="14.4">
      <c r="A491" s="65"/>
      <c r="B491" s="73"/>
      <c r="C491" s="73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</row>
    <row r="492" spans="1:27" ht="14.4">
      <c r="A492" s="65"/>
      <c r="B492" s="73"/>
      <c r="C492" s="73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</row>
    <row r="493" spans="1:27" ht="14.4">
      <c r="A493" s="65"/>
      <c r="B493" s="73"/>
      <c r="C493" s="73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</row>
    <row r="494" spans="1:27" ht="14.4">
      <c r="A494" s="65"/>
      <c r="B494" s="73"/>
      <c r="C494" s="73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</row>
    <row r="495" spans="1:27" ht="14.4">
      <c r="A495" s="65"/>
      <c r="B495" s="73"/>
      <c r="C495" s="73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</row>
    <row r="496" spans="1:27" ht="14.4">
      <c r="A496" s="65"/>
      <c r="B496" s="73"/>
      <c r="C496" s="73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</row>
    <row r="497" spans="1:27" ht="14.4">
      <c r="A497" s="65"/>
      <c r="B497" s="73"/>
      <c r="C497" s="73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</row>
    <row r="498" spans="1:27" ht="14.4">
      <c r="A498" s="65"/>
      <c r="B498" s="73"/>
      <c r="C498" s="73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</row>
    <row r="499" spans="1:27" ht="14.4">
      <c r="A499" s="65"/>
      <c r="B499" s="73"/>
      <c r="C499" s="73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</row>
    <row r="500" spans="1:27" ht="14.4">
      <c r="A500" s="65"/>
      <c r="B500" s="73"/>
      <c r="C500" s="73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</row>
    <row r="501" spans="1:27" ht="14.4">
      <c r="A501" s="65"/>
      <c r="B501" s="73"/>
      <c r="C501" s="73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</row>
    <row r="502" spans="1:27" ht="14.4">
      <c r="A502" s="65"/>
      <c r="B502" s="73"/>
      <c r="C502" s="73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</row>
    <row r="503" spans="1:27" ht="14.4">
      <c r="A503" s="65"/>
      <c r="B503" s="73"/>
      <c r="C503" s="73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</row>
    <row r="504" spans="1:27" ht="14.4">
      <c r="A504" s="65"/>
      <c r="B504" s="73"/>
      <c r="C504" s="73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</row>
    <row r="505" spans="1:27" ht="14.4">
      <c r="A505" s="65"/>
      <c r="B505" s="73"/>
      <c r="C505" s="73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</row>
    <row r="506" spans="1:27" ht="14.4">
      <c r="A506" s="65"/>
      <c r="B506" s="73"/>
      <c r="C506" s="73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</row>
    <row r="507" spans="1:27" ht="14.4">
      <c r="A507" s="65"/>
      <c r="B507" s="73"/>
      <c r="C507" s="73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</row>
    <row r="508" spans="1:27" ht="14.4">
      <c r="A508" s="65"/>
      <c r="B508" s="73"/>
      <c r="C508" s="73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</row>
    <row r="509" spans="1:27" ht="14.4">
      <c r="A509" s="65"/>
      <c r="B509" s="73"/>
      <c r="C509" s="73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</row>
    <row r="510" spans="1:27" ht="14.4">
      <c r="A510" s="65"/>
      <c r="B510" s="73"/>
      <c r="C510" s="73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</row>
    <row r="511" spans="1:27" ht="14.4">
      <c r="A511" s="65"/>
      <c r="B511" s="73"/>
      <c r="C511" s="73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</row>
    <row r="512" spans="1:27" ht="14.4">
      <c r="A512" s="65"/>
      <c r="B512" s="73"/>
      <c r="C512" s="73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</row>
    <row r="513" spans="1:27" ht="14.4">
      <c r="A513" s="65"/>
      <c r="B513" s="73"/>
      <c r="C513" s="73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</row>
    <row r="514" spans="1:27" ht="14.4">
      <c r="A514" s="65"/>
      <c r="B514" s="73"/>
      <c r="C514" s="73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</row>
    <row r="515" spans="1:27" ht="14.4">
      <c r="A515" s="65"/>
      <c r="B515" s="73"/>
      <c r="C515" s="73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</row>
    <row r="516" spans="1:27" ht="14.4">
      <c r="A516" s="65"/>
      <c r="B516" s="73"/>
      <c r="C516" s="73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</row>
    <row r="517" spans="1:27" ht="14.4">
      <c r="A517" s="65"/>
      <c r="B517" s="73"/>
      <c r="C517" s="73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</row>
    <row r="518" spans="1:27" ht="14.4">
      <c r="A518" s="65"/>
      <c r="B518" s="73"/>
      <c r="C518" s="73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</row>
    <row r="519" spans="1:27" ht="14.4">
      <c r="A519" s="65"/>
      <c r="B519" s="73"/>
      <c r="C519" s="73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</row>
    <row r="520" spans="1:27" ht="14.4">
      <c r="A520" s="65"/>
      <c r="B520" s="73"/>
      <c r="C520" s="73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</row>
    <row r="521" spans="1:27" ht="14.4">
      <c r="A521" s="65"/>
      <c r="B521" s="73"/>
      <c r="C521" s="73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</row>
    <row r="522" spans="1:27" ht="14.4">
      <c r="A522" s="65"/>
      <c r="B522" s="73"/>
      <c r="C522" s="73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</row>
    <row r="523" spans="1:27" ht="14.4">
      <c r="A523" s="65"/>
      <c r="B523" s="73"/>
      <c r="C523" s="73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</row>
    <row r="524" spans="1:27" ht="14.4">
      <c r="A524" s="65"/>
      <c r="B524" s="73"/>
      <c r="C524" s="73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</row>
    <row r="525" spans="1:27" ht="14.4">
      <c r="A525" s="65"/>
      <c r="B525" s="73"/>
      <c r="C525" s="73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</row>
    <row r="526" spans="1:27" ht="14.4">
      <c r="A526" s="65"/>
      <c r="B526" s="73"/>
      <c r="C526" s="73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</row>
    <row r="527" spans="1:27" ht="14.4">
      <c r="A527" s="65"/>
      <c r="B527" s="73"/>
      <c r="C527" s="73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</row>
    <row r="528" spans="1:27" ht="14.4">
      <c r="A528" s="65"/>
      <c r="B528" s="73"/>
      <c r="C528" s="73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</row>
    <row r="529" spans="1:27" ht="14.4">
      <c r="A529" s="65"/>
      <c r="B529" s="73"/>
      <c r="C529" s="73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</row>
    <row r="530" spans="1:27" ht="14.4">
      <c r="A530" s="65"/>
      <c r="B530" s="73"/>
      <c r="C530" s="73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</row>
    <row r="531" spans="1:27" ht="14.4">
      <c r="A531" s="65"/>
      <c r="B531" s="73"/>
      <c r="C531" s="73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</row>
    <row r="532" spans="1:27" ht="14.4">
      <c r="A532" s="65"/>
      <c r="B532" s="73"/>
      <c r="C532" s="73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</row>
    <row r="533" spans="1:27" ht="14.4">
      <c r="A533" s="65"/>
      <c r="B533" s="73"/>
      <c r="C533" s="73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</row>
    <row r="534" spans="1:27" ht="14.4">
      <c r="A534" s="65"/>
      <c r="B534" s="73"/>
      <c r="C534" s="73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</row>
    <row r="535" spans="1:27" ht="14.4">
      <c r="A535" s="65"/>
      <c r="B535" s="73"/>
      <c r="C535" s="73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</row>
    <row r="536" spans="1:27" ht="14.4">
      <c r="A536" s="65"/>
      <c r="B536" s="73"/>
      <c r="C536" s="73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</row>
    <row r="537" spans="1:27" ht="14.4">
      <c r="A537" s="65"/>
      <c r="B537" s="73"/>
      <c r="C537" s="73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</row>
    <row r="538" spans="1:27" ht="14.4">
      <c r="A538" s="65"/>
      <c r="B538" s="73"/>
      <c r="C538" s="73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</row>
    <row r="539" spans="1:27" ht="14.4">
      <c r="A539" s="65"/>
      <c r="B539" s="73"/>
      <c r="C539" s="73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</row>
    <row r="540" spans="1:27" ht="14.4">
      <c r="A540" s="65"/>
      <c r="B540" s="73"/>
      <c r="C540" s="73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</row>
    <row r="541" spans="1:27" ht="14.4">
      <c r="A541" s="65"/>
      <c r="B541" s="73"/>
      <c r="C541" s="73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</row>
    <row r="542" spans="1:27" ht="14.4">
      <c r="A542" s="65"/>
      <c r="B542" s="73"/>
      <c r="C542" s="73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</row>
    <row r="543" spans="1:27" ht="14.4">
      <c r="A543" s="65"/>
      <c r="B543" s="73"/>
      <c r="C543" s="73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</row>
    <row r="544" spans="1:27" ht="14.4">
      <c r="A544" s="65"/>
      <c r="B544" s="73"/>
      <c r="C544" s="73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</row>
    <row r="545" spans="1:27" ht="14.4">
      <c r="A545" s="65"/>
      <c r="B545" s="73"/>
      <c r="C545" s="73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</row>
    <row r="546" spans="1:27" ht="14.4">
      <c r="A546" s="65"/>
      <c r="B546" s="73"/>
      <c r="C546" s="73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</row>
    <row r="547" spans="1:27" ht="14.4">
      <c r="A547" s="65"/>
      <c r="B547" s="73"/>
      <c r="C547" s="73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</row>
    <row r="548" spans="1:27" ht="14.4">
      <c r="A548" s="65"/>
      <c r="B548" s="73"/>
      <c r="C548" s="73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</row>
    <row r="549" spans="1:27" ht="14.4">
      <c r="A549" s="65"/>
      <c r="B549" s="73"/>
      <c r="C549" s="73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</row>
    <row r="550" spans="1:27" ht="14.4">
      <c r="A550" s="65"/>
      <c r="B550" s="73"/>
      <c r="C550" s="73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</row>
    <row r="551" spans="1:27" ht="14.4">
      <c r="A551" s="65"/>
      <c r="B551" s="73"/>
      <c r="C551" s="73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</row>
    <row r="552" spans="1:27" ht="14.4">
      <c r="A552" s="65"/>
      <c r="B552" s="73"/>
      <c r="C552" s="73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</row>
    <row r="553" spans="1:27" ht="14.4">
      <c r="A553" s="65"/>
      <c r="B553" s="73"/>
      <c r="C553" s="73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</row>
    <row r="554" spans="1:27" ht="14.4">
      <c r="A554" s="65"/>
      <c r="B554" s="73"/>
      <c r="C554" s="73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</row>
    <row r="555" spans="1:27" ht="14.4">
      <c r="A555" s="65"/>
      <c r="B555" s="73"/>
      <c r="C555" s="73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</row>
    <row r="556" spans="1:27" ht="14.4">
      <c r="A556" s="65"/>
      <c r="B556" s="73"/>
      <c r="C556" s="73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</row>
    <row r="557" spans="1:27" ht="14.4">
      <c r="A557" s="65"/>
      <c r="B557" s="73"/>
      <c r="C557" s="73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</row>
    <row r="558" spans="1:27" ht="14.4">
      <c r="A558" s="65"/>
      <c r="B558" s="73"/>
      <c r="C558" s="73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</row>
    <row r="559" spans="1:27" ht="14.4">
      <c r="A559" s="65"/>
      <c r="B559" s="73"/>
      <c r="C559" s="73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</row>
    <row r="560" spans="1:27" ht="14.4">
      <c r="A560" s="65"/>
      <c r="B560" s="73"/>
      <c r="C560" s="73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</row>
    <row r="561" spans="1:27" ht="14.4">
      <c r="A561" s="65"/>
      <c r="B561" s="73"/>
      <c r="C561" s="73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</row>
    <row r="562" spans="1:27" ht="14.4">
      <c r="A562" s="65"/>
      <c r="B562" s="73"/>
      <c r="C562" s="73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</row>
    <row r="563" spans="1:27" ht="14.4">
      <c r="A563" s="65"/>
      <c r="B563" s="73"/>
      <c r="C563" s="73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</row>
    <row r="564" spans="1:27" ht="14.4">
      <c r="A564" s="65"/>
      <c r="B564" s="73"/>
      <c r="C564" s="73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</row>
    <row r="565" spans="1:27" ht="14.4">
      <c r="A565" s="65"/>
      <c r="B565" s="73"/>
      <c r="C565" s="73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</row>
    <row r="566" spans="1:27" ht="14.4">
      <c r="A566" s="65"/>
      <c r="B566" s="73"/>
      <c r="C566" s="73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</row>
    <row r="567" spans="1:27" ht="14.4">
      <c r="A567" s="65"/>
      <c r="B567" s="73"/>
      <c r="C567" s="73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</row>
    <row r="568" spans="1:27" ht="14.4">
      <c r="A568" s="65"/>
      <c r="B568" s="73"/>
      <c r="C568" s="73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</row>
    <row r="569" spans="1:27" ht="14.4">
      <c r="A569" s="65"/>
      <c r="B569" s="73"/>
      <c r="C569" s="73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</row>
    <row r="570" spans="1:27" ht="14.4">
      <c r="A570" s="65"/>
      <c r="B570" s="73"/>
      <c r="C570" s="73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</row>
    <row r="571" spans="1:27" ht="14.4">
      <c r="A571" s="65"/>
      <c r="B571" s="73"/>
      <c r="C571" s="73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</row>
    <row r="572" spans="1:27" ht="14.4">
      <c r="A572" s="65"/>
      <c r="B572" s="73"/>
      <c r="C572" s="73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</row>
    <row r="573" spans="1:27" ht="14.4">
      <c r="A573" s="65"/>
      <c r="B573" s="73"/>
      <c r="C573" s="73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</row>
    <row r="574" spans="1:27" ht="14.4">
      <c r="A574" s="65"/>
      <c r="B574" s="73"/>
      <c r="C574" s="73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</row>
    <row r="575" spans="1:27" ht="14.4">
      <c r="A575" s="65"/>
      <c r="B575" s="73"/>
      <c r="C575" s="73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</row>
    <row r="576" spans="1:27" ht="14.4">
      <c r="A576" s="65"/>
      <c r="B576" s="73"/>
      <c r="C576" s="73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</row>
    <row r="577" spans="1:27" ht="14.4">
      <c r="A577" s="65"/>
      <c r="B577" s="73"/>
      <c r="C577" s="73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</row>
    <row r="578" spans="1:27" ht="14.4">
      <c r="A578" s="65"/>
      <c r="B578" s="73"/>
      <c r="C578" s="73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</row>
    <row r="579" spans="1:27" ht="14.4">
      <c r="A579" s="65"/>
      <c r="B579" s="73"/>
      <c r="C579" s="73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</row>
    <row r="580" spans="1:27" ht="14.4">
      <c r="A580" s="65"/>
      <c r="B580" s="73"/>
      <c r="C580" s="73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</row>
    <row r="581" spans="1:27" ht="14.4">
      <c r="A581" s="65"/>
      <c r="B581" s="73"/>
      <c r="C581" s="73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</row>
    <row r="582" spans="1:27" ht="14.4">
      <c r="A582" s="65"/>
      <c r="B582" s="73"/>
      <c r="C582" s="73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</row>
    <row r="583" spans="1:27" ht="14.4">
      <c r="A583" s="65"/>
      <c r="B583" s="73"/>
      <c r="C583" s="73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</row>
    <row r="584" spans="1:27" ht="14.4">
      <c r="A584" s="65"/>
      <c r="B584" s="73"/>
      <c r="C584" s="73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</row>
    <row r="585" spans="1:27" ht="14.4">
      <c r="A585" s="65"/>
      <c r="B585" s="73"/>
      <c r="C585" s="73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</row>
    <row r="586" spans="1:27" ht="14.4">
      <c r="A586" s="65"/>
      <c r="B586" s="73"/>
      <c r="C586" s="73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</row>
    <row r="587" spans="1:27" ht="14.4">
      <c r="A587" s="65"/>
      <c r="B587" s="73"/>
      <c r="C587" s="73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</row>
    <row r="588" spans="1:27" ht="14.4">
      <c r="A588" s="65"/>
      <c r="B588" s="73"/>
      <c r="C588" s="73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</row>
    <row r="589" spans="1:27" ht="14.4">
      <c r="A589" s="65"/>
      <c r="B589" s="73"/>
      <c r="C589" s="73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</row>
    <row r="590" spans="1:27" ht="14.4">
      <c r="A590" s="65"/>
      <c r="B590" s="73"/>
      <c r="C590" s="73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</row>
    <row r="591" spans="1:27" ht="14.4">
      <c r="A591" s="65"/>
      <c r="B591" s="73"/>
      <c r="C591" s="73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</row>
    <row r="592" spans="1:27" ht="14.4">
      <c r="A592" s="65"/>
      <c r="B592" s="73"/>
      <c r="C592" s="73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</row>
    <row r="593" spans="1:27" ht="14.4">
      <c r="A593" s="65"/>
      <c r="B593" s="73"/>
      <c r="C593" s="73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</row>
    <row r="594" spans="1:27" ht="14.4">
      <c r="A594" s="65"/>
      <c r="B594" s="73"/>
      <c r="C594" s="73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</row>
    <row r="595" spans="1:27" ht="14.4">
      <c r="A595" s="65"/>
      <c r="B595" s="73"/>
      <c r="C595" s="73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</row>
    <row r="596" spans="1:27" ht="14.4">
      <c r="A596" s="65"/>
      <c r="B596" s="73"/>
      <c r="C596" s="73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</row>
    <row r="597" spans="1:27" ht="14.4">
      <c r="A597" s="65"/>
      <c r="B597" s="73"/>
      <c r="C597" s="73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</row>
    <row r="598" spans="1:27" ht="14.4">
      <c r="A598" s="65"/>
      <c r="B598" s="73"/>
      <c r="C598" s="73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</row>
    <row r="599" spans="1:27" ht="14.4">
      <c r="A599" s="65"/>
      <c r="B599" s="73"/>
      <c r="C599" s="73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</row>
    <row r="600" spans="1:27" ht="14.4">
      <c r="A600" s="65"/>
      <c r="B600" s="73"/>
      <c r="C600" s="73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</row>
    <row r="601" spans="1:27" ht="14.4">
      <c r="A601" s="65"/>
      <c r="B601" s="73"/>
      <c r="C601" s="73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</row>
    <row r="602" spans="1:27" ht="14.4">
      <c r="A602" s="65"/>
      <c r="B602" s="73"/>
      <c r="C602" s="73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</row>
    <row r="603" spans="1:27" ht="14.4">
      <c r="A603" s="65"/>
      <c r="B603" s="73"/>
      <c r="C603" s="73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</row>
    <row r="604" spans="1:27" ht="14.4">
      <c r="A604" s="65"/>
      <c r="B604" s="73"/>
      <c r="C604" s="73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</row>
    <row r="605" spans="1:27" ht="14.4">
      <c r="A605" s="65"/>
      <c r="B605" s="73"/>
      <c r="C605" s="73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</row>
    <row r="606" spans="1:27" ht="14.4">
      <c r="A606" s="65"/>
      <c r="B606" s="73"/>
      <c r="C606" s="73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</row>
    <row r="607" spans="1:27" ht="14.4">
      <c r="A607" s="65"/>
      <c r="B607" s="73"/>
      <c r="C607" s="73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</row>
    <row r="608" spans="1:27" ht="14.4">
      <c r="A608" s="65"/>
      <c r="B608" s="73"/>
      <c r="C608" s="73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</row>
    <row r="609" spans="1:27" ht="14.4">
      <c r="A609" s="65"/>
      <c r="B609" s="73"/>
      <c r="C609" s="73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</row>
    <row r="610" spans="1:27" ht="14.4">
      <c r="A610" s="65"/>
      <c r="B610" s="73"/>
      <c r="C610" s="73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</row>
    <row r="611" spans="1:27" ht="14.4">
      <c r="A611" s="65"/>
      <c r="B611" s="73"/>
      <c r="C611" s="73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</row>
    <row r="612" spans="1:27" ht="14.4">
      <c r="A612" s="65"/>
      <c r="B612" s="73"/>
      <c r="C612" s="73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</row>
    <row r="613" spans="1:27" ht="14.4">
      <c r="A613" s="65"/>
      <c r="B613" s="73"/>
      <c r="C613" s="73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</row>
    <row r="614" spans="1:27" ht="14.4">
      <c r="A614" s="65"/>
      <c r="B614" s="73"/>
      <c r="C614" s="73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</row>
    <row r="615" spans="1:27" ht="14.4">
      <c r="A615" s="65"/>
      <c r="B615" s="73"/>
      <c r="C615" s="73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</row>
    <row r="616" spans="1:27" ht="14.4">
      <c r="A616" s="65"/>
      <c r="B616" s="73"/>
      <c r="C616" s="73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</row>
    <row r="617" spans="1:27" ht="14.4">
      <c r="A617" s="65"/>
      <c r="B617" s="73"/>
      <c r="C617" s="73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</row>
    <row r="618" spans="1:27" ht="14.4">
      <c r="A618" s="65"/>
      <c r="B618" s="73"/>
      <c r="C618" s="73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</row>
    <row r="619" spans="1:27" ht="14.4">
      <c r="A619" s="65"/>
      <c r="B619" s="73"/>
      <c r="C619" s="73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</row>
    <row r="620" spans="1:27" ht="14.4">
      <c r="A620" s="65"/>
      <c r="B620" s="73"/>
      <c r="C620" s="73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</row>
    <row r="621" spans="1:27" ht="14.4">
      <c r="A621" s="65"/>
      <c r="B621" s="73"/>
      <c r="C621" s="73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</row>
    <row r="622" spans="1:27" ht="14.4">
      <c r="A622" s="65"/>
      <c r="B622" s="73"/>
      <c r="C622" s="73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</row>
    <row r="623" spans="1:27" ht="14.4">
      <c r="A623" s="65"/>
      <c r="B623" s="73"/>
      <c r="C623" s="73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</row>
    <row r="624" spans="1:27" ht="14.4">
      <c r="A624" s="65"/>
      <c r="B624" s="73"/>
      <c r="C624" s="73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</row>
    <row r="625" spans="1:27" ht="14.4">
      <c r="A625" s="65"/>
      <c r="B625" s="73"/>
      <c r="C625" s="73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</row>
    <row r="626" spans="1:27" ht="14.4">
      <c r="A626" s="65"/>
      <c r="B626" s="73"/>
      <c r="C626" s="73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</row>
    <row r="627" spans="1:27" ht="14.4">
      <c r="A627" s="65"/>
      <c r="B627" s="73"/>
      <c r="C627" s="73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</row>
    <row r="628" spans="1:27" ht="14.4">
      <c r="A628" s="65"/>
      <c r="B628" s="73"/>
      <c r="C628" s="73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</row>
    <row r="629" spans="1:27" ht="14.4">
      <c r="A629" s="65"/>
      <c r="B629" s="73"/>
      <c r="C629" s="73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</row>
    <row r="630" spans="1:27" ht="14.4">
      <c r="A630" s="65"/>
      <c r="B630" s="73"/>
      <c r="C630" s="73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</row>
    <row r="631" spans="1:27" ht="14.4">
      <c r="A631" s="65"/>
      <c r="B631" s="73"/>
      <c r="C631" s="73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</row>
    <row r="632" spans="1:27" ht="14.4">
      <c r="A632" s="65"/>
      <c r="B632" s="73"/>
      <c r="C632" s="73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</row>
    <row r="633" spans="1:27" ht="14.4">
      <c r="A633" s="65"/>
      <c r="B633" s="73"/>
      <c r="C633" s="73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</row>
    <row r="634" spans="1:27" ht="14.4">
      <c r="A634" s="65"/>
      <c r="B634" s="73"/>
      <c r="C634" s="73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</row>
    <row r="635" spans="1:27" ht="14.4">
      <c r="A635" s="65"/>
      <c r="B635" s="73"/>
      <c r="C635" s="73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</row>
    <row r="636" spans="1:27" ht="14.4">
      <c r="A636" s="65"/>
      <c r="B636" s="73"/>
      <c r="C636" s="73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</row>
    <row r="637" spans="1:27" ht="14.4">
      <c r="A637" s="65"/>
      <c r="B637" s="73"/>
      <c r="C637" s="73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</row>
    <row r="638" spans="1:27" ht="14.4">
      <c r="A638" s="65"/>
      <c r="B638" s="73"/>
      <c r="C638" s="73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</row>
    <row r="639" spans="1:27" ht="14.4">
      <c r="A639" s="65"/>
      <c r="B639" s="73"/>
      <c r="C639" s="73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</row>
    <row r="640" spans="1:27" ht="14.4">
      <c r="A640" s="65"/>
      <c r="B640" s="73"/>
      <c r="C640" s="73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</row>
    <row r="641" spans="1:27" ht="14.4">
      <c r="A641" s="65"/>
      <c r="B641" s="73"/>
      <c r="C641" s="73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</row>
    <row r="642" spans="1:27" ht="14.4">
      <c r="A642" s="65"/>
      <c r="B642" s="73"/>
      <c r="C642" s="73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</row>
    <row r="643" spans="1:27" ht="14.4">
      <c r="A643" s="65"/>
      <c r="B643" s="73"/>
      <c r="C643" s="73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</row>
    <row r="644" spans="1:27" ht="14.4">
      <c r="A644" s="65"/>
      <c r="B644" s="73"/>
      <c r="C644" s="73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</row>
    <row r="645" spans="1:27" ht="14.4">
      <c r="A645" s="65"/>
      <c r="B645" s="73"/>
      <c r="C645" s="73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</row>
    <row r="646" spans="1:27" ht="14.4">
      <c r="A646" s="65"/>
      <c r="B646" s="73"/>
      <c r="C646" s="73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</row>
    <row r="647" spans="1:27" ht="14.4">
      <c r="A647" s="65"/>
      <c r="B647" s="73"/>
      <c r="C647" s="73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</row>
    <row r="648" spans="1:27" ht="14.4">
      <c r="A648" s="65"/>
      <c r="B648" s="73"/>
      <c r="C648" s="73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</row>
    <row r="649" spans="1:27" ht="14.4">
      <c r="A649" s="65"/>
      <c r="B649" s="73"/>
      <c r="C649" s="73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</row>
    <row r="650" spans="1:27" ht="14.4">
      <c r="A650" s="65"/>
      <c r="B650" s="73"/>
      <c r="C650" s="73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</row>
    <row r="651" spans="1:27" ht="14.4">
      <c r="A651" s="65"/>
      <c r="B651" s="73"/>
      <c r="C651" s="73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</row>
    <row r="652" spans="1:27" ht="14.4">
      <c r="A652" s="65"/>
      <c r="B652" s="73"/>
      <c r="C652" s="73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</row>
    <row r="653" spans="1:27" ht="14.4">
      <c r="A653" s="65"/>
      <c r="B653" s="73"/>
      <c r="C653" s="73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</row>
    <row r="654" spans="1:27" ht="14.4">
      <c r="A654" s="65"/>
      <c r="B654" s="73"/>
      <c r="C654" s="73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</row>
    <row r="655" spans="1:27" ht="14.4">
      <c r="A655" s="65"/>
      <c r="B655" s="73"/>
      <c r="C655" s="73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</row>
    <row r="656" spans="1:27" ht="14.4">
      <c r="A656" s="65"/>
      <c r="B656" s="73"/>
      <c r="C656" s="73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</row>
    <row r="657" spans="1:27" ht="14.4">
      <c r="A657" s="65"/>
      <c r="B657" s="73"/>
      <c r="C657" s="73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</row>
    <row r="658" spans="1:27" ht="14.4">
      <c r="A658" s="65"/>
      <c r="B658" s="73"/>
      <c r="C658" s="73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</row>
    <row r="659" spans="1:27" ht="14.4">
      <c r="A659" s="65"/>
      <c r="B659" s="73"/>
      <c r="C659" s="73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</row>
    <row r="660" spans="1:27" ht="14.4">
      <c r="A660" s="65"/>
      <c r="B660" s="73"/>
      <c r="C660" s="73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</row>
    <row r="661" spans="1:27" ht="14.4">
      <c r="A661" s="65"/>
      <c r="B661" s="73"/>
      <c r="C661" s="73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</row>
    <row r="662" spans="1:27" ht="14.4">
      <c r="A662" s="65"/>
      <c r="B662" s="73"/>
      <c r="C662" s="73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</row>
    <row r="663" spans="1:27" ht="14.4">
      <c r="A663" s="65"/>
      <c r="B663" s="73"/>
      <c r="C663" s="73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</row>
    <row r="664" spans="1:27" ht="14.4">
      <c r="A664" s="65"/>
      <c r="B664" s="73"/>
      <c r="C664" s="73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</row>
    <row r="665" spans="1:27" ht="14.4">
      <c r="A665" s="65"/>
      <c r="B665" s="73"/>
      <c r="C665" s="73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</row>
    <row r="666" spans="1:27" ht="14.4">
      <c r="A666" s="65"/>
      <c r="B666" s="73"/>
      <c r="C666" s="73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</row>
    <row r="667" spans="1:27" ht="14.4">
      <c r="A667" s="65"/>
      <c r="B667" s="73"/>
      <c r="C667" s="73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</row>
    <row r="668" spans="1:27" ht="14.4">
      <c r="A668" s="65"/>
      <c r="B668" s="73"/>
      <c r="C668" s="73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</row>
    <row r="669" spans="1:27" ht="14.4">
      <c r="A669" s="65"/>
      <c r="B669" s="73"/>
      <c r="C669" s="73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</row>
    <row r="670" spans="1:27" ht="14.4">
      <c r="A670" s="65"/>
      <c r="B670" s="73"/>
      <c r="C670" s="73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</row>
    <row r="671" spans="1:27" ht="14.4">
      <c r="A671" s="65"/>
      <c r="B671" s="73"/>
      <c r="C671" s="73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</row>
    <row r="672" spans="1:27" ht="14.4">
      <c r="A672" s="65"/>
      <c r="B672" s="73"/>
      <c r="C672" s="73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</row>
    <row r="673" spans="1:27" ht="14.4">
      <c r="A673" s="65"/>
      <c r="B673" s="73"/>
      <c r="C673" s="73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</row>
    <row r="674" spans="1:27" ht="14.4">
      <c r="A674" s="65"/>
      <c r="B674" s="73"/>
      <c r="C674" s="73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</row>
    <row r="675" spans="1:27" ht="14.4">
      <c r="A675" s="65"/>
      <c r="B675" s="73"/>
      <c r="C675" s="73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</row>
    <row r="676" spans="1:27" ht="14.4">
      <c r="A676" s="65"/>
      <c r="B676" s="73"/>
      <c r="C676" s="73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</row>
    <row r="677" spans="1:27" ht="14.4">
      <c r="A677" s="65"/>
      <c r="B677" s="73"/>
      <c r="C677" s="73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</row>
    <row r="678" spans="1:27" ht="14.4">
      <c r="A678" s="65"/>
      <c r="B678" s="73"/>
      <c r="C678" s="73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</row>
    <row r="679" spans="1:27" ht="14.4">
      <c r="A679" s="65"/>
      <c r="B679" s="73"/>
      <c r="C679" s="73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</row>
    <row r="680" spans="1:27" ht="14.4">
      <c r="A680" s="65"/>
      <c r="B680" s="73"/>
      <c r="C680" s="73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</row>
    <row r="681" spans="1:27" ht="14.4">
      <c r="A681" s="65"/>
      <c r="B681" s="73"/>
      <c r="C681" s="73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</row>
    <row r="682" spans="1:27" ht="14.4">
      <c r="A682" s="65"/>
      <c r="B682" s="73"/>
      <c r="C682" s="73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</row>
    <row r="683" spans="1:27" ht="14.4">
      <c r="A683" s="65"/>
      <c r="B683" s="73"/>
      <c r="C683" s="73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</row>
    <row r="684" spans="1:27" ht="14.4">
      <c r="A684" s="65"/>
      <c r="B684" s="73"/>
      <c r="C684" s="73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</row>
    <row r="685" spans="1:27" ht="14.4">
      <c r="A685" s="65"/>
      <c r="B685" s="73"/>
      <c r="C685" s="73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</row>
    <row r="686" spans="1:27" ht="14.4">
      <c r="A686" s="65"/>
      <c r="B686" s="73"/>
      <c r="C686" s="73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</row>
    <row r="687" spans="1:27" ht="14.4">
      <c r="A687" s="65"/>
      <c r="B687" s="73"/>
      <c r="C687" s="73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</row>
    <row r="688" spans="1:27" ht="14.4">
      <c r="A688" s="65"/>
      <c r="B688" s="73"/>
      <c r="C688" s="73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</row>
    <row r="689" spans="1:27" ht="14.4">
      <c r="A689" s="65"/>
      <c r="B689" s="73"/>
      <c r="C689" s="73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</row>
    <row r="690" spans="1:27" ht="14.4">
      <c r="A690" s="65"/>
      <c r="B690" s="73"/>
      <c r="C690" s="73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</row>
    <row r="691" spans="1:27" ht="14.4">
      <c r="A691" s="65"/>
      <c r="B691" s="73"/>
      <c r="C691" s="73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</row>
    <row r="692" spans="1:27" ht="14.4">
      <c r="A692" s="65"/>
      <c r="B692" s="73"/>
      <c r="C692" s="73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</row>
    <row r="693" spans="1:27" ht="14.4">
      <c r="A693" s="65"/>
      <c r="B693" s="73"/>
      <c r="C693" s="73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</row>
    <row r="694" spans="1:27" ht="14.4">
      <c r="A694" s="65"/>
      <c r="B694" s="73"/>
      <c r="C694" s="73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</row>
    <row r="695" spans="1:27" ht="14.4">
      <c r="A695" s="65"/>
      <c r="B695" s="73"/>
      <c r="C695" s="73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</row>
    <row r="696" spans="1:27" ht="14.4">
      <c r="A696" s="65"/>
      <c r="B696" s="73"/>
      <c r="C696" s="73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</row>
    <row r="697" spans="1:27" ht="14.4">
      <c r="A697" s="65"/>
      <c r="B697" s="73"/>
      <c r="C697" s="73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</row>
    <row r="698" spans="1:27" ht="14.4">
      <c r="A698" s="65"/>
      <c r="B698" s="73"/>
      <c r="C698" s="73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</row>
    <row r="699" spans="1:27" ht="14.4">
      <c r="A699" s="65"/>
      <c r="B699" s="73"/>
      <c r="C699" s="73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</row>
    <row r="700" spans="1:27" ht="14.4">
      <c r="A700" s="65"/>
      <c r="B700" s="73"/>
      <c r="C700" s="73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</row>
    <row r="701" spans="1:27" ht="14.4">
      <c r="A701" s="65"/>
      <c r="B701" s="73"/>
      <c r="C701" s="73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</row>
    <row r="702" spans="1:27" ht="14.4">
      <c r="A702" s="65"/>
      <c r="B702" s="73"/>
      <c r="C702" s="73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</row>
    <row r="703" spans="1:27" ht="14.4">
      <c r="A703" s="65"/>
      <c r="B703" s="73"/>
      <c r="C703" s="73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</row>
    <row r="704" spans="1:27" ht="14.4">
      <c r="A704" s="65"/>
      <c r="B704" s="73"/>
      <c r="C704" s="73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</row>
    <row r="705" spans="1:27" ht="14.4">
      <c r="A705" s="65"/>
      <c r="B705" s="73"/>
      <c r="C705" s="73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</row>
    <row r="706" spans="1:27" ht="14.4">
      <c r="A706" s="65"/>
      <c r="B706" s="73"/>
      <c r="C706" s="73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</row>
    <row r="707" spans="1:27" ht="14.4">
      <c r="A707" s="65"/>
      <c r="B707" s="73"/>
      <c r="C707" s="73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</row>
    <row r="708" spans="1:27" ht="14.4">
      <c r="A708" s="65"/>
      <c r="B708" s="73"/>
      <c r="C708" s="73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</row>
    <row r="709" spans="1:27" ht="14.4">
      <c r="A709" s="65"/>
      <c r="B709" s="73"/>
      <c r="C709" s="73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</row>
    <row r="710" spans="1:27" ht="14.4">
      <c r="A710" s="65"/>
      <c r="B710" s="73"/>
      <c r="C710" s="73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</row>
    <row r="711" spans="1:27" ht="14.4">
      <c r="A711" s="65"/>
      <c r="B711" s="73"/>
      <c r="C711" s="73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</row>
    <row r="712" spans="1:27" ht="14.4">
      <c r="A712" s="65"/>
      <c r="B712" s="73"/>
      <c r="C712" s="73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</row>
    <row r="713" spans="1:27" ht="14.4">
      <c r="A713" s="65"/>
      <c r="B713" s="73"/>
      <c r="C713" s="73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</row>
    <row r="714" spans="1:27" ht="14.4">
      <c r="A714" s="65"/>
      <c r="B714" s="73"/>
      <c r="C714" s="73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</row>
    <row r="715" spans="1:27" ht="14.4">
      <c r="A715" s="65"/>
      <c r="B715" s="73"/>
      <c r="C715" s="73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</row>
    <row r="716" spans="1:27" ht="14.4">
      <c r="A716" s="65"/>
      <c r="B716" s="73"/>
      <c r="C716" s="73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</row>
    <row r="717" spans="1:27" ht="14.4">
      <c r="A717" s="65"/>
      <c r="B717" s="73"/>
      <c r="C717" s="73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</row>
    <row r="718" spans="1:27" ht="14.4">
      <c r="A718" s="65"/>
      <c r="B718" s="73"/>
      <c r="C718" s="73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</row>
    <row r="719" spans="1:27" ht="14.4">
      <c r="A719" s="65"/>
      <c r="B719" s="73"/>
      <c r="C719" s="73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</row>
    <row r="720" spans="1:27" ht="14.4">
      <c r="A720" s="65"/>
      <c r="B720" s="73"/>
      <c r="C720" s="73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</row>
    <row r="721" spans="1:27" ht="14.4">
      <c r="A721" s="65"/>
      <c r="B721" s="73"/>
      <c r="C721" s="73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</row>
    <row r="722" spans="1:27" ht="14.4">
      <c r="A722" s="65"/>
      <c r="B722" s="73"/>
      <c r="C722" s="73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</row>
    <row r="723" spans="1:27" ht="14.4">
      <c r="A723" s="65"/>
      <c r="B723" s="73"/>
      <c r="C723" s="73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</row>
    <row r="724" spans="1:27" ht="14.4">
      <c r="A724" s="65"/>
      <c r="B724" s="73"/>
      <c r="C724" s="73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</row>
    <row r="725" spans="1:27" ht="14.4">
      <c r="A725" s="65"/>
      <c r="B725" s="73"/>
      <c r="C725" s="73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</row>
    <row r="726" spans="1:27" ht="14.4">
      <c r="A726" s="65"/>
      <c r="B726" s="73"/>
      <c r="C726" s="73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</row>
    <row r="727" spans="1:27" ht="14.4">
      <c r="A727" s="65"/>
      <c r="B727" s="73"/>
      <c r="C727" s="73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</row>
    <row r="728" spans="1:27" ht="14.4">
      <c r="A728" s="65"/>
      <c r="B728" s="73"/>
      <c r="C728" s="73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</row>
    <row r="729" spans="1:27" ht="14.4">
      <c r="A729" s="65"/>
      <c r="B729" s="73"/>
      <c r="C729" s="73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</row>
    <row r="730" spans="1:27" ht="14.4">
      <c r="A730" s="65"/>
      <c r="B730" s="73"/>
      <c r="C730" s="73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</row>
    <row r="731" spans="1:27" ht="14.4">
      <c r="A731" s="65"/>
      <c r="B731" s="73"/>
      <c r="C731" s="73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</row>
    <row r="732" spans="1:27" ht="14.4">
      <c r="A732" s="65"/>
      <c r="B732" s="73"/>
      <c r="C732" s="73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</row>
    <row r="733" spans="1:27" ht="14.4">
      <c r="A733" s="65"/>
      <c r="B733" s="73"/>
      <c r="C733" s="73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</row>
    <row r="734" spans="1:27" ht="14.4">
      <c r="A734" s="65"/>
      <c r="B734" s="73"/>
      <c r="C734" s="73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</row>
    <row r="735" spans="1:27" ht="14.4">
      <c r="A735" s="65"/>
      <c r="B735" s="73"/>
      <c r="C735" s="73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</row>
    <row r="736" spans="1:27" ht="14.4">
      <c r="A736" s="65"/>
      <c r="B736" s="73"/>
      <c r="C736" s="73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</row>
    <row r="737" spans="1:27" ht="14.4">
      <c r="A737" s="65"/>
      <c r="B737" s="73"/>
      <c r="C737" s="73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</row>
    <row r="738" spans="1:27" ht="14.4">
      <c r="A738" s="65"/>
      <c r="B738" s="73"/>
      <c r="C738" s="73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</row>
    <row r="739" spans="1:27" ht="14.4">
      <c r="A739" s="65"/>
      <c r="B739" s="73"/>
      <c r="C739" s="73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</row>
    <row r="740" spans="1:27" ht="14.4">
      <c r="A740" s="65"/>
      <c r="B740" s="73"/>
      <c r="C740" s="73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</row>
    <row r="741" spans="1:27" ht="14.4">
      <c r="A741" s="65"/>
      <c r="B741" s="73"/>
      <c r="C741" s="73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</row>
    <row r="742" spans="1:27" ht="14.4">
      <c r="A742" s="65"/>
      <c r="B742" s="73"/>
      <c r="C742" s="73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</row>
    <row r="743" spans="1:27" ht="14.4">
      <c r="A743" s="65"/>
      <c r="B743" s="73"/>
      <c r="C743" s="73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</row>
    <row r="744" spans="1:27" ht="14.4">
      <c r="A744" s="65"/>
      <c r="B744" s="73"/>
      <c r="C744" s="73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</row>
    <row r="745" spans="1:27" ht="14.4">
      <c r="A745" s="65"/>
      <c r="B745" s="73"/>
      <c r="C745" s="73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</row>
    <row r="746" spans="1:27" ht="14.4">
      <c r="A746" s="65"/>
      <c r="B746" s="73"/>
      <c r="C746" s="73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</row>
    <row r="747" spans="1:27" ht="14.4">
      <c r="A747" s="65"/>
      <c r="B747" s="73"/>
      <c r="C747" s="73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</row>
    <row r="748" spans="1:27" ht="14.4">
      <c r="A748" s="65"/>
      <c r="B748" s="73"/>
      <c r="C748" s="73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</row>
    <row r="749" spans="1:27" ht="14.4">
      <c r="A749" s="65"/>
      <c r="B749" s="73"/>
      <c r="C749" s="73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</row>
    <row r="750" spans="1:27" ht="14.4">
      <c r="A750" s="65"/>
      <c r="B750" s="73"/>
      <c r="C750" s="73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</row>
    <row r="751" spans="1:27" ht="14.4">
      <c r="A751" s="65"/>
      <c r="B751" s="73"/>
      <c r="C751" s="73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</row>
    <row r="752" spans="1:27" ht="14.4">
      <c r="A752" s="65"/>
      <c r="B752" s="73"/>
      <c r="C752" s="73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</row>
    <row r="753" spans="1:27" ht="14.4">
      <c r="A753" s="65"/>
      <c r="B753" s="73"/>
      <c r="C753" s="73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</row>
    <row r="754" spans="1:27" ht="14.4">
      <c r="A754" s="65"/>
      <c r="B754" s="73"/>
      <c r="C754" s="73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</row>
    <row r="755" spans="1:27" ht="14.4">
      <c r="A755" s="65"/>
      <c r="B755" s="73"/>
      <c r="C755" s="73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</row>
    <row r="756" spans="1:27" ht="14.4">
      <c r="A756" s="65"/>
      <c r="B756" s="73"/>
      <c r="C756" s="73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</row>
    <row r="757" spans="1:27" ht="14.4">
      <c r="A757" s="65"/>
      <c r="B757" s="73"/>
      <c r="C757" s="73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</row>
    <row r="758" spans="1:27" ht="14.4">
      <c r="A758" s="65"/>
      <c r="B758" s="73"/>
      <c r="C758" s="73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</row>
    <row r="759" spans="1:27" ht="14.4">
      <c r="A759" s="65"/>
      <c r="B759" s="73"/>
      <c r="C759" s="73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</row>
    <row r="760" spans="1:27" ht="14.4">
      <c r="A760" s="65"/>
      <c r="B760" s="73"/>
      <c r="C760" s="73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</row>
    <row r="761" spans="1:27" ht="14.4">
      <c r="A761" s="65"/>
      <c r="B761" s="73"/>
      <c r="C761" s="73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</row>
    <row r="762" spans="1:27" ht="14.4">
      <c r="A762" s="65"/>
      <c r="B762" s="73"/>
      <c r="C762" s="73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</row>
    <row r="763" spans="1:27" ht="14.4">
      <c r="A763" s="65"/>
      <c r="B763" s="73"/>
      <c r="C763" s="73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</row>
    <row r="764" spans="1:27" ht="14.4">
      <c r="A764" s="65"/>
      <c r="B764" s="73"/>
      <c r="C764" s="73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</row>
    <row r="765" spans="1:27" ht="14.4">
      <c r="A765" s="65"/>
      <c r="B765" s="73"/>
      <c r="C765" s="73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</row>
    <row r="766" spans="1:27" ht="14.4">
      <c r="A766" s="65"/>
      <c r="B766" s="73"/>
      <c r="C766" s="73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</row>
    <row r="767" spans="1:27" ht="14.4">
      <c r="A767" s="65"/>
      <c r="B767" s="73"/>
      <c r="C767" s="73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</row>
    <row r="768" spans="1:27" ht="14.4">
      <c r="A768" s="65"/>
      <c r="B768" s="73"/>
      <c r="C768" s="73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</row>
    <row r="769" spans="1:27" ht="14.4">
      <c r="A769" s="65"/>
      <c r="B769" s="73"/>
      <c r="C769" s="73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</row>
    <row r="770" spans="1:27" ht="14.4">
      <c r="A770" s="65"/>
      <c r="B770" s="73"/>
      <c r="C770" s="73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</row>
    <row r="771" spans="1:27" ht="14.4">
      <c r="A771" s="65"/>
      <c r="B771" s="73"/>
      <c r="C771" s="73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</row>
    <row r="772" spans="1:27" ht="14.4">
      <c r="A772" s="65"/>
      <c r="B772" s="73"/>
      <c r="C772" s="73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</row>
    <row r="773" spans="1:27" ht="14.4">
      <c r="A773" s="65"/>
      <c r="B773" s="73"/>
      <c r="C773" s="73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</row>
    <row r="774" spans="1:27" ht="14.4">
      <c r="A774" s="65"/>
      <c r="B774" s="73"/>
      <c r="C774" s="73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</row>
    <row r="775" spans="1:27" ht="14.4">
      <c r="A775" s="65"/>
      <c r="B775" s="73"/>
      <c r="C775" s="73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</row>
    <row r="776" spans="1:27" ht="14.4">
      <c r="A776" s="65"/>
      <c r="B776" s="73"/>
      <c r="C776" s="73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</row>
    <row r="777" spans="1:27" ht="14.4">
      <c r="A777" s="65"/>
      <c r="B777" s="73"/>
      <c r="C777" s="73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</row>
    <row r="778" spans="1:27" ht="14.4">
      <c r="A778" s="65"/>
      <c r="B778" s="73"/>
      <c r="C778" s="73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</row>
    <row r="779" spans="1:27" ht="14.4">
      <c r="A779" s="65"/>
      <c r="B779" s="73"/>
      <c r="C779" s="73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</row>
    <row r="780" spans="1:27" ht="14.4">
      <c r="A780" s="65"/>
      <c r="B780" s="73"/>
      <c r="C780" s="73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</row>
    <row r="781" spans="1:27" ht="14.4">
      <c r="A781" s="65"/>
      <c r="B781" s="73"/>
      <c r="C781" s="73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</row>
    <row r="782" spans="1:27" ht="14.4">
      <c r="A782" s="65"/>
      <c r="B782" s="73"/>
      <c r="C782" s="73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</row>
    <row r="783" spans="1:27" ht="14.4">
      <c r="A783" s="65"/>
      <c r="B783" s="73"/>
      <c r="C783" s="73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</row>
    <row r="784" spans="1:27" ht="14.4">
      <c r="A784" s="65"/>
      <c r="B784" s="73"/>
      <c r="C784" s="73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</row>
    <row r="785" spans="1:27" ht="14.4">
      <c r="A785" s="65"/>
      <c r="B785" s="73"/>
      <c r="C785" s="73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</row>
    <row r="786" spans="1:27" ht="14.4">
      <c r="A786" s="65"/>
      <c r="B786" s="73"/>
      <c r="C786" s="73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</row>
    <row r="787" spans="1:27" ht="14.4">
      <c r="A787" s="65"/>
      <c r="B787" s="73"/>
      <c r="C787" s="73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</row>
    <row r="788" spans="1:27" ht="14.4">
      <c r="A788" s="65"/>
      <c r="B788" s="73"/>
      <c r="C788" s="73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</row>
    <row r="789" spans="1:27" ht="14.4">
      <c r="A789" s="65"/>
      <c r="B789" s="73"/>
      <c r="C789" s="73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</row>
    <row r="790" spans="1:27" ht="14.4">
      <c r="A790" s="65"/>
      <c r="B790" s="73"/>
      <c r="C790" s="73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</row>
    <row r="791" spans="1:27" ht="14.4">
      <c r="A791" s="65"/>
      <c r="B791" s="73"/>
      <c r="C791" s="73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</row>
    <row r="792" spans="1:27" ht="14.4">
      <c r="A792" s="65"/>
      <c r="B792" s="73"/>
      <c r="C792" s="73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</row>
    <row r="793" spans="1:27" ht="14.4">
      <c r="A793" s="65"/>
      <c r="B793" s="73"/>
      <c r="C793" s="73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</row>
    <row r="794" spans="1:27" ht="14.4">
      <c r="A794" s="65"/>
      <c r="B794" s="73"/>
      <c r="C794" s="73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</row>
    <row r="795" spans="1:27" ht="14.4">
      <c r="A795" s="65"/>
      <c r="B795" s="73"/>
      <c r="C795" s="73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</row>
    <row r="796" spans="1:27" ht="14.4">
      <c r="A796" s="65"/>
      <c r="B796" s="73"/>
      <c r="C796" s="73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</row>
    <row r="797" spans="1:27" ht="14.4">
      <c r="A797" s="65"/>
      <c r="B797" s="73"/>
      <c r="C797" s="73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</row>
    <row r="798" spans="1:27" ht="14.4">
      <c r="A798" s="65"/>
      <c r="B798" s="73"/>
      <c r="C798" s="73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</row>
    <row r="799" spans="1:27" ht="14.4">
      <c r="A799" s="65"/>
      <c r="B799" s="73"/>
      <c r="C799" s="73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</row>
    <row r="800" spans="1:27" ht="14.4">
      <c r="A800" s="65"/>
      <c r="B800" s="73"/>
      <c r="C800" s="73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</row>
    <row r="801" spans="1:27" ht="14.4">
      <c r="A801" s="65"/>
      <c r="B801" s="73"/>
      <c r="C801" s="73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</row>
    <row r="802" spans="1:27" ht="14.4">
      <c r="A802" s="65"/>
      <c r="B802" s="73"/>
      <c r="C802" s="73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</row>
    <row r="803" spans="1:27" ht="14.4">
      <c r="A803" s="65"/>
      <c r="B803" s="73"/>
      <c r="C803" s="73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</row>
    <row r="804" spans="1:27" ht="14.4">
      <c r="A804" s="65"/>
      <c r="B804" s="73"/>
      <c r="C804" s="73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</row>
    <row r="805" spans="1:27" ht="14.4">
      <c r="A805" s="65"/>
      <c r="B805" s="73"/>
      <c r="C805" s="73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</row>
    <row r="806" spans="1:27" ht="14.4">
      <c r="A806" s="65"/>
      <c r="B806" s="73"/>
      <c r="C806" s="73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</row>
    <row r="807" spans="1:27" ht="14.4">
      <c r="A807" s="65"/>
      <c r="B807" s="73"/>
      <c r="C807" s="73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</row>
    <row r="808" spans="1:27" ht="14.4">
      <c r="A808" s="65"/>
      <c r="B808" s="73"/>
      <c r="C808" s="73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</row>
    <row r="809" spans="1:27" ht="14.4">
      <c r="A809" s="65"/>
      <c r="B809" s="73"/>
      <c r="C809" s="73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</row>
    <row r="810" spans="1:27" ht="14.4">
      <c r="A810" s="65"/>
      <c r="B810" s="73"/>
      <c r="C810" s="73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</row>
    <row r="811" spans="1:27" ht="14.4">
      <c r="A811" s="65"/>
      <c r="B811" s="73"/>
      <c r="C811" s="73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</row>
    <row r="812" spans="1:27" ht="14.4">
      <c r="A812" s="65"/>
      <c r="B812" s="73"/>
      <c r="C812" s="73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</row>
    <row r="813" spans="1:27" ht="14.4">
      <c r="A813" s="65"/>
      <c r="B813" s="73"/>
      <c r="C813" s="73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</row>
    <row r="814" spans="1:27" ht="14.4">
      <c r="A814" s="65"/>
      <c r="B814" s="73"/>
      <c r="C814" s="73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</row>
    <row r="815" spans="1:27" ht="14.4">
      <c r="A815" s="65"/>
      <c r="B815" s="73"/>
      <c r="C815" s="73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</row>
    <row r="816" spans="1:27" ht="14.4">
      <c r="A816" s="65"/>
      <c r="B816" s="73"/>
      <c r="C816" s="73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</row>
    <row r="817" spans="1:27" ht="14.4">
      <c r="A817" s="65"/>
      <c r="B817" s="73"/>
      <c r="C817" s="73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</row>
    <row r="818" spans="1:27" ht="14.4">
      <c r="A818" s="65"/>
      <c r="B818" s="73"/>
      <c r="C818" s="73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</row>
    <row r="819" spans="1:27" ht="14.4">
      <c r="A819" s="65"/>
      <c r="B819" s="73"/>
      <c r="C819" s="73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</row>
    <row r="820" spans="1:27" ht="14.4">
      <c r="A820" s="65"/>
      <c r="B820" s="73"/>
      <c r="C820" s="73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</row>
    <row r="821" spans="1:27" ht="14.4">
      <c r="A821" s="65"/>
      <c r="B821" s="73"/>
      <c r="C821" s="73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</row>
    <row r="822" spans="1:27" ht="14.4">
      <c r="A822" s="65"/>
      <c r="B822" s="73"/>
      <c r="C822" s="73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</row>
    <row r="823" spans="1:27" ht="14.4">
      <c r="A823" s="65"/>
      <c r="B823" s="73"/>
      <c r="C823" s="73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</row>
    <row r="824" spans="1:27" ht="14.4">
      <c r="A824" s="65"/>
      <c r="B824" s="73"/>
      <c r="C824" s="73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</row>
    <row r="825" spans="1:27" ht="14.4">
      <c r="A825" s="65"/>
      <c r="B825" s="73"/>
      <c r="C825" s="73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</row>
    <row r="826" spans="1:27" ht="14.4">
      <c r="A826" s="65"/>
      <c r="B826" s="73"/>
      <c r="C826" s="73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</row>
    <row r="827" spans="1:27" ht="14.4">
      <c r="A827" s="65"/>
      <c r="B827" s="73"/>
      <c r="C827" s="73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</row>
    <row r="828" spans="1:27" ht="14.4">
      <c r="A828" s="65"/>
      <c r="B828" s="73"/>
      <c r="C828" s="73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</row>
    <row r="829" spans="1:27" ht="14.4">
      <c r="A829" s="65"/>
      <c r="B829" s="73"/>
      <c r="C829" s="73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</row>
    <row r="830" spans="1:27" ht="14.4">
      <c r="A830" s="65"/>
      <c r="B830" s="73"/>
      <c r="C830" s="73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</row>
    <row r="831" spans="1:27" ht="14.4">
      <c r="A831" s="65"/>
      <c r="B831" s="73"/>
      <c r="C831" s="73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</row>
    <row r="832" spans="1:27" ht="14.4">
      <c r="A832" s="65"/>
      <c r="B832" s="73"/>
      <c r="C832" s="73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</row>
    <row r="833" spans="1:27" ht="14.4">
      <c r="A833" s="65"/>
      <c r="B833" s="73"/>
      <c r="C833" s="73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</row>
    <row r="834" spans="1:27" ht="14.4">
      <c r="A834" s="65"/>
      <c r="B834" s="73"/>
      <c r="C834" s="73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</row>
    <row r="835" spans="1:27" ht="14.4">
      <c r="A835" s="65"/>
      <c r="B835" s="73"/>
      <c r="C835" s="73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</row>
    <row r="836" spans="1:27" ht="14.4">
      <c r="A836" s="65"/>
      <c r="B836" s="73"/>
      <c r="C836" s="73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</row>
    <row r="837" spans="1:27" ht="14.4">
      <c r="A837" s="65"/>
      <c r="B837" s="73"/>
      <c r="C837" s="73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</row>
    <row r="838" spans="1:27" ht="14.4">
      <c r="A838" s="65"/>
      <c r="B838" s="73"/>
      <c r="C838" s="73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</row>
    <row r="839" spans="1:27" ht="14.4">
      <c r="A839" s="65"/>
      <c r="B839" s="73"/>
      <c r="C839" s="73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</row>
    <row r="840" spans="1:27" ht="14.4">
      <c r="A840" s="65"/>
      <c r="B840" s="73"/>
      <c r="C840" s="73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</row>
    <row r="841" spans="1:27" ht="14.4">
      <c r="A841" s="65"/>
      <c r="B841" s="73"/>
      <c r="C841" s="73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</row>
    <row r="842" spans="1:27" ht="14.4">
      <c r="A842" s="65"/>
      <c r="B842" s="73"/>
      <c r="C842" s="73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</row>
    <row r="843" spans="1:27" ht="14.4">
      <c r="A843" s="65"/>
      <c r="B843" s="73"/>
      <c r="C843" s="73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</row>
    <row r="844" spans="1:27" ht="14.4">
      <c r="A844" s="65"/>
      <c r="B844" s="73"/>
      <c r="C844" s="73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</row>
    <row r="845" spans="1:27" ht="14.4">
      <c r="A845" s="65"/>
      <c r="B845" s="73"/>
      <c r="C845" s="73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</row>
    <row r="846" spans="1:27" ht="14.4">
      <c r="A846" s="65"/>
      <c r="B846" s="73"/>
      <c r="C846" s="73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</row>
    <row r="847" spans="1:27" ht="14.4">
      <c r="A847" s="65"/>
      <c r="B847" s="73"/>
      <c r="C847" s="73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</row>
    <row r="848" spans="1:27" ht="14.4">
      <c r="A848" s="65"/>
      <c r="B848" s="73"/>
      <c r="C848" s="73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</row>
    <row r="849" spans="1:27" ht="14.4">
      <c r="A849" s="65"/>
      <c r="B849" s="73"/>
      <c r="C849" s="73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</row>
    <row r="850" spans="1:27" ht="14.4">
      <c r="A850" s="65"/>
      <c r="B850" s="73"/>
      <c r="C850" s="73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</row>
    <row r="851" spans="1:27" ht="14.4">
      <c r="A851" s="65"/>
      <c r="B851" s="73"/>
      <c r="C851" s="73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</row>
    <row r="852" spans="1:27" ht="14.4">
      <c r="A852" s="65"/>
      <c r="B852" s="73"/>
      <c r="C852" s="73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</row>
    <row r="853" spans="1:27" ht="14.4">
      <c r="A853" s="65"/>
      <c r="B853" s="73"/>
      <c r="C853" s="73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</row>
    <row r="854" spans="1:27" ht="14.4">
      <c r="A854" s="65"/>
      <c r="B854" s="73"/>
      <c r="C854" s="73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</row>
    <row r="855" spans="1:27" ht="14.4">
      <c r="A855" s="65"/>
      <c r="B855" s="73"/>
      <c r="C855" s="73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</row>
    <row r="856" spans="1:27" ht="14.4">
      <c r="A856" s="65"/>
      <c r="B856" s="73"/>
      <c r="C856" s="73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</row>
    <row r="857" spans="1:27" ht="14.4">
      <c r="A857" s="65"/>
      <c r="B857" s="73"/>
      <c r="C857" s="73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</row>
    <row r="858" spans="1:27" ht="14.4">
      <c r="A858" s="65"/>
      <c r="B858" s="73"/>
      <c r="C858" s="73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</row>
    <row r="859" spans="1:27" ht="14.4">
      <c r="A859" s="65"/>
      <c r="B859" s="73"/>
      <c r="C859" s="73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</row>
    <row r="860" spans="1:27" ht="14.4">
      <c r="A860" s="65"/>
      <c r="B860" s="73"/>
      <c r="C860" s="73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</row>
    <row r="861" spans="1:27" ht="14.4">
      <c r="A861" s="65"/>
      <c r="B861" s="73"/>
      <c r="C861" s="73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</row>
    <row r="862" spans="1:27" ht="14.4">
      <c r="A862" s="65"/>
      <c r="B862" s="73"/>
      <c r="C862" s="73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</row>
    <row r="863" spans="1:27" ht="14.4">
      <c r="A863" s="65"/>
      <c r="B863" s="73"/>
      <c r="C863" s="73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</row>
    <row r="864" spans="1:27" ht="14.4">
      <c r="A864" s="65"/>
      <c r="B864" s="73"/>
      <c r="C864" s="73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</row>
    <row r="865" spans="1:27" ht="14.4">
      <c r="A865" s="65"/>
      <c r="B865" s="73"/>
      <c r="C865" s="73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</row>
    <row r="866" spans="1:27" ht="14.4">
      <c r="A866" s="65"/>
      <c r="B866" s="73"/>
      <c r="C866" s="73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</row>
    <row r="867" spans="1:27" ht="14.4">
      <c r="A867" s="65"/>
      <c r="B867" s="73"/>
      <c r="C867" s="73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</row>
    <row r="868" spans="1:27" ht="14.4">
      <c r="A868" s="65"/>
      <c r="B868" s="73"/>
      <c r="C868" s="73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</row>
    <row r="869" spans="1:27" ht="14.4">
      <c r="A869" s="65"/>
      <c r="B869" s="73"/>
      <c r="C869" s="73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</row>
    <row r="870" spans="1:27" ht="14.4">
      <c r="A870" s="65"/>
      <c r="B870" s="73"/>
      <c r="C870" s="73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</row>
    <row r="871" spans="1:27" ht="14.4">
      <c r="A871" s="65"/>
      <c r="B871" s="73"/>
      <c r="C871" s="73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</row>
    <row r="872" spans="1:27" ht="14.4">
      <c r="A872" s="65"/>
      <c r="B872" s="73"/>
      <c r="C872" s="73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</row>
    <row r="873" spans="1:27" ht="14.4">
      <c r="A873" s="65"/>
      <c r="B873" s="73"/>
      <c r="C873" s="73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</row>
    <row r="874" spans="1:27" ht="14.4">
      <c r="A874" s="65"/>
      <c r="B874" s="73"/>
      <c r="C874" s="73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</row>
    <row r="875" spans="1:27" ht="14.4">
      <c r="A875" s="65"/>
      <c r="B875" s="73"/>
      <c r="C875" s="73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</row>
    <row r="876" spans="1:27" ht="14.4">
      <c r="A876" s="65"/>
      <c r="B876" s="73"/>
      <c r="C876" s="73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</row>
    <row r="877" spans="1:27" ht="14.4">
      <c r="A877" s="65"/>
      <c r="B877" s="73"/>
      <c r="C877" s="73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</row>
    <row r="878" spans="1:27" ht="14.4">
      <c r="A878" s="65"/>
      <c r="B878" s="73"/>
      <c r="C878" s="73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</row>
    <row r="879" spans="1:27" ht="14.4">
      <c r="A879" s="65"/>
      <c r="B879" s="73"/>
      <c r="C879" s="73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</row>
    <row r="880" spans="1:27" ht="14.4">
      <c r="A880" s="65"/>
      <c r="B880" s="73"/>
      <c r="C880" s="73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</row>
    <row r="881" spans="1:27" ht="14.4">
      <c r="A881" s="65"/>
      <c r="B881" s="73"/>
      <c r="C881" s="73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</row>
    <row r="882" spans="1:27" ht="14.4">
      <c r="A882" s="65"/>
      <c r="B882" s="73"/>
      <c r="C882" s="73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</row>
    <row r="883" spans="1:27" ht="14.4">
      <c r="A883" s="65"/>
      <c r="B883" s="73"/>
      <c r="C883" s="73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</row>
    <row r="884" spans="1:27" ht="14.4">
      <c r="A884" s="65"/>
      <c r="B884" s="73"/>
      <c r="C884" s="73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</row>
    <row r="885" spans="1:27" ht="14.4">
      <c r="A885" s="65"/>
      <c r="B885" s="73"/>
      <c r="C885" s="73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</row>
    <row r="886" spans="1:27" ht="14.4">
      <c r="A886" s="65"/>
      <c r="B886" s="73"/>
      <c r="C886" s="73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</row>
    <row r="887" spans="1:27" ht="14.4">
      <c r="A887" s="65"/>
      <c r="B887" s="73"/>
      <c r="C887" s="73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</row>
    <row r="888" spans="1:27" ht="14.4">
      <c r="A888" s="65"/>
      <c r="B888" s="73"/>
      <c r="C888" s="73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</row>
    <row r="889" spans="1:27" ht="14.4">
      <c r="A889" s="65"/>
      <c r="B889" s="73"/>
      <c r="C889" s="73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</row>
    <row r="890" spans="1:27" ht="14.4">
      <c r="A890" s="65"/>
      <c r="B890" s="73"/>
      <c r="C890" s="73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</row>
    <row r="891" spans="1:27" ht="14.4">
      <c r="A891" s="65"/>
      <c r="B891" s="73"/>
      <c r="C891" s="73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</row>
    <row r="892" spans="1:27" ht="14.4">
      <c r="A892" s="65"/>
      <c r="B892" s="73"/>
      <c r="C892" s="73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</row>
    <row r="893" spans="1:27" ht="14.4">
      <c r="A893" s="65"/>
      <c r="B893" s="73"/>
      <c r="C893" s="73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</row>
    <row r="894" spans="1:27" ht="14.4">
      <c r="A894" s="65"/>
      <c r="B894" s="73"/>
      <c r="C894" s="73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</row>
    <row r="895" spans="1:27" ht="14.4">
      <c r="A895" s="65"/>
      <c r="B895" s="73"/>
      <c r="C895" s="73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</row>
    <row r="896" spans="1:27" ht="14.4">
      <c r="A896" s="65"/>
      <c r="B896" s="73"/>
      <c r="C896" s="73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</row>
    <row r="897" spans="1:27" ht="14.4">
      <c r="A897" s="65"/>
      <c r="B897" s="73"/>
      <c r="C897" s="73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</row>
    <row r="898" spans="1:27" ht="14.4">
      <c r="A898" s="65"/>
      <c r="B898" s="73"/>
      <c r="C898" s="73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</row>
    <row r="899" spans="1:27" ht="14.4">
      <c r="A899" s="65"/>
      <c r="B899" s="73"/>
      <c r="C899" s="73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</row>
    <row r="900" spans="1:27" ht="14.4">
      <c r="A900" s="65"/>
      <c r="B900" s="73"/>
      <c r="C900" s="73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</row>
    <row r="901" spans="1:27" ht="14.4">
      <c r="A901" s="65"/>
      <c r="B901" s="73"/>
      <c r="C901" s="73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</row>
    <row r="902" spans="1:27" ht="14.4">
      <c r="A902" s="65"/>
      <c r="B902" s="73"/>
      <c r="C902" s="73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</row>
    <row r="903" spans="1:27" ht="14.4">
      <c r="A903" s="65"/>
      <c r="B903" s="73"/>
      <c r="C903" s="73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</row>
    <row r="904" spans="1:27" ht="14.4">
      <c r="A904" s="65"/>
      <c r="B904" s="73"/>
      <c r="C904" s="73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</row>
    <row r="905" spans="1:27" ht="14.4">
      <c r="A905" s="65"/>
      <c r="B905" s="73"/>
      <c r="C905" s="73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</row>
    <row r="906" spans="1:27" ht="14.4">
      <c r="A906" s="65"/>
      <c r="B906" s="73"/>
      <c r="C906" s="73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</row>
    <row r="907" spans="1:27" ht="14.4">
      <c r="A907" s="65"/>
      <c r="B907" s="73"/>
      <c r="C907" s="73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</row>
    <row r="908" spans="1:27" ht="14.4">
      <c r="A908" s="65"/>
      <c r="B908" s="73"/>
      <c r="C908" s="73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</row>
    <row r="909" spans="1:27" ht="14.4">
      <c r="A909" s="65"/>
      <c r="B909" s="73"/>
      <c r="C909" s="73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</row>
    <row r="910" spans="1:27" ht="14.4">
      <c r="A910" s="65"/>
      <c r="B910" s="73"/>
      <c r="C910" s="73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</row>
    <row r="911" spans="1:27" ht="14.4">
      <c r="A911" s="65"/>
      <c r="B911" s="73"/>
      <c r="C911" s="73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</row>
    <row r="912" spans="1:27" ht="14.4">
      <c r="A912" s="65"/>
      <c r="B912" s="73"/>
      <c r="C912" s="73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</row>
    <row r="913" spans="1:27" ht="14.4">
      <c r="A913" s="65"/>
      <c r="B913" s="73"/>
      <c r="C913" s="73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</row>
    <row r="914" spans="1:27" ht="14.4">
      <c r="A914" s="65"/>
      <c r="B914" s="73"/>
      <c r="C914" s="73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</row>
    <row r="915" spans="1:27" ht="14.4">
      <c r="A915" s="65"/>
      <c r="B915" s="73"/>
      <c r="C915" s="73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</row>
    <row r="916" spans="1:27" ht="14.4">
      <c r="A916" s="65"/>
      <c r="B916" s="73"/>
      <c r="C916" s="73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</row>
    <row r="917" spans="1:27" ht="14.4">
      <c r="A917" s="65"/>
      <c r="B917" s="73"/>
      <c r="C917" s="73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</row>
    <row r="918" spans="1:27" ht="14.4">
      <c r="A918" s="65"/>
      <c r="B918" s="73"/>
      <c r="C918" s="73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</row>
    <row r="919" spans="1:27" ht="14.4">
      <c r="A919" s="65"/>
      <c r="B919" s="73"/>
      <c r="C919" s="73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</row>
    <row r="920" spans="1:27" ht="14.4">
      <c r="A920" s="65"/>
      <c r="B920" s="73"/>
      <c r="C920" s="73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</row>
    <row r="921" spans="1:27" ht="14.4">
      <c r="A921" s="65"/>
      <c r="B921" s="73"/>
      <c r="C921" s="73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</row>
    <row r="922" spans="1:27" ht="14.4">
      <c r="A922" s="65"/>
      <c r="B922" s="73"/>
      <c r="C922" s="73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</row>
    <row r="923" spans="1:27" ht="14.4">
      <c r="A923" s="65"/>
      <c r="B923" s="73"/>
      <c r="C923" s="73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</row>
    <row r="924" spans="1:27" ht="14.4">
      <c r="A924" s="65"/>
      <c r="B924" s="73"/>
      <c r="C924" s="73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</row>
    <row r="925" spans="1:27" ht="14.4">
      <c r="A925" s="65"/>
      <c r="B925" s="73"/>
      <c r="C925" s="73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</row>
    <row r="926" spans="1:27" ht="14.4">
      <c r="A926" s="65"/>
      <c r="B926" s="73"/>
      <c r="C926" s="73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</row>
    <row r="927" spans="1:27" ht="14.4">
      <c r="A927" s="65"/>
      <c r="B927" s="73"/>
      <c r="C927" s="73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</row>
    <row r="928" spans="1:27" ht="14.4">
      <c r="A928" s="65"/>
      <c r="B928" s="73"/>
      <c r="C928" s="73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</row>
    <row r="929" spans="1:27" ht="14.4">
      <c r="A929" s="65"/>
      <c r="B929" s="73"/>
      <c r="C929" s="73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</row>
    <row r="930" spans="1:27" ht="14.4">
      <c r="A930" s="65"/>
      <c r="B930" s="73"/>
      <c r="C930" s="73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</row>
    <row r="931" spans="1:27" ht="14.4">
      <c r="A931" s="65"/>
      <c r="B931" s="73"/>
      <c r="C931" s="73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</row>
    <row r="932" spans="1:27" ht="14.4">
      <c r="A932" s="65"/>
      <c r="B932" s="73"/>
      <c r="C932" s="73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</row>
    <row r="933" spans="1:27" ht="14.4">
      <c r="A933" s="65"/>
      <c r="B933" s="73"/>
      <c r="C933" s="73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</row>
    <row r="934" spans="1:27" ht="14.4">
      <c r="A934" s="65"/>
      <c r="B934" s="73"/>
      <c r="C934" s="73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</row>
    <row r="935" spans="1:27" ht="14.4">
      <c r="A935" s="65"/>
      <c r="B935" s="73"/>
      <c r="C935" s="73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</row>
    <row r="936" spans="1:27" ht="14.4">
      <c r="A936" s="65"/>
      <c r="B936" s="73"/>
      <c r="C936" s="73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</row>
    <row r="937" spans="1:27" ht="14.4">
      <c r="A937" s="65"/>
      <c r="B937" s="73"/>
      <c r="C937" s="73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</row>
    <row r="938" spans="1:27" ht="14.4">
      <c r="A938" s="65"/>
      <c r="B938" s="73"/>
      <c r="C938" s="73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</row>
    <row r="939" spans="1:27" ht="14.4">
      <c r="A939" s="65"/>
      <c r="B939" s="73"/>
      <c r="C939" s="73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</row>
    <row r="940" spans="1:27" ht="14.4">
      <c r="A940" s="65"/>
      <c r="B940" s="73"/>
      <c r="C940" s="73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</row>
    <row r="941" spans="1:27" ht="14.4">
      <c r="A941" s="65"/>
      <c r="B941" s="73"/>
      <c r="C941" s="73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</row>
    <row r="942" spans="1:27" ht="14.4">
      <c r="A942" s="65"/>
      <c r="B942" s="73"/>
      <c r="C942" s="73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1"/>
  <sheetViews>
    <sheetView topLeftCell="A19" workbookViewId="0">
      <selection activeCell="M49" sqref="M49"/>
    </sheetView>
  </sheetViews>
  <sheetFormatPr defaultColWidth="12.5546875" defaultRowHeight="15.75" customHeight="1"/>
  <cols>
    <col min="1" max="1" width="13.6640625" customWidth="1"/>
    <col min="2" max="7" width="12.5546875" customWidth="1"/>
    <col min="8" max="8" width="13.44140625" customWidth="1"/>
    <col min="9" max="13" width="12.5546875" customWidth="1"/>
    <col min="14" max="14" width="14.5546875" customWidth="1"/>
  </cols>
  <sheetData>
    <row r="1" spans="1:26" ht="15.75" customHeight="1">
      <c r="A1" s="1199" t="s">
        <v>517</v>
      </c>
      <c r="B1" s="1200"/>
      <c r="C1" s="69"/>
      <c r="D1" s="79"/>
      <c r="E1" s="69" t="s">
        <v>26</v>
      </c>
      <c r="F1" s="69"/>
      <c r="G1" s="69"/>
      <c r="H1" s="69"/>
      <c r="I1" s="69"/>
      <c r="J1" s="69"/>
      <c r="K1" s="69"/>
      <c r="L1" s="69"/>
      <c r="M1" s="69"/>
      <c r="N1" s="68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</row>
    <row r="2" spans="1:26" ht="15.75" customHeight="1">
      <c r="A2" s="75"/>
      <c r="B2" s="69"/>
      <c r="C2" s="69"/>
      <c r="D2" s="81"/>
      <c r="E2" s="69"/>
      <c r="F2" s="69"/>
      <c r="G2" s="69"/>
      <c r="H2" s="69"/>
      <c r="I2" s="69"/>
      <c r="J2" s="69"/>
      <c r="K2" s="69"/>
      <c r="L2" s="69"/>
      <c r="M2" s="69"/>
      <c r="N2" s="68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</row>
    <row r="3" spans="1:26" ht="15.75" customHeight="1">
      <c r="A3" s="82" t="s">
        <v>27</v>
      </c>
      <c r="B3" s="90" t="s">
        <v>0</v>
      </c>
      <c r="C3" s="90" t="s">
        <v>1</v>
      </c>
      <c r="D3" s="90" t="s">
        <v>2</v>
      </c>
      <c r="E3" s="90" t="s">
        <v>28</v>
      </c>
      <c r="F3" s="90" t="s">
        <v>29</v>
      </c>
      <c r="G3" s="90" t="s">
        <v>30</v>
      </c>
      <c r="H3" s="83" t="s">
        <v>3</v>
      </c>
      <c r="I3" s="83" t="s">
        <v>4</v>
      </c>
      <c r="J3" s="83" t="s">
        <v>5</v>
      </c>
      <c r="K3" s="83" t="s">
        <v>6</v>
      </c>
      <c r="L3" s="83" t="s">
        <v>7</v>
      </c>
      <c r="M3" s="83" t="s">
        <v>8</v>
      </c>
      <c r="N3" s="62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 spans="1:26" ht="15.75" customHeight="1">
      <c r="A4" s="85">
        <v>1</v>
      </c>
      <c r="B4" s="86"/>
      <c r="C4" s="87"/>
      <c r="D4" s="88"/>
      <c r="E4" s="89"/>
      <c r="F4" s="90"/>
      <c r="G4" s="86"/>
      <c r="H4" s="91"/>
      <c r="I4" s="91"/>
      <c r="J4" s="92"/>
      <c r="K4" s="91"/>
      <c r="L4" s="93"/>
      <c r="M4" s="92"/>
      <c r="N4" s="68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</row>
    <row r="5" spans="1:26" ht="15.75" customHeight="1">
      <c r="A5" s="85">
        <v>2</v>
      </c>
      <c r="B5" s="94"/>
      <c r="C5" s="88"/>
      <c r="D5" s="87"/>
      <c r="E5" s="89"/>
      <c r="F5" s="89"/>
      <c r="G5" s="89"/>
      <c r="H5" s="91"/>
      <c r="I5" s="93"/>
      <c r="J5" s="92"/>
      <c r="K5" s="92"/>
      <c r="L5" s="86"/>
      <c r="M5" s="91"/>
      <c r="N5" s="68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</row>
    <row r="6" spans="1:26" ht="15.75" customHeight="1">
      <c r="A6" s="85">
        <v>3</v>
      </c>
      <c r="B6" s="94"/>
      <c r="C6" s="89"/>
      <c r="D6" s="89"/>
      <c r="E6" s="94"/>
      <c r="F6" s="86"/>
      <c r="G6" s="86"/>
      <c r="H6" s="92"/>
      <c r="I6" s="86"/>
      <c r="J6" s="91"/>
      <c r="K6" s="91"/>
      <c r="L6" s="92"/>
      <c r="M6" s="91"/>
      <c r="N6" s="68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</row>
    <row r="7" spans="1:26" ht="15.75" customHeight="1">
      <c r="A7" s="85">
        <v>4</v>
      </c>
      <c r="B7" s="87"/>
      <c r="C7" s="89"/>
      <c r="D7" s="94"/>
      <c r="E7" s="94"/>
      <c r="F7" s="86"/>
      <c r="G7" s="89"/>
      <c r="H7" s="91"/>
      <c r="I7" s="92"/>
      <c r="J7" s="91"/>
      <c r="K7" s="93"/>
      <c r="L7" s="92"/>
      <c r="M7" s="91"/>
      <c r="N7" s="68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</row>
    <row r="8" spans="1:26" ht="15.75" customHeight="1">
      <c r="A8" s="85">
        <v>5</v>
      </c>
      <c r="B8" s="95"/>
      <c r="C8" s="89"/>
      <c r="D8" s="94"/>
      <c r="E8" s="93"/>
      <c r="F8" s="94"/>
      <c r="G8" s="89"/>
      <c r="H8" s="93"/>
      <c r="I8" s="92"/>
      <c r="J8" s="91"/>
      <c r="K8" s="96"/>
      <c r="L8" s="91"/>
      <c r="M8" s="92"/>
      <c r="N8" s="65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</row>
    <row r="9" spans="1:26" ht="15.75" customHeight="1">
      <c r="A9" s="85">
        <v>6</v>
      </c>
      <c r="B9" s="94"/>
      <c r="C9" s="94"/>
      <c r="D9" s="94"/>
      <c r="E9" s="96"/>
      <c r="F9" s="94"/>
      <c r="G9" s="89"/>
      <c r="H9" s="96"/>
      <c r="I9" s="91"/>
      <c r="J9" s="86"/>
      <c r="K9" s="97"/>
      <c r="L9" s="91"/>
      <c r="M9" s="93"/>
      <c r="N9" s="65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</row>
    <row r="10" spans="1:26" ht="15.75" customHeight="1">
      <c r="A10" s="85">
        <v>7</v>
      </c>
      <c r="B10" s="94"/>
      <c r="C10" s="89"/>
      <c r="D10" s="89"/>
      <c r="E10" s="94"/>
      <c r="F10" s="94"/>
      <c r="G10" s="93"/>
      <c r="H10" s="97"/>
      <c r="I10" s="91"/>
      <c r="J10" s="96"/>
      <c r="K10" s="91"/>
      <c r="L10" s="91"/>
      <c r="M10" s="96"/>
      <c r="N10" s="65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</row>
    <row r="11" spans="1:26" ht="15.75" customHeight="1">
      <c r="A11" s="85">
        <v>8</v>
      </c>
      <c r="B11" s="94"/>
      <c r="C11" s="87"/>
      <c r="D11" s="87"/>
      <c r="E11" s="89"/>
      <c r="F11" s="94"/>
      <c r="G11" s="86"/>
      <c r="H11" s="92"/>
      <c r="I11" s="91"/>
      <c r="J11" s="92"/>
      <c r="K11" s="91"/>
      <c r="L11" s="93"/>
      <c r="M11" s="92"/>
      <c r="N11" s="68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</row>
    <row r="12" spans="1:26" ht="15.75" customHeight="1">
      <c r="A12" s="85">
        <v>9</v>
      </c>
      <c r="B12" s="89"/>
      <c r="C12" s="87"/>
      <c r="D12" s="87"/>
      <c r="E12" s="94"/>
      <c r="F12" s="89"/>
      <c r="G12" s="89"/>
      <c r="H12" s="92"/>
      <c r="I12" s="93"/>
      <c r="J12" s="91"/>
      <c r="K12" s="91"/>
      <c r="L12" s="86"/>
      <c r="M12" s="91"/>
      <c r="N12" s="68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</row>
    <row r="13" spans="1:26" ht="15.75" customHeight="1">
      <c r="A13" s="85">
        <v>10</v>
      </c>
      <c r="B13" s="89"/>
      <c r="C13" s="89"/>
      <c r="D13" s="94"/>
      <c r="E13" s="94"/>
      <c r="F13" s="86"/>
      <c r="G13" s="94"/>
      <c r="H13" s="91"/>
      <c r="I13" s="86"/>
      <c r="J13" s="91"/>
      <c r="K13" s="92"/>
      <c r="L13" s="92"/>
      <c r="M13" s="91"/>
      <c r="N13" s="68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 spans="1:26" ht="15.75" customHeight="1">
      <c r="A14" s="85">
        <v>11</v>
      </c>
      <c r="B14" s="87"/>
      <c r="C14" s="89"/>
      <c r="D14" s="89"/>
      <c r="E14" s="89"/>
      <c r="F14" s="86"/>
      <c r="G14" s="94"/>
      <c r="H14" s="91"/>
      <c r="I14" s="92"/>
      <c r="J14" s="91"/>
      <c r="K14" s="93"/>
      <c r="L14" s="92"/>
      <c r="M14" s="92"/>
      <c r="N14" s="68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</row>
    <row r="15" spans="1:26" ht="15.75" customHeight="1">
      <c r="A15" s="85">
        <v>12</v>
      </c>
      <c r="B15" s="87"/>
      <c r="C15" s="88"/>
      <c r="D15" s="89"/>
      <c r="E15" s="86"/>
      <c r="F15" s="86"/>
      <c r="G15" s="92"/>
      <c r="H15" s="86"/>
      <c r="I15" s="86"/>
      <c r="J15" s="91"/>
      <c r="K15" s="86"/>
      <c r="L15" s="91"/>
      <c r="M15" s="91"/>
      <c r="N15" s="68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</row>
    <row r="16" spans="1:26" ht="15.75" customHeight="1">
      <c r="A16" s="85">
        <v>13</v>
      </c>
      <c r="B16" s="94"/>
      <c r="C16" s="89"/>
      <c r="D16" s="94"/>
      <c r="E16" s="86"/>
      <c r="F16" s="89"/>
      <c r="G16" s="92"/>
      <c r="H16" s="86"/>
      <c r="I16" s="92"/>
      <c r="J16" s="93"/>
      <c r="K16" s="92"/>
      <c r="L16" s="91"/>
      <c r="M16" s="93"/>
      <c r="N16" s="68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</row>
    <row r="17" spans="1:26" ht="15.75" customHeight="1">
      <c r="A17" s="85">
        <v>14</v>
      </c>
      <c r="B17" s="89"/>
      <c r="C17" s="89"/>
      <c r="D17" s="89"/>
      <c r="E17" s="90"/>
      <c r="F17" s="89"/>
      <c r="G17" s="86"/>
      <c r="H17" s="92"/>
      <c r="I17" s="91"/>
      <c r="J17" s="86"/>
      <c r="K17" s="92"/>
      <c r="L17" s="92"/>
      <c r="M17" s="86"/>
      <c r="N17" s="68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</row>
    <row r="18" spans="1:26" ht="15.75" customHeight="1">
      <c r="A18" s="85">
        <v>15</v>
      </c>
      <c r="B18" s="89"/>
      <c r="C18" s="87"/>
      <c r="D18" s="87"/>
      <c r="E18" s="90"/>
      <c r="F18" s="89"/>
      <c r="G18" s="86"/>
      <c r="H18" s="92"/>
      <c r="I18" s="91"/>
      <c r="J18" s="92"/>
      <c r="K18" s="92"/>
      <c r="L18" s="86"/>
      <c r="M18" s="92"/>
      <c r="N18" s="68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</row>
    <row r="19" spans="1:26" ht="15.75" customHeight="1">
      <c r="A19" s="85">
        <v>16</v>
      </c>
      <c r="B19" s="89"/>
      <c r="C19" s="88"/>
      <c r="D19" s="87"/>
      <c r="E19" s="94"/>
      <c r="F19" s="94"/>
      <c r="G19" s="92"/>
      <c r="H19" s="92"/>
      <c r="I19" s="93"/>
      <c r="J19" s="91"/>
      <c r="K19" s="91"/>
      <c r="L19" s="86"/>
      <c r="M19" s="91"/>
      <c r="N19" s="68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 spans="1:26" ht="15.75" customHeight="1">
      <c r="A20" s="85">
        <v>17</v>
      </c>
      <c r="B20" s="89"/>
      <c r="C20" s="94"/>
      <c r="D20" s="94"/>
      <c r="E20" s="94"/>
      <c r="F20" s="86"/>
      <c r="G20" s="92"/>
      <c r="H20" s="91"/>
      <c r="I20" s="86"/>
      <c r="J20" s="91"/>
      <c r="K20" s="92"/>
      <c r="L20" s="92"/>
      <c r="M20" s="91"/>
      <c r="N20" s="68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 spans="1:26" ht="15.75" customHeight="1">
      <c r="A21" s="85">
        <v>18</v>
      </c>
      <c r="B21" s="87"/>
      <c r="C21" s="89"/>
      <c r="D21" s="89"/>
      <c r="E21" s="94"/>
      <c r="F21" s="86"/>
      <c r="G21" s="91"/>
      <c r="H21" s="92"/>
      <c r="I21" s="92"/>
      <c r="J21" s="91"/>
      <c r="K21" s="86"/>
      <c r="L21" s="91"/>
      <c r="M21" s="91"/>
      <c r="N21" s="68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</row>
    <row r="22" spans="1:26" ht="15.75" customHeight="1">
      <c r="A22" s="85">
        <v>19</v>
      </c>
      <c r="B22" s="87"/>
      <c r="C22" s="89"/>
      <c r="D22" s="89"/>
      <c r="E22" s="93"/>
      <c r="F22" s="94"/>
      <c r="G22" s="92"/>
      <c r="H22" s="86"/>
      <c r="I22" s="91"/>
      <c r="J22" s="91"/>
      <c r="K22" s="86"/>
      <c r="L22" s="92"/>
      <c r="M22" s="91"/>
      <c r="N22" s="68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</row>
    <row r="23" spans="1:26" ht="14.4">
      <c r="A23" s="85">
        <v>20</v>
      </c>
      <c r="B23" s="94"/>
      <c r="C23" s="89"/>
      <c r="D23" s="94"/>
      <c r="E23" s="86"/>
      <c r="F23" s="94"/>
      <c r="G23" s="91"/>
      <c r="H23" s="86"/>
      <c r="I23" s="91"/>
      <c r="J23" s="86"/>
      <c r="K23" s="92"/>
      <c r="L23" s="91"/>
      <c r="M23" s="86"/>
      <c r="N23" s="68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</row>
    <row r="24" spans="1:26" ht="14.4">
      <c r="A24" s="85">
        <v>21</v>
      </c>
      <c r="B24" s="89"/>
      <c r="C24" s="89"/>
      <c r="D24" s="89"/>
      <c r="E24" s="94"/>
      <c r="F24" s="89"/>
      <c r="G24" s="93"/>
      <c r="H24" s="92"/>
      <c r="I24" s="92"/>
      <c r="J24" s="86"/>
      <c r="K24" s="92"/>
      <c r="L24" s="91"/>
      <c r="M24" s="86"/>
      <c r="N24" s="68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</row>
    <row r="25" spans="1:26" ht="14.4">
      <c r="A25" s="85">
        <v>22</v>
      </c>
      <c r="B25" s="89"/>
      <c r="C25" s="87"/>
      <c r="D25" s="88"/>
      <c r="E25" s="89"/>
      <c r="F25" s="94"/>
      <c r="G25" s="86"/>
      <c r="H25" s="92"/>
      <c r="I25" s="92"/>
      <c r="J25" s="92"/>
      <c r="K25" s="91"/>
      <c r="L25" s="93"/>
      <c r="M25" s="92"/>
      <c r="N25" s="68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</row>
    <row r="26" spans="1:26" ht="14.4">
      <c r="A26" s="85">
        <v>23</v>
      </c>
      <c r="B26" s="89"/>
      <c r="C26" s="87"/>
      <c r="D26" s="87"/>
      <c r="E26" s="89"/>
      <c r="F26" s="89"/>
      <c r="G26" s="92"/>
      <c r="H26" s="91"/>
      <c r="I26" s="93"/>
      <c r="J26" s="91"/>
      <c r="K26" s="92"/>
      <c r="L26" s="86"/>
      <c r="M26" s="91"/>
      <c r="N26" s="68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 spans="1:26" ht="14.4">
      <c r="A27" s="85">
        <v>24</v>
      </c>
      <c r="B27" s="94"/>
      <c r="C27" s="94"/>
      <c r="D27" s="89"/>
      <c r="E27" s="94"/>
      <c r="F27" s="86"/>
      <c r="G27" s="92"/>
      <c r="H27" s="92"/>
      <c r="I27" s="86"/>
      <c r="J27" s="91"/>
      <c r="K27" s="92"/>
      <c r="L27" s="92"/>
      <c r="M27" s="91"/>
      <c r="N27" s="68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 spans="1:26" ht="14.4">
      <c r="A28" s="85">
        <v>25</v>
      </c>
      <c r="B28" s="87"/>
      <c r="C28" s="94"/>
      <c r="D28" s="94"/>
      <c r="E28" s="89"/>
      <c r="F28" s="86"/>
      <c r="G28" s="92"/>
      <c r="H28" s="91"/>
      <c r="I28" s="92"/>
      <c r="J28" s="91"/>
      <c r="K28" s="93"/>
      <c r="L28" s="92"/>
      <c r="M28" s="91"/>
      <c r="N28" s="68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</row>
    <row r="29" spans="1:26" ht="14.4">
      <c r="A29" s="85">
        <v>26</v>
      </c>
      <c r="B29" s="88"/>
      <c r="C29" s="94"/>
      <c r="D29" s="94"/>
      <c r="E29" s="86"/>
      <c r="F29" s="89"/>
      <c r="G29" s="91"/>
      <c r="H29" s="86"/>
      <c r="I29" s="91"/>
      <c r="J29" s="92"/>
      <c r="K29" s="86"/>
      <c r="L29" s="91"/>
      <c r="M29" s="91"/>
      <c r="N29" s="68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</row>
    <row r="30" spans="1:26" ht="14.4">
      <c r="A30" s="85">
        <v>27</v>
      </c>
      <c r="B30" s="89"/>
      <c r="C30" s="89"/>
      <c r="D30" s="94"/>
      <c r="E30" s="86"/>
      <c r="F30" s="98"/>
      <c r="G30" s="92"/>
      <c r="H30" s="86"/>
      <c r="I30" s="91"/>
      <c r="J30" s="86"/>
      <c r="K30" s="92"/>
      <c r="L30" s="91"/>
      <c r="M30" s="86"/>
      <c r="N30" s="68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</row>
    <row r="31" spans="1:26" ht="14.4">
      <c r="A31" s="85">
        <v>28</v>
      </c>
      <c r="B31" s="89"/>
      <c r="C31" s="89"/>
      <c r="D31" s="89"/>
      <c r="E31" s="89"/>
      <c r="F31" s="98"/>
      <c r="G31" s="86"/>
      <c r="H31" s="86"/>
      <c r="I31" s="91"/>
      <c r="J31" s="86"/>
      <c r="K31" s="91"/>
      <c r="L31" s="91"/>
      <c r="M31" s="86"/>
      <c r="N31" s="68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 spans="1:26" ht="14.4">
      <c r="A32" s="85">
        <v>29</v>
      </c>
      <c r="B32" s="94"/>
      <c r="C32" s="87"/>
      <c r="D32" s="87"/>
      <c r="E32" s="89"/>
      <c r="F32" s="94"/>
      <c r="G32" s="86"/>
      <c r="H32" s="92"/>
      <c r="I32" s="92"/>
      <c r="J32" s="92"/>
      <c r="K32" s="91"/>
      <c r="L32" s="86"/>
      <c r="M32" s="92"/>
      <c r="N32" s="68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</row>
    <row r="33" spans="1:26" ht="14.4">
      <c r="A33" s="85">
        <v>30</v>
      </c>
      <c r="B33" s="94"/>
      <c r="C33" s="87"/>
      <c r="D33" s="87"/>
      <c r="E33" s="89"/>
      <c r="F33" s="98"/>
      <c r="G33" s="92"/>
      <c r="H33" s="92"/>
      <c r="I33" s="93"/>
      <c r="J33" s="91"/>
      <c r="K33" s="91"/>
      <c r="L33" s="86"/>
      <c r="M33" s="92"/>
      <c r="N33" s="68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 spans="1:26" ht="14.4">
      <c r="A34" s="85">
        <v>31</v>
      </c>
      <c r="B34" s="89"/>
      <c r="C34" s="87"/>
      <c r="D34" s="89"/>
      <c r="E34" s="86"/>
      <c r="F34" s="86"/>
      <c r="G34" s="86"/>
      <c r="H34" s="91"/>
      <c r="I34" s="86"/>
      <c r="J34" s="86"/>
      <c r="K34" s="91"/>
      <c r="L34" s="86"/>
      <c r="M34" s="86"/>
      <c r="N34" s="68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 spans="1:26" ht="14.4">
      <c r="A35" s="99"/>
      <c r="B35" s="79">
        <f>SUM(B4:B34)</f>
        <v>0</v>
      </c>
      <c r="C35" s="79">
        <f>SUM(C4:C34)</f>
        <v>0</v>
      </c>
      <c r="D35" s="79">
        <v>0</v>
      </c>
      <c r="E35" s="79">
        <f t="shared" ref="E35:M35" si="0">SUM(E4:E34)</f>
        <v>0</v>
      </c>
      <c r="F35" s="79">
        <f t="shared" si="0"/>
        <v>0</v>
      </c>
      <c r="G35" s="79">
        <f t="shared" si="0"/>
        <v>0</v>
      </c>
      <c r="H35" s="79">
        <f t="shared" si="0"/>
        <v>0</v>
      </c>
      <c r="I35" s="79">
        <f t="shared" si="0"/>
        <v>0</v>
      </c>
      <c r="J35" s="79">
        <f t="shared" si="0"/>
        <v>0</v>
      </c>
      <c r="K35" s="79">
        <f t="shared" si="0"/>
        <v>0</v>
      </c>
      <c r="L35" s="79">
        <f t="shared" si="0"/>
        <v>0</v>
      </c>
      <c r="M35" s="79">
        <f t="shared" si="0"/>
        <v>0</v>
      </c>
      <c r="N35" s="79">
        <f>SUM(B35:M35)</f>
        <v>0</v>
      </c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</row>
    <row r="36" spans="1:26" ht="14.4">
      <c r="A36" s="62" t="s">
        <v>32</v>
      </c>
      <c r="B36" s="69"/>
      <c r="C36" s="69"/>
      <c r="D36" s="101"/>
      <c r="E36" s="69"/>
      <c r="F36" s="69"/>
      <c r="G36" s="69"/>
      <c r="H36" s="69"/>
      <c r="I36" s="69"/>
      <c r="J36" s="69"/>
      <c r="K36" s="69"/>
      <c r="L36" s="69"/>
      <c r="M36" s="69"/>
      <c r="N36" s="68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 spans="1:26" ht="14.4">
      <c r="A37" s="62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8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 spans="1:26" ht="14.4">
      <c r="A38" s="69" t="s">
        <v>33</v>
      </c>
      <c r="B38" s="102">
        <f>(B35/N40)*100</f>
        <v>0</v>
      </c>
      <c r="C38" s="102">
        <f>(C35/N40)*100</f>
        <v>0</v>
      </c>
      <c r="D38" s="102">
        <f>(D35/N40)*100</f>
        <v>0</v>
      </c>
      <c r="E38" s="102">
        <f>(E35/N40)*100</f>
        <v>0</v>
      </c>
      <c r="F38" s="102">
        <f>(F35/N40)*100</f>
        <v>0</v>
      </c>
      <c r="G38" s="102">
        <f>(G35/N40)*100</f>
        <v>0</v>
      </c>
      <c r="H38" s="102">
        <f>(H35/N40)*100</f>
        <v>0</v>
      </c>
      <c r="I38" s="102">
        <f>(I35/N40)*100</f>
        <v>0</v>
      </c>
      <c r="J38" s="102">
        <f>(J35/N40)*100</f>
        <v>0</v>
      </c>
      <c r="K38" s="102">
        <f>(K35/N40)*100</f>
        <v>0</v>
      </c>
      <c r="L38" s="102">
        <f>(L35/N40)*100</f>
        <v>0</v>
      </c>
      <c r="M38" s="102">
        <f>(M35/N40)*100</f>
        <v>0</v>
      </c>
      <c r="N38" s="102">
        <f>(N35/N40)*100</f>
        <v>0</v>
      </c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</row>
    <row r="39" spans="1:26" ht="14.4">
      <c r="A39" s="69"/>
      <c r="B39" s="101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 t="s">
        <v>35</v>
      </c>
      <c r="N39" s="101">
        <v>12000000</v>
      </c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</row>
    <row r="40" spans="1:26" ht="14.4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 t="s">
        <v>34</v>
      </c>
      <c r="N40" s="101">
        <v>2000000</v>
      </c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 spans="1:26" ht="14.4">
      <c r="A41" s="69" t="s">
        <v>36</v>
      </c>
      <c r="B41" s="103"/>
      <c r="C41" s="103"/>
      <c r="D41" s="103"/>
      <c r="E41" s="103"/>
      <c r="F41" s="101"/>
      <c r="G41" s="104"/>
      <c r="H41" s="104">
        <f>H35-N40</f>
        <v>-2000000</v>
      </c>
      <c r="I41" s="104">
        <f>I35-N40</f>
        <v>-2000000</v>
      </c>
      <c r="J41" s="104">
        <f>J35-N40</f>
        <v>-2000000</v>
      </c>
      <c r="K41" s="104">
        <f>K35-N40</f>
        <v>-2000000</v>
      </c>
      <c r="L41" s="104">
        <f>L35-N40</f>
        <v>-2000000</v>
      </c>
      <c r="M41" s="104">
        <f>M35-N40</f>
        <v>-2000000</v>
      </c>
      <c r="N41" s="101">
        <f>SUM(B41:M41)</f>
        <v>-12000000</v>
      </c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 spans="1:26" ht="13.8">
      <c r="A42" s="80"/>
      <c r="B42" s="80"/>
      <c r="C42" s="100"/>
      <c r="D42" s="10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</row>
    <row r="43" spans="1:26" ht="13.8">
      <c r="A43" s="80"/>
      <c r="B43" s="80"/>
      <c r="C43" s="100"/>
      <c r="D43" s="10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</row>
    <row r="44" spans="1:26" ht="13.8">
      <c r="A44" s="80"/>
      <c r="B44" s="80"/>
      <c r="C44" s="100"/>
      <c r="D44" s="10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</row>
    <row r="45" spans="1:26" ht="13.8">
      <c r="A45" s="80"/>
      <c r="B45" s="80"/>
      <c r="C45" s="100"/>
      <c r="D45" s="10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</row>
    <row r="46" spans="1:26" ht="13.8">
      <c r="A46" s="80"/>
      <c r="B46" s="80"/>
      <c r="C46" s="100"/>
      <c r="D46" s="10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</row>
    <row r="47" spans="1:26" ht="13.8">
      <c r="A47" s="80"/>
      <c r="B47" s="80"/>
      <c r="C47" s="100"/>
      <c r="D47" s="10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</row>
    <row r="48" spans="1:26" ht="13.8">
      <c r="A48" s="80"/>
      <c r="B48" s="80"/>
      <c r="C48" s="100"/>
      <c r="D48" s="10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</row>
    <row r="49" spans="1:26" ht="13.8">
      <c r="A49" s="80"/>
      <c r="B49" s="80"/>
      <c r="C49" s="100"/>
      <c r="D49" s="10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</row>
    <row r="50" spans="1:26" ht="13.8">
      <c r="A50" s="80"/>
      <c r="B50" s="80"/>
      <c r="C50" s="100"/>
      <c r="D50" s="10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</row>
    <row r="51" spans="1:26" ht="13.8">
      <c r="A51" s="80"/>
      <c r="B51" s="80"/>
      <c r="C51" s="100"/>
      <c r="D51" s="10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</row>
    <row r="52" spans="1:26" ht="13.8">
      <c r="A52" s="80"/>
      <c r="B52" s="80"/>
      <c r="C52" s="100"/>
      <c r="D52" s="10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</row>
    <row r="53" spans="1:26" ht="13.8">
      <c r="A53" s="80"/>
      <c r="B53" s="80"/>
      <c r="C53" s="100"/>
      <c r="D53" s="10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</row>
    <row r="54" spans="1:26" ht="13.8">
      <c r="A54" s="80"/>
      <c r="B54" s="80"/>
      <c r="C54" s="100"/>
      <c r="D54" s="10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</row>
    <row r="55" spans="1:26" ht="13.8">
      <c r="A55" s="80"/>
      <c r="B55" s="80"/>
      <c r="C55" s="100"/>
      <c r="D55" s="10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</row>
    <row r="56" spans="1:26" ht="13.8">
      <c r="A56" s="80"/>
      <c r="B56" s="80"/>
      <c r="C56" s="100"/>
      <c r="D56" s="10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</row>
    <row r="57" spans="1:26" ht="13.8">
      <c r="A57" s="80"/>
      <c r="B57" s="80"/>
      <c r="C57" s="100"/>
      <c r="D57" s="10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</row>
    <row r="58" spans="1:26" ht="13.8">
      <c r="A58" s="80"/>
      <c r="B58" s="80"/>
      <c r="C58" s="100"/>
      <c r="D58" s="10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</row>
    <row r="59" spans="1:26" ht="13.8">
      <c r="A59" s="80"/>
      <c r="B59" s="80"/>
      <c r="C59" s="100"/>
      <c r="D59" s="10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</row>
    <row r="60" spans="1:26" ht="13.8">
      <c r="A60" s="80"/>
      <c r="B60" s="80"/>
      <c r="C60" s="100"/>
      <c r="D60" s="10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</row>
    <row r="61" spans="1:26" ht="13.8">
      <c r="A61" s="80"/>
      <c r="B61" s="80"/>
      <c r="C61" s="100"/>
      <c r="D61" s="10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</row>
    <row r="62" spans="1:26" ht="13.8">
      <c r="A62" s="80"/>
      <c r="B62" s="80"/>
      <c r="C62" s="100"/>
      <c r="D62" s="10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</row>
    <row r="63" spans="1:26" ht="13.8">
      <c r="A63" s="80"/>
      <c r="B63" s="80"/>
      <c r="C63" s="100"/>
      <c r="D63" s="10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</row>
    <row r="64" spans="1:26" ht="13.8">
      <c r="A64" s="80"/>
      <c r="B64" s="80"/>
      <c r="C64" s="100"/>
      <c r="D64" s="10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</row>
    <row r="65" spans="1:26" ht="13.8">
      <c r="A65" s="80"/>
      <c r="B65" s="80"/>
      <c r="C65" s="100"/>
      <c r="D65" s="10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</row>
    <row r="66" spans="1:26" ht="13.8">
      <c r="A66" s="80"/>
      <c r="B66" s="80"/>
      <c r="C66" s="100"/>
      <c r="D66" s="10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</row>
    <row r="67" spans="1:26" ht="13.8">
      <c r="A67" s="80"/>
      <c r="B67" s="80"/>
      <c r="C67" s="100"/>
      <c r="D67" s="10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</row>
    <row r="68" spans="1:26" ht="13.8">
      <c r="A68" s="80"/>
      <c r="B68" s="80"/>
      <c r="C68" s="100"/>
      <c r="D68" s="10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</row>
    <row r="69" spans="1:26" ht="13.8">
      <c r="A69" s="80"/>
      <c r="B69" s="80"/>
      <c r="C69" s="100"/>
      <c r="D69" s="10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</row>
    <row r="70" spans="1:26" ht="13.8">
      <c r="A70" s="80"/>
      <c r="B70" s="80"/>
      <c r="C70" s="100"/>
      <c r="D70" s="10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</row>
    <row r="71" spans="1:26" ht="13.8">
      <c r="A71" s="80"/>
      <c r="B71" s="80"/>
      <c r="C71" s="100"/>
      <c r="D71" s="10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</row>
    <row r="72" spans="1:26" ht="13.8">
      <c r="A72" s="80"/>
      <c r="B72" s="80"/>
      <c r="C72" s="100"/>
      <c r="D72" s="10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</row>
    <row r="73" spans="1:26" ht="13.8">
      <c r="A73" s="80"/>
      <c r="B73" s="80"/>
      <c r="C73" s="100"/>
      <c r="D73" s="10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</row>
    <row r="74" spans="1:26" ht="13.8">
      <c r="A74" s="80"/>
      <c r="B74" s="80"/>
      <c r="C74" s="100"/>
      <c r="D74" s="10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</row>
    <row r="75" spans="1:26" ht="13.8">
      <c r="A75" s="80"/>
      <c r="B75" s="80"/>
      <c r="C75" s="100"/>
      <c r="D75" s="10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</row>
    <row r="76" spans="1:26" ht="13.8">
      <c r="A76" s="80"/>
      <c r="B76" s="80"/>
      <c r="C76" s="100"/>
      <c r="D76" s="10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</row>
    <row r="77" spans="1:26" ht="13.8">
      <c r="A77" s="80"/>
      <c r="B77" s="80"/>
      <c r="C77" s="100"/>
      <c r="D77" s="10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</row>
    <row r="78" spans="1:26" ht="13.8">
      <c r="A78" s="80"/>
      <c r="B78" s="80"/>
      <c r="C78" s="100"/>
      <c r="D78" s="10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</row>
    <row r="79" spans="1:26" ht="13.8">
      <c r="A79" s="80"/>
      <c r="B79" s="80"/>
      <c r="C79" s="100"/>
      <c r="D79" s="10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</row>
    <row r="80" spans="1:26" ht="13.8">
      <c r="A80" s="80"/>
      <c r="B80" s="80"/>
      <c r="C80" s="100"/>
      <c r="D80" s="10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</row>
    <row r="81" spans="1:26" ht="13.8">
      <c r="A81" s="80"/>
      <c r="B81" s="80"/>
      <c r="C81" s="100"/>
      <c r="D81" s="10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</row>
    <row r="82" spans="1:26" ht="13.8">
      <c r="A82" s="80"/>
      <c r="B82" s="80"/>
      <c r="C82" s="100"/>
      <c r="D82" s="10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 spans="1:26" ht="13.8">
      <c r="A83" s="80"/>
      <c r="B83" s="80"/>
      <c r="C83" s="100"/>
      <c r="D83" s="10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</row>
    <row r="84" spans="1:26" ht="13.8">
      <c r="A84" s="80"/>
      <c r="B84" s="80"/>
      <c r="C84" s="100"/>
      <c r="D84" s="10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</row>
    <row r="85" spans="1:26" ht="13.8">
      <c r="A85" s="80"/>
      <c r="B85" s="80"/>
      <c r="C85" s="100"/>
      <c r="D85" s="10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</row>
    <row r="86" spans="1:26" ht="13.8">
      <c r="A86" s="80"/>
      <c r="B86" s="80"/>
      <c r="C86" s="100"/>
      <c r="D86" s="10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</row>
    <row r="87" spans="1:26" ht="13.8">
      <c r="A87" s="80"/>
      <c r="B87" s="80"/>
      <c r="C87" s="100"/>
      <c r="D87" s="10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</row>
    <row r="88" spans="1:26" ht="13.8">
      <c r="A88" s="80"/>
      <c r="B88" s="80"/>
      <c r="C88" s="100"/>
      <c r="D88" s="10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</row>
    <row r="89" spans="1:26" ht="13.8">
      <c r="A89" s="80"/>
      <c r="B89" s="80"/>
      <c r="C89" s="100"/>
      <c r="D89" s="10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 spans="1:26" ht="13.8">
      <c r="A90" s="80"/>
      <c r="B90" s="80"/>
      <c r="C90" s="100"/>
      <c r="D90" s="10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 spans="1:26" ht="13.8">
      <c r="A91" s="80"/>
      <c r="B91" s="80"/>
      <c r="C91" s="100"/>
      <c r="D91" s="10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</row>
    <row r="92" spans="1:26" ht="13.8">
      <c r="A92" s="80"/>
      <c r="B92" s="80"/>
      <c r="C92" s="100"/>
      <c r="D92" s="10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</row>
    <row r="93" spans="1:26" ht="13.8">
      <c r="A93" s="80"/>
      <c r="B93" s="80"/>
      <c r="C93" s="100"/>
      <c r="D93" s="10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</row>
    <row r="94" spans="1:26" ht="13.8">
      <c r="A94" s="80"/>
      <c r="B94" s="80"/>
      <c r="C94" s="100"/>
      <c r="D94" s="10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</row>
    <row r="95" spans="1:26" ht="13.8">
      <c r="A95" s="80"/>
      <c r="B95" s="80"/>
      <c r="C95" s="100"/>
      <c r="D95" s="10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</row>
    <row r="96" spans="1:26" ht="13.8">
      <c r="A96" s="80"/>
      <c r="B96" s="80"/>
      <c r="C96" s="100"/>
      <c r="D96" s="10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 spans="1:26" ht="13.8">
      <c r="A97" s="80"/>
      <c r="B97" s="80"/>
      <c r="C97" s="100"/>
      <c r="D97" s="10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 spans="1:26" ht="13.8">
      <c r="A98" s="80"/>
      <c r="B98" s="80"/>
      <c r="C98" s="100"/>
      <c r="D98" s="10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</row>
    <row r="99" spans="1:26" ht="13.8">
      <c r="A99" s="80"/>
      <c r="B99" s="80"/>
      <c r="C99" s="100"/>
      <c r="D99" s="10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</row>
    <row r="100" spans="1:26" ht="13.8">
      <c r="A100" s="80"/>
      <c r="B100" s="80"/>
      <c r="C100" s="100"/>
      <c r="D100" s="10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</row>
    <row r="101" spans="1:26" ht="13.8">
      <c r="A101" s="80"/>
      <c r="B101" s="80"/>
      <c r="C101" s="100"/>
      <c r="D101" s="10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</row>
    <row r="102" spans="1:26" ht="13.8">
      <c r="A102" s="80"/>
      <c r="B102" s="80"/>
      <c r="C102" s="100"/>
      <c r="D102" s="10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</row>
    <row r="103" spans="1:26" ht="13.8">
      <c r="A103" s="80"/>
      <c r="B103" s="80"/>
      <c r="C103" s="100"/>
      <c r="D103" s="10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 spans="1:26" ht="13.8">
      <c r="A104" s="80"/>
      <c r="B104" s="80"/>
      <c r="C104" s="100"/>
      <c r="D104" s="10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 spans="1:26" ht="13.8">
      <c r="A105" s="80"/>
      <c r="B105" s="80"/>
      <c r="C105" s="100"/>
      <c r="D105" s="10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</row>
    <row r="106" spans="1:26" ht="13.8">
      <c r="A106" s="80"/>
      <c r="B106" s="80"/>
      <c r="C106" s="100"/>
      <c r="D106" s="10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</row>
    <row r="107" spans="1:26" ht="13.8">
      <c r="A107" s="80"/>
      <c r="B107" s="80"/>
      <c r="C107" s="100"/>
      <c r="D107" s="10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</row>
    <row r="108" spans="1:26" ht="13.8">
      <c r="A108" s="80"/>
      <c r="B108" s="80"/>
      <c r="C108" s="100"/>
      <c r="D108" s="10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</row>
    <row r="109" spans="1:26" ht="13.8">
      <c r="A109" s="80"/>
      <c r="B109" s="80"/>
      <c r="C109" s="100"/>
      <c r="D109" s="10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</row>
    <row r="110" spans="1:26" ht="13.8">
      <c r="A110" s="80"/>
      <c r="B110" s="80"/>
      <c r="C110" s="100"/>
      <c r="D110" s="10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</row>
    <row r="111" spans="1:26" ht="13.8">
      <c r="A111" s="80"/>
      <c r="B111" s="80"/>
      <c r="C111" s="100"/>
      <c r="D111" s="10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</row>
    <row r="112" spans="1:26" ht="13.8">
      <c r="A112" s="80"/>
      <c r="B112" s="80"/>
      <c r="C112" s="100"/>
      <c r="D112" s="10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</row>
    <row r="113" spans="1:26" ht="13.8">
      <c r="A113" s="80"/>
      <c r="B113" s="80"/>
      <c r="C113" s="100"/>
      <c r="D113" s="10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</row>
    <row r="114" spans="1:26" ht="13.8">
      <c r="A114" s="80"/>
      <c r="B114" s="80"/>
      <c r="C114" s="100"/>
      <c r="D114" s="10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</row>
    <row r="115" spans="1:26" ht="13.8">
      <c r="A115" s="80"/>
      <c r="B115" s="80"/>
      <c r="C115" s="100"/>
      <c r="D115" s="10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</row>
    <row r="116" spans="1:26" ht="13.8">
      <c r="A116" s="80"/>
      <c r="B116" s="80"/>
      <c r="C116" s="100"/>
      <c r="D116" s="10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</row>
    <row r="117" spans="1:26" ht="13.8">
      <c r="A117" s="80"/>
      <c r="B117" s="80"/>
      <c r="C117" s="100"/>
      <c r="D117" s="10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 spans="1:26" ht="13.8">
      <c r="A118" s="80"/>
      <c r="B118" s="80"/>
      <c r="C118" s="100"/>
      <c r="D118" s="10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 spans="1:26" ht="13.8">
      <c r="A119" s="80"/>
      <c r="B119" s="80"/>
      <c r="C119" s="100"/>
      <c r="D119" s="10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</row>
    <row r="120" spans="1:26" ht="13.8">
      <c r="A120" s="80"/>
      <c r="B120" s="80"/>
      <c r="C120" s="100"/>
      <c r="D120" s="10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</row>
    <row r="121" spans="1:26" ht="13.8">
      <c r="A121" s="80"/>
      <c r="B121" s="80"/>
      <c r="C121" s="100"/>
      <c r="D121" s="10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</row>
    <row r="122" spans="1:26" ht="13.8">
      <c r="A122" s="80"/>
      <c r="B122" s="80"/>
      <c r="C122" s="100"/>
      <c r="D122" s="10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</row>
    <row r="123" spans="1:26" ht="13.8">
      <c r="A123" s="80"/>
      <c r="B123" s="80"/>
      <c r="C123" s="100"/>
      <c r="D123" s="10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</row>
    <row r="124" spans="1:26" ht="13.8">
      <c r="A124" s="80"/>
      <c r="B124" s="80"/>
      <c r="C124" s="100"/>
      <c r="D124" s="10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</row>
    <row r="125" spans="1:26" ht="13.8">
      <c r="A125" s="80"/>
      <c r="B125" s="80"/>
      <c r="C125" s="100"/>
      <c r="D125" s="10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 spans="1:26" ht="13.8">
      <c r="A126" s="80"/>
      <c r="B126" s="80"/>
      <c r="C126" s="100"/>
      <c r="D126" s="10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</row>
    <row r="127" spans="1:26" ht="13.8">
      <c r="A127" s="80"/>
      <c r="B127" s="80"/>
      <c r="C127" s="100"/>
      <c r="D127" s="10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</row>
    <row r="128" spans="1:26" ht="13.8">
      <c r="A128" s="80"/>
      <c r="B128" s="80"/>
      <c r="C128" s="100"/>
      <c r="D128" s="10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</row>
    <row r="129" spans="1:26" ht="13.8">
      <c r="A129" s="80"/>
      <c r="B129" s="80"/>
      <c r="C129" s="100"/>
      <c r="D129" s="10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</row>
    <row r="130" spans="1:26" ht="13.8">
      <c r="A130" s="80"/>
      <c r="B130" s="80"/>
      <c r="C130" s="100"/>
      <c r="D130" s="10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</row>
    <row r="131" spans="1:26" ht="13.8">
      <c r="A131" s="80"/>
      <c r="B131" s="80"/>
      <c r="C131" s="100"/>
      <c r="D131" s="10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</row>
    <row r="132" spans="1:26" ht="13.8">
      <c r="A132" s="80"/>
      <c r="B132" s="80"/>
      <c r="C132" s="100"/>
      <c r="D132" s="10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 spans="1:26" ht="13.8">
      <c r="A133" s="80"/>
      <c r="B133" s="80"/>
      <c r="C133" s="100"/>
      <c r="D133" s="10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</row>
    <row r="134" spans="1:26" ht="13.8">
      <c r="A134" s="80"/>
      <c r="B134" s="80"/>
      <c r="C134" s="100"/>
      <c r="D134" s="10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</row>
    <row r="135" spans="1:26" ht="13.8">
      <c r="A135" s="80"/>
      <c r="B135" s="80"/>
      <c r="C135" s="100"/>
      <c r="D135" s="10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</row>
    <row r="136" spans="1:26" ht="13.8">
      <c r="A136" s="80"/>
      <c r="B136" s="80"/>
      <c r="C136" s="100"/>
      <c r="D136" s="10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</row>
    <row r="137" spans="1:26" ht="13.8">
      <c r="A137" s="80"/>
      <c r="B137" s="80"/>
      <c r="C137" s="100"/>
      <c r="D137" s="10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</row>
    <row r="138" spans="1:26" ht="13.8">
      <c r="A138" s="80"/>
      <c r="B138" s="80"/>
      <c r="C138" s="100"/>
      <c r="D138" s="10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 spans="1:26" ht="13.8">
      <c r="A139" s="80"/>
      <c r="B139" s="80"/>
      <c r="C139" s="100"/>
      <c r="D139" s="10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 spans="1:26" ht="13.8">
      <c r="A140" s="80"/>
      <c r="B140" s="80"/>
      <c r="C140" s="100"/>
      <c r="D140" s="10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</row>
    <row r="141" spans="1:26" ht="13.8">
      <c r="A141" s="80"/>
      <c r="B141" s="80"/>
      <c r="C141" s="100"/>
      <c r="D141" s="10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</row>
    <row r="142" spans="1:26" ht="13.8">
      <c r="A142" s="80"/>
      <c r="B142" s="80"/>
      <c r="C142" s="100"/>
      <c r="D142" s="10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</row>
    <row r="143" spans="1:26" ht="13.8">
      <c r="A143" s="80"/>
      <c r="B143" s="80"/>
      <c r="C143" s="100"/>
      <c r="D143" s="10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</row>
    <row r="144" spans="1:26" ht="13.8">
      <c r="A144" s="80"/>
      <c r="B144" s="80"/>
      <c r="C144" s="100"/>
      <c r="D144" s="10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</row>
    <row r="145" spans="1:26" ht="13.8">
      <c r="A145" s="80"/>
      <c r="B145" s="80"/>
      <c r="C145" s="100"/>
      <c r="D145" s="10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 spans="1:26" ht="13.8">
      <c r="A146" s="80"/>
      <c r="B146" s="80"/>
      <c r="C146" s="100"/>
      <c r="D146" s="10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 spans="1:26" ht="13.8">
      <c r="A147" s="80"/>
      <c r="B147" s="80"/>
      <c r="C147" s="100"/>
      <c r="D147" s="10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</row>
    <row r="148" spans="1:26" ht="13.8">
      <c r="A148" s="80"/>
      <c r="B148" s="80"/>
      <c r="C148" s="100"/>
      <c r="D148" s="10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</row>
    <row r="149" spans="1:26" ht="13.8">
      <c r="A149" s="80"/>
      <c r="B149" s="80"/>
      <c r="C149" s="100"/>
      <c r="D149" s="10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</row>
    <row r="150" spans="1:26" ht="13.8">
      <c r="A150" s="80"/>
      <c r="B150" s="80"/>
      <c r="C150" s="100"/>
      <c r="D150" s="10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</row>
    <row r="151" spans="1:26" ht="13.8">
      <c r="A151" s="80"/>
      <c r="B151" s="80"/>
      <c r="C151" s="100"/>
      <c r="D151" s="10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</row>
    <row r="152" spans="1:26" ht="13.8">
      <c r="A152" s="80"/>
      <c r="B152" s="80"/>
      <c r="C152" s="100"/>
      <c r="D152" s="10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</row>
    <row r="153" spans="1:26" ht="13.8">
      <c r="A153" s="80"/>
      <c r="B153" s="80"/>
      <c r="C153" s="100"/>
      <c r="D153" s="10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</row>
    <row r="154" spans="1:26" ht="13.8">
      <c r="A154" s="80"/>
      <c r="B154" s="80"/>
      <c r="C154" s="100"/>
      <c r="D154" s="10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</row>
    <row r="155" spans="1:26" ht="13.8">
      <c r="A155" s="80"/>
      <c r="B155" s="80"/>
      <c r="C155" s="100"/>
      <c r="D155" s="10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</row>
    <row r="156" spans="1:26" ht="13.8">
      <c r="A156" s="80"/>
      <c r="B156" s="80"/>
      <c r="C156" s="100"/>
      <c r="D156" s="10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</row>
    <row r="157" spans="1:26" ht="13.8">
      <c r="A157" s="80"/>
      <c r="B157" s="80"/>
      <c r="C157" s="100"/>
      <c r="D157" s="10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</row>
    <row r="158" spans="1:26" ht="13.8">
      <c r="A158" s="80"/>
      <c r="B158" s="80"/>
      <c r="C158" s="100"/>
      <c r="D158" s="10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</row>
    <row r="159" spans="1:26" ht="13.8">
      <c r="A159" s="80"/>
      <c r="B159" s="80"/>
      <c r="C159" s="100"/>
      <c r="D159" s="10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</row>
    <row r="160" spans="1:26" ht="13.8">
      <c r="A160" s="80"/>
      <c r="B160" s="80"/>
      <c r="C160" s="100"/>
      <c r="D160" s="10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</row>
    <row r="161" spans="1:26" ht="13.8">
      <c r="A161" s="80"/>
      <c r="B161" s="80"/>
      <c r="C161" s="100"/>
      <c r="D161" s="10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</row>
    <row r="162" spans="1:26" ht="13.8">
      <c r="A162" s="80"/>
      <c r="B162" s="80"/>
      <c r="C162" s="100"/>
      <c r="D162" s="10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</row>
    <row r="163" spans="1:26" ht="13.8">
      <c r="A163" s="80"/>
      <c r="B163" s="80"/>
      <c r="C163" s="100"/>
      <c r="D163" s="10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</row>
    <row r="164" spans="1:26" ht="13.8">
      <c r="A164" s="80"/>
      <c r="B164" s="80"/>
      <c r="C164" s="100"/>
      <c r="D164" s="10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</row>
    <row r="165" spans="1:26" ht="13.8">
      <c r="A165" s="80"/>
      <c r="B165" s="80"/>
      <c r="C165" s="100"/>
      <c r="D165" s="10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</row>
    <row r="166" spans="1:26" ht="13.8">
      <c r="A166" s="80"/>
      <c r="B166" s="80"/>
      <c r="C166" s="100"/>
      <c r="D166" s="10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</row>
    <row r="167" spans="1:26" ht="13.8">
      <c r="A167" s="80"/>
      <c r="B167" s="80"/>
      <c r="C167" s="100"/>
      <c r="D167" s="10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</row>
    <row r="168" spans="1:26" ht="13.8">
      <c r="A168" s="80"/>
      <c r="B168" s="80"/>
      <c r="C168" s="100"/>
      <c r="D168" s="10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</row>
    <row r="169" spans="1:26" ht="13.8">
      <c r="A169" s="80"/>
      <c r="B169" s="80"/>
      <c r="C169" s="100"/>
      <c r="D169" s="10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</row>
    <row r="170" spans="1:26" ht="13.8">
      <c r="A170" s="80"/>
      <c r="B170" s="80"/>
      <c r="C170" s="100"/>
      <c r="D170" s="10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</row>
    <row r="171" spans="1:26" ht="13.8">
      <c r="A171" s="80"/>
      <c r="B171" s="80"/>
      <c r="C171" s="100"/>
      <c r="D171" s="10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</row>
    <row r="172" spans="1:26" ht="13.8">
      <c r="A172" s="80"/>
      <c r="B172" s="80"/>
      <c r="C172" s="100"/>
      <c r="D172" s="10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</row>
    <row r="173" spans="1:26" ht="13.8">
      <c r="A173" s="80"/>
      <c r="B173" s="80"/>
      <c r="C173" s="100"/>
      <c r="D173" s="10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</row>
    <row r="174" spans="1:26" ht="13.8">
      <c r="A174" s="80"/>
      <c r="B174" s="80"/>
      <c r="C174" s="100"/>
      <c r="D174" s="10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</row>
    <row r="175" spans="1:26" ht="13.8">
      <c r="A175" s="80"/>
      <c r="B175" s="80"/>
      <c r="C175" s="100"/>
      <c r="D175" s="10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</row>
    <row r="176" spans="1:26" ht="13.8">
      <c r="A176" s="80"/>
      <c r="B176" s="80"/>
      <c r="C176" s="100"/>
      <c r="D176" s="10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</row>
    <row r="177" spans="1:26" ht="13.8">
      <c r="A177" s="80"/>
      <c r="B177" s="80"/>
      <c r="C177" s="100"/>
      <c r="D177" s="10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</row>
    <row r="178" spans="1:26" ht="13.8">
      <c r="A178" s="80"/>
      <c r="B178" s="80"/>
      <c r="C178" s="100"/>
      <c r="D178" s="10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</row>
    <row r="179" spans="1:26" ht="13.8">
      <c r="A179" s="80"/>
      <c r="B179" s="80"/>
      <c r="C179" s="100"/>
      <c r="D179" s="10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</row>
    <row r="180" spans="1:26" ht="13.8">
      <c r="A180" s="80"/>
      <c r="B180" s="80"/>
      <c r="C180" s="100"/>
      <c r="D180" s="10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</row>
    <row r="181" spans="1:26" ht="13.8">
      <c r="A181" s="80"/>
      <c r="B181" s="80"/>
      <c r="C181" s="100"/>
      <c r="D181" s="10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</row>
    <row r="182" spans="1:26" ht="13.8">
      <c r="A182" s="80"/>
      <c r="B182" s="80"/>
      <c r="C182" s="100"/>
      <c r="D182" s="10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</row>
    <row r="183" spans="1:26" ht="13.8">
      <c r="A183" s="80"/>
      <c r="B183" s="80"/>
      <c r="C183" s="100"/>
      <c r="D183" s="10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</row>
    <row r="184" spans="1:26" ht="13.8">
      <c r="A184" s="80"/>
      <c r="B184" s="80"/>
      <c r="C184" s="100"/>
      <c r="D184" s="10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</row>
    <row r="185" spans="1:26" ht="13.8">
      <c r="A185" s="80"/>
      <c r="B185" s="80"/>
      <c r="C185" s="100"/>
      <c r="D185" s="10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</row>
    <row r="186" spans="1:26" ht="13.8">
      <c r="A186" s="80"/>
      <c r="B186" s="80"/>
      <c r="C186" s="100"/>
      <c r="D186" s="10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</row>
    <row r="187" spans="1:26" ht="13.8">
      <c r="A187" s="80"/>
      <c r="B187" s="80"/>
      <c r="C187" s="100"/>
      <c r="D187" s="10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</row>
    <row r="188" spans="1:26" ht="13.8">
      <c r="A188" s="80"/>
      <c r="B188" s="80"/>
      <c r="C188" s="100"/>
      <c r="D188" s="10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</row>
    <row r="189" spans="1:26" ht="13.8">
      <c r="A189" s="80"/>
      <c r="B189" s="80"/>
      <c r="C189" s="100"/>
      <c r="D189" s="10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</row>
    <row r="190" spans="1:26" ht="13.8">
      <c r="A190" s="80"/>
      <c r="B190" s="80"/>
      <c r="C190" s="100"/>
      <c r="D190" s="10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</row>
    <row r="191" spans="1:26" ht="13.8">
      <c r="A191" s="80"/>
      <c r="B191" s="80"/>
      <c r="C191" s="100"/>
      <c r="D191" s="10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</row>
    <row r="192" spans="1:26" ht="13.8">
      <c r="A192" s="80"/>
      <c r="B192" s="80"/>
      <c r="C192" s="100"/>
      <c r="D192" s="10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</row>
    <row r="193" spans="1:26" ht="13.8">
      <c r="A193" s="80"/>
      <c r="B193" s="80"/>
      <c r="C193" s="100"/>
      <c r="D193" s="10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</row>
    <row r="194" spans="1:26" ht="13.8">
      <c r="A194" s="80"/>
      <c r="B194" s="80"/>
      <c r="C194" s="100"/>
      <c r="D194" s="10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</row>
    <row r="195" spans="1:26" ht="13.8">
      <c r="A195" s="80"/>
      <c r="B195" s="80"/>
      <c r="C195" s="100"/>
      <c r="D195" s="10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</row>
    <row r="196" spans="1:26" ht="13.8">
      <c r="A196" s="80"/>
      <c r="B196" s="80"/>
      <c r="C196" s="100"/>
      <c r="D196" s="10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</row>
    <row r="197" spans="1:26" ht="13.8">
      <c r="A197" s="80"/>
      <c r="B197" s="80"/>
      <c r="C197" s="100"/>
      <c r="D197" s="10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</row>
    <row r="198" spans="1:26" ht="13.8">
      <c r="A198" s="80"/>
      <c r="B198" s="80"/>
      <c r="C198" s="100"/>
      <c r="D198" s="10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</row>
    <row r="199" spans="1:26" ht="13.8">
      <c r="A199" s="80"/>
      <c r="B199" s="80"/>
      <c r="C199" s="100"/>
      <c r="D199" s="10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</row>
    <row r="200" spans="1:26" ht="13.8">
      <c r="A200" s="80"/>
      <c r="B200" s="80"/>
      <c r="C200" s="100"/>
      <c r="D200" s="10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</row>
    <row r="201" spans="1:26" ht="13.8">
      <c r="A201" s="80"/>
      <c r="B201" s="80"/>
      <c r="C201" s="100"/>
      <c r="D201" s="10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</row>
    <row r="202" spans="1:26" ht="13.8">
      <c r="A202" s="80"/>
      <c r="B202" s="80"/>
      <c r="C202" s="100"/>
      <c r="D202" s="10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</row>
    <row r="203" spans="1:26" ht="13.8">
      <c r="A203" s="80"/>
      <c r="B203" s="80"/>
      <c r="C203" s="100"/>
      <c r="D203" s="10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</row>
    <row r="204" spans="1:26" ht="13.8">
      <c r="A204" s="80"/>
      <c r="B204" s="80"/>
      <c r="C204" s="100"/>
      <c r="D204" s="10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</row>
    <row r="205" spans="1:26" ht="13.8">
      <c r="A205" s="80"/>
      <c r="B205" s="80"/>
      <c r="C205" s="100"/>
      <c r="D205" s="10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</row>
    <row r="206" spans="1:26" ht="13.8">
      <c r="A206" s="80"/>
      <c r="B206" s="80"/>
      <c r="C206" s="100"/>
      <c r="D206" s="10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</row>
    <row r="207" spans="1:26" ht="13.8">
      <c r="A207" s="80"/>
      <c r="B207" s="80"/>
      <c r="C207" s="100"/>
      <c r="D207" s="10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</row>
    <row r="208" spans="1:26" ht="13.8">
      <c r="A208" s="80"/>
      <c r="B208" s="80"/>
      <c r="C208" s="100"/>
      <c r="D208" s="10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</row>
    <row r="209" spans="1:26" ht="13.8">
      <c r="A209" s="80"/>
      <c r="B209" s="80"/>
      <c r="C209" s="100"/>
      <c r="D209" s="10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</row>
    <row r="210" spans="1:26" ht="13.8">
      <c r="A210" s="80"/>
      <c r="B210" s="80"/>
      <c r="C210" s="100"/>
      <c r="D210" s="10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</row>
    <row r="211" spans="1:26" ht="13.8">
      <c r="A211" s="80"/>
      <c r="B211" s="80"/>
      <c r="C211" s="100"/>
      <c r="D211" s="10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</row>
    <row r="212" spans="1:26" ht="13.8">
      <c r="A212" s="80"/>
      <c r="B212" s="80"/>
      <c r="C212" s="100"/>
      <c r="D212" s="10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</row>
    <row r="213" spans="1:26" ht="13.8">
      <c r="A213" s="80"/>
      <c r="B213" s="80"/>
      <c r="C213" s="100"/>
      <c r="D213" s="10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</row>
    <row r="214" spans="1:26" ht="13.8">
      <c r="A214" s="80"/>
      <c r="B214" s="80"/>
      <c r="C214" s="100"/>
      <c r="D214" s="10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</row>
    <row r="215" spans="1:26" ht="13.8">
      <c r="A215" s="80"/>
      <c r="B215" s="80"/>
      <c r="C215" s="100"/>
      <c r="D215" s="10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</row>
    <row r="216" spans="1:26" ht="13.8">
      <c r="A216" s="80"/>
      <c r="B216" s="80"/>
      <c r="C216" s="100"/>
      <c r="D216" s="10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</row>
    <row r="217" spans="1:26" ht="13.8">
      <c r="A217" s="80"/>
      <c r="B217" s="80"/>
      <c r="C217" s="100"/>
      <c r="D217" s="10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</row>
    <row r="218" spans="1:26" ht="13.8">
      <c r="A218" s="80"/>
      <c r="B218" s="80"/>
      <c r="C218" s="100"/>
      <c r="D218" s="10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</row>
    <row r="219" spans="1:26" ht="13.8">
      <c r="A219" s="80"/>
      <c r="B219" s="80"/>
      <c r="C219" s="100"/>
      <c r="D219" s="10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</row>
    <row r="220" spans="1:26" ht="13.8">
      <c r="A220" s="80"/>
      <c r="B220" s="80"/>
      <c r="C220" s="100"/>
      <c r="D220" s="10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</row>
    <row r="221" spans="1:26" ht="13.8">
      <c r="A221" s="80"/>
      <c r="B221" s="80"/>
      <c r="C221" s="100"/>
      <c r="D221" s="10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</row>
    <row r="222" spans="1:26" ht="13.8">
      <c r="A222" s="80"/>
      <c r="B222" s="80"/>
      <c r="C222" s="100"/>
      <c r="D222" s="10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</row>
    <row r="223" spans="1:26" ht="13.8">
      <c r="A223" s="80"/>
      <c r="B223" s="80"/>
      <c r="C223" s="100"/>
      <c r="D223" s="10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</row>
    <row r="224" spans="1:26" ht="13.8">
      <c r="A224" s="80"/>
      <c r="B224" s="80"/>
      <c r="C224" s="100"/>
      <c r="D224" s="10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</row>
    <row r="225" spans="1:26" ht="13.8">
      <c r="A225" s="80"/>
      <c r="B225" s="80"/>
      <c r="C225" s="100"/>
      <c r="D225" s="10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</row>
    <row r="226" spans="1:26" ht="13.8">
      <c r="A226" s="80"/>
      <c r="B226" s="80"/>
      <c r="C226" s="100"/>
      <c r="D226" s="10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</row>
    <row r="227" spans="1:26" ht="13.8">
      <c r="A227" s="80"/>
      <c r="B227" s="80"/>
      <c r="C227" s="100"/>
      <c r="D227" s="10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</row>
    <row r="228" spans="1:26" ht="13.8">
      <c r="A228" s="80"/>
      <c r="B228" s="80"/>
      <c r="C228" s="100"/>
      <c r="D228" s="10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</row>
    <row r="229" spans="1:26" ht="13.8">
      <c r="A229" s="80"/>
      <c r="B229" s="80"/>
      <c r="C229" s="100"/>
      <c r="D229" s="10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</row>
    <row r="230" spans="1:26" ht="13.8">
      <c r="A230" s="80"/>
      <c r="B230" s="80"/>
      <c r="C230" s="100"/>
      <c r="D230" s="10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</row>
    <row r="231" spans="1:26" ht="13.8">
      <c r="A231" s="80"/>
      <c r="B231" s="80"/>
      <c r="C231" s="100"/>
      <c r="D231" s="10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</row>
    <row r="232" spans="1:26" ht="13.8">
      <c r="A232" s="80"/>
      <c r="B232" s="80"/>
      <c r="C232" s="100"/>
      <c r="D232" s="10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</row>
    <row r="233" spans="1:26" ht="13.8">
      <c r="A233" s="80"/>
      <c r="B233" s="80"/>
      <c r="C233" s="100"/>
      <c r="D233" s="10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</row>
    <row r="234" spans="1:26" ht="13.8">
      <c r="A234" s="80"/>
      <c r="B234" s="80"/>
      <c r="C234" s="100"/>
      <c r="D234" s="10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</row>
    <row r="235" spans="1:26" ht="13.8">
      <c r="A235" s="80"/>
      <c r="B235" s="80"/>
      <c r="C235" s="100"/>
      <c r="D235" s="10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</row>
    <row r="236" spans="1:26" ht="13.8">
      <c r="A236" s="80"/>
      <c r="B236" s="80"/>
      <c r="C236" s="100"/>
      <c r="D236" s="10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</row>
    <row r="237" spans="1:26" ht="13.8">
      <c r="A237" s="80"/>
      <c r="B237" s="80"/>
      <c r="C237" s="100"/>
      <c r="D237" s="10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</row>
    <row r="238" spans="1:26" ht="13.8">
      <c r="A238" s="80"/>
      <c r="B238" s="80"/>
      <c r="C238" s="100"/>
      <c r="D238" s="10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</row>
    <row r="239" spans="1:26" ht="13.8">
      <c r="A239" s="80"/>
      <c r="B239" s="80"/>
      <c r="C239" s="100"/>
      <c r="D239" s="10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</row>
    <row r="240" spans="1:26" ht="13.8">
      <c r="A240" s="80"/>
      <c r="B240" s="80"/>
      <c r="C240" s="100"/>
      <c r="D240" s="10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</row>
    <row r="241" spans="1:26" ht="13.8">
      <c r="A241" s="80"/>
      <c r="B241" s="80"/>
      <c r="C241" s="100"/>
      <c r="D241" s="10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</row>
    <row r="242" spans="1:26" ht="13.8">
      <c r="A242" s="80"/>
      <c r="B242" s="80"/>
      <c r="C242" s="100"/>
      <c r="D242" s="10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</row>
    <row r="243" spans="1:26" ht="13.8">
      <c r="A243" s="80"/>
      <c r="B243" s="80"/>
      <c r="C243" s="100"/>
      <c r="D243" s="10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</row>
    <row r="244" spans="1:26" ht="13.8">
      <c r="A244" s="80"/>
      <c r="B244" s="80"/>
      <c r="C244" s="100"/>
      <c r="D244" s="10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</row>
    <row r="245" spans="1:26" ht="13.8">
      <c r="A245" s="80"/>
      <c r="B245" s="80"/>
      <c r="C245" s="100"/>
      <c r="D245" s="10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</row>
    <row r="246" spans="1:26" ht="13.8">
      <c r="A246" s="80"/>
      <c r="B246" s="80"/>
      <c r="C246" s="100"/>
      <c r="D246" s="10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</row>
    <row r="247" spans="1:26" ht="13.8">
      <c r="A247" s="80"/>
      <c r="B247" s="80"/>
      <c r="C247" s="100"/>
      <c r="D247" s="10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</row>
    <row r="248" spans="1:26" ht="13.8">
      <c r="A248" s="80"/>
      <c r="B248" s="80"/>
      <c r="C248" s="100"/>
      <c r="D248" s="10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</row>
    <row r="249" spans="1:26" ht="13.8">
      <c r="A249" s="80"/>
      <c r="B249" s="80"/>
      <c r="C249" s="100"/>
      <c r="D249" s="10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</row>
    <row r="250" spans="1:26" ht="13.8">
      <c r="A250" s="80"/>
      <c r="B250" s="80"/>
      <c r="C250" s="100"/>
      <c r="D250" s="10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</row>
    <row r="251" spans="1:26" ht="13.8">
      <c r="A251" s="80"/>
      <c r="B251" s="80"/>
      <c r="C251" s="100"/>
      <c r="D251" s="10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</row>
    <row r="252" spans="1:26" ht="13.8">
      <c r="A252" s="80"/>
      <c r="B252" s="80"/>
      <c r="C252" s="100"/>
      <c r="D252" s="10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</row>
    <row r="253" spans="1:26" ht="13.8">
      <c r="A253" s="80"/>
      <c r="B253" s="80"/>
      <c r="C253" s="100"/>
      <c r="D253" s="10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</row>
    <row r="254" spans="1:26" ht="13.8">
      <c r="A254" s="80"/>
      <c r="B254" s="80"/>
      <c r="C254" s="100"/>
      <c r="D254" s="10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</row>
    <row r="255" spans="1:26" ht="13.8">
      <c r="A255" s="80"/>
      <c r="B255" s="80"/>
      <c r="C255" s="100"/>
      <c r="D255" s="10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</row>
    <row r="256" spans="1:26" ht="13.8">
      <c r="A256" s="80"/>
      <c r="B256" s="80"/>
      <c r="C256" s="100"/>
      <c r="D256" s="10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</row>
    <row r="257" spans="1:26" ht="13.8">
      <c r="A257" s="80"/>
      <c r="B257" s="80"/>
      <c r="C257" s="100"/>
      <c r="D257" s="10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</row>
    <row r="258" spans="1:26" ht="13.8">
      <c r="A258" s="80"/>
      <c r="B258" s="80"/>
      <c r="C258" s="100"/>
      <c r="D258" s="10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</row>
    <row r="259" spans="1:26" ht="13.8">
      <c r="A259" s="80"/>
      <c r="B259" s="80"/>
      <c r="C259" s="100"/>
      <c r="D259" s="10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</row>
    <row r="260" spans="1:26" ht="13.8">
      <c r="A260" s="80"/>
      <c r="B260" s="80"/>
      <c r="C260" s="100"/>
      <c r="D260" s="10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</row>
    <row r="261" spans="1:26" ht="13.8">
      <c r="A261" s="80"/>
      <c r="B261" s="80"/>
      <c r="C261" s="100"/>
      <c r="D261" s="10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</row>
    <row r="262" spans="1:26" ht="13.8">
      <c r="A262" s="80"/>
      <c r="B262" s="80"/>
      <c r="C262" s="100"/>
      <c r="D262" s="10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</row>
    <row r="263" spans="1:26" ht="13.8">
      <c r="A263" s="80"/>
      <c r="B263" s="80"/>
      <c r="C263" s="100"/>
      <c r="D263" s="10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</row>
    <row r="264" spans="1:26" ht="13.8">
      <c r="A264" s="80"/>
      <c r="B264" s="80"/>
      <c r="C264" s="100"/>
      <c r="D264" s="10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</row>
    <row r="265" spans="1:26" ht="13.8">
      <c r="A265" s="80"/>
      <c r="B265" s="80"/>
      <c r="C265" s="100"/>
      <c r="D265" s="10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</row>
    <row r="266" spans="1:26" ht="13.8">
      <c r="A266" s="80"/>
      <c r="B266" s="80"/>
      <c r="C266" s="100"/>
      <c r="D266" s="10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</row>
    <row r="267" spans="1:26" ht="13.8">
      <c r="A267" s="80"/>
      <c r="B267" s="80"/>
      <c r="C267" s="100"/>
      <c r="D267" s="10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</row>
    <row r="268" spans="1:26" ht="13.8">
      <c r="A268" s="80"/>
      <c r="B268" s="80"/>
      <c r="C268" s="100"/>
      <c r="D268" s="10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</row>
    <row r="269" spans="1:26" ht="13.8">
      <c r="A269" s="80"/>
      <c r="B269" s="80"/>
      <c r="C269" s="100"/>
      <c r="D269" s="10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</row>
    <row r="270" spans="1:26" ht="13.8">
      <c r="A270" s="80"/>
      <c r="B270" s="80"/>
      <c r="C270" s="100"/>
      <c r="D270" s="10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</row>
    <row r="271" spans="1:26" ht="13.8">
      <c r="A271" s="80"/>
      <c r="B271" s="80"/>
      <c r="C271" s="100"/>
      <c r="D271" s="10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</row>
    <row r="272" spans="1:26" ht="13.8">
      <c r="A272" s="80"/>
      <c r="B272" s="80"/>
      <c r="C272" s="100"/>
      <c r="D272" s="10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</row>
    <row r="273" spans="1:26" ht="13.8">
      <c r="A273" s="80"/>
      <c r="B273" s="80"/>
      <c r="C273" s="100"/>
      <c r="D273" s="10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</row>
    <row r="274" spans="1:26" ht="13.8">
      <c r="A274" s="80"/>
      <c r="B274" s="80"/>
      <c r="C274" s="100"/>
      <c r="D274" s="10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</row>
    <row r="275" spans="1:26" ht="13.8">
      <c r="A275" s="80"/>
      <c r="B275" s="80"/>
      <c r="C275" s="100"/>
      <c r="D275" s="10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</row>
    <row r="276" spans="1:26" ht="13.8">
      <c r="A276" s="80"/>
      <c r="B276" s="80"/>
      <c r="C276" s="100"/>
      <c r="D276" s="10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</row>
    <row r="277" spans="1:26" ht="13.8">
      <c r="A277" s="80"/>
      <c r="B277" s="80"/>
      <c r="C277" s="100"/>
      <c r="D277" s="10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</row>
    <row r="278" spans="1:26" ht="13.8">
      <c r="A278" s="80"/>
      <c r="B278" s="80"/>
      <c r="C278" s="100"/>
      <c r="D278" s="10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</row>
    <row r="279" spans="1:26" ht="13.8">
      <c r="A279" s="80"/>
      <c r="B279" s="80"/>
      <c r="C279" s="100"/>
      <c r="D279" s="10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</row>
    <row r="280" spans="1:26" ht="13.8">
      <c r="A280" s="80"/>
      <c r="B280" s="80"/>
      <c r="C280" s="100"/>
      <c r="D280" s="10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</row>
    <row r="281" spans="1:26" ht="13.8">
      <c r="A281" s="80"/>
      <c r="B281" s="80"/>
      <c r="C281" s="100"/>
      <c r="D281" s="10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</row>
    <row r="282" spans="1:26" ht="13.8">
      <c r="A282" s="80"/>
      <c r="B282" s="80"/>
      <c r="C282" s="100"/>
      <c r="D282" s="10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</row>
    <row r="283" spans="1:26" ht="13.8">
      <c r="A283" s="80"/>
      <c r="B283" s="80"/>
      <c r="C283" s="100"/>
      <c r="D283" s="10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</row>
    <row r="284" spans="1:26" ht="13.8">
      <c r="A284" s="80"/>
      <c r="B284" s="80"/>
      <c r="C284" s="100"/>
      <c r="D284" s="10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</row>
    <row r="285" spans="1:26" ht="13.8">
      <c r="A285" s="80"/>
      <c r="B285" s="80"/>
      <c r="C285" s="100"/>
      <c r="D285" s="10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</row>
    <row r="286" spans="1:26" ht="13.8">
      <c r="A286" s="80"/>
      <c r="B286" s="80"/>
      <c r="C286" s="100"/>
      <c r="D286" s="10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</row>
    <row r="287" spans="1:26" ht="13.8">
      <c r="A287" s="80"/>
      <c r="B287" s="80"/>
      <c r="C287" s="100"/>
      <c r="D287" s="10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</row>
    <row r="288" spans="1:26" ht="13.8">
      <c r="A288" s="80"/>
      <c r="B288" s="80"/>
      <c r="C288" s="100"/>
      <c r="D288" s="10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</row>
    <row r="289" spans="1:26" ht="13.8">
      <c r="A289" s="80"/>
      <c r="B289" s="80"/>
      <c r="C289" s="100"/>
      <c r="D289" s="10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</row>
    <row r="290" spans="1:26" ht="13.8">
      <c r="A290" s="80"/>
      <c r="B290" s="80"/>
      <c r="C290" s="100"/>
      <c r="D290" s="10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</row>
    <row r="291" spans="1:26" ht="13.8">
      <c r="A291" s="80"/>
      <c r="B291" s="80"/>
      <c r="C291" s="100"/>
      <c r="D291" s="10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</row>
    <row r="292" spans="1:26" ht="13.8">
      <c r="A292" s="80"/>
      <c r="B292" s="80"/>
      <c r="C292" s="100"/>
      <c r="D292" s="10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</row>
    <row r="293" spans="1:26" ht="13.8">
      <c r="A293" s="80"/>
      <c r="B293" s="80"/>
      <c r="C293" s="100"/>
      <c r="D293" s="10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</row>
    <row r="294" spans="1:26" ht="13.8">
      <c r="A294" s="80"/>
      <c r="B294" s="80"/>
      <c r="C294" s="100"/>
      <c r="D294" s="10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</row>
    <row r="295" spans="1:26" ht="13.8">
      <c r="A295" s="80"/>
      <c r="B295" s="80"/>
      <c r="C295" s="100"/>
      <c r="D295" s="10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</row>
    <row r="296" spans="1:26" ht="13.8">
      <c r="A296" s="80"/>
      <c r="B296" s="80"/>
      <c r="C296" s="100"/>
      <c r="D296" s="10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</row>
    <row r="297" spans="1:26" ht="13.8">
      <c r="A297" s="80"/>
      <c r="B297" s="80"/>
      <c r="C297" s="100"/>
      <c r="D297" s="10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</row>
    <row r="298" spans="1:26" ht="13.8">
      <c r="A298" s="80"/>
      <c r="B298" s="80"/>
      <c r="C298" s="100"/>
      <c r="D298" s="10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</row>
    <row r="299" spans="1:26" ht="13.8">
      <c r="A299" s="80"/>
      <c r="B299" s="80"/>
      <c r="C299" s="100"/>
      <c r="D299" s="10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</row>
    <row r="300" spans="1:26" ht="13.8">
      <c r="A300" s="80"/>
      <c r="B300" s="80"/>
      <c r="C300" s="100"/>
      <c r="D300" s="10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</row>
    <row r="301" spans="1:26" ht="13.8">
      <c r="A301" s="80"/>
      <c r="B301" s="80"/>
      <c r="C301" s="100"/>
      <c r="D301" s="10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</row>
    <row r="302" spans="1:26" ht="13.8">
      <c r="A302" s="80"/>
      <c r="B302" s="80"/>
      <c r="C302" s="100"/>
      <c r="D302" s="10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</row>
    <row r="303" spans="1:26" ht="13.8">
      <c r="A303" s="80"/>
      <c r="B303" s="80"/>
      <c r="C303" s="100"/>
      <c r="D303" s="10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</row>
    <row r="304" spans="1:26" ht="13.8">
      <c r="A304" s="80"/>
      <c r="B304" s="80"/>
      <c r="C304" s="100"/>
      <c r="D304" s="10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</row>
    <row r="305" spans="1:26" ht="13.8">
      <c r="A305" s="80"/>
      <c r="B305" s="80"/>
      <c r="C305" s="100"/>
      <c r="D305" s="10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</row>
    <row r="306" spans="1:26" ht="13.8">
      <c r="A306" s="80"/>
      <c r="B306" s="80"/>
      <c r="C306" s="100"/>
      <c r="D306" s="10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</row>
    <row r="307" spans="1:26" ht="13.8">
      <c r="A307" s="80"/>
      <c r="B307" s="80"/>
      <c r="C307" s="100"/>
      <c r="D307" s="10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</row>
    <row r="308" spans="1:26" ht="13.8">
      <c r="A308" s="80"/>
      <c r="B308" s="80"/>
      <c r="C308" s="100"/>
      <c r="D308" s="10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</row>
    <row r="309" spans="1:26" ht="13.8">
      <c r="A309" s="80"/>
      <c r="B309" s="80"/>
      <c r="C309" s="100"/>
      <c r="D309" s="10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</row>
    <row r="310" spans="1:26" ht="13.8">
      <c r="A310" s="80"/>
      <c r="B310" s="80"/>
      <c r="C310" s="100"/>
      <c r="D310" s="10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</row>
    <row r="311" spans="1:26" ht="13.8">
      <c r="A311" s="80"/>
      <c r="B311" s="80"/>
      <c r="C311" s="100"/>
      <c r="D311" s="10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</row>
    <row r="312" spans="1:26" ht="13.8">
      <c r="A312" s="80"/>
      <c r="B312" s="80"/>
      <c r="C312" s="100"/>
      <c r="D312" s="10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</row>
    <row r="313" spans="1:26" ht="13.8">
      <c r="A313" s="80"/>
      <c r="B313" s="80"/>
      <c r="C313" s="100"/>
      <c r="D313" s="10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</row>
    <row r="314" spans="1:26" ht="13.8">
      <c r="A314" s="80"/>
      <c r="B314" s="80"/>
      <c r="C314" s="100"/>
      <c r="D314" s="10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</row>
    <row r="315" spans="1:26" ht="13.8">
      <c r="A315" s="80"/>
      <c r="B315" s="80"/>
      <c r="C315" s="100"/>
      <c r="D315" s="10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</row>
    <row r="316" spans="1:26" ht="13.8">
      <c r="A316" s="80"/>
      <c r="B316" s="80"/>
      <c r="C316" s="100"/>
      <c r="D316" s="10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</row>
    <row r="317" spans="1:26" ht="13.8">
      <c r="A317" s="80"/>
      <c r="B317" s="80"/>
      <c r="C317" s="100"/>
      <c r="D317" s="10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</row>
    <row r="318" spans="1:26" ht="13.8">
      <c r="A318" s="80"/>
      <c r="B318" s="80"/>
      <c r="C318" s="100"/>
      <c r="D318" s="10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</row>
    <row r="319" spans="1:26" ht="13.8">
      <c r="A319" s="80"/>
      <c r="B319" s="80"/>
      <c r="C319" s="100"/>
      <c r="D319" s="10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</row>
    <row r="320" spans="1:26" ht="13.8">
      <c r="A320" s="80"/>
      <c r="B320" s="80"/>
      <c r="C320" s="100"/>
      <c r="D320" s="10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</row>
    <row r="321" spans="1:26" ht="13.8">
      <c r="A321" s="80"/>
      <c r="B321" s="80"/>
      <c r="C321" s="100"/>
      <c r="D321" s="10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</row>
    <row r="322" spans="1:26" ht="13.8">
      <c r="A322" s="80"/>
      <c r="B322" s="80"/>
      <c r="C322" s="100"/>
      <c r="D322" s="10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</row>
    <row r="323" spans="1:26" ht="13.8">
      <c r="A323" s="80"/>
      <c r="B323" s="80"/>
      <c r="C323" s="100"/>
      <c r="D323" s="10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</row>
    <row r="324" spans="1:26" ht="13.8">
      <c r="A324" s="80"/>
      <c r="B324" s="80"/>
      <c r="C324" s="100"/>
      <c r="D324" s="10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</row>
    <row r="325" spans="1:26" ht="13.8">
      <c r="A325" s="80"/>
      <c r="B325" s="80"/>
      <c r="C325" s="100"/>
      <c r="D325" s="10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</row>
    <row r="326" spans="1:26" ht="13.8">
      <c r="A326" s="80"/>
      <c r="B326" s="80"/>
      <c r="C326" s="100"/>
      <c r="D326" s="10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</row>
    <row r="327" spans="1:26" ht="13.8">
      <c r="A327" s="80"/>
      <c r="B327" s="80"/>
      <c r="C327" s="100"/>
      <c r="D327" s="10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</row>
    <row r="328" spans="1:26" ht="13.8">
      <c r="A328" s="80"/>
      <c r="B328" s="80"/>
      <c r="C328" s="100"/>
      <c r="D328" s="10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</row>
    <row r="329" spans="1:26" ht="13.8">
      <c r="A329" s="80"/>
      <c r="B329" s="80"/>
      <c r="C329" s="100"/>
      <c r="D329" s="10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</row>
    <row r="330" spans="1:26" ht="13.8">
      <c r="A330" s="80"/>
      <c r="B330" s="80"/>
      <c r="C330" s="100"/>
      <c r="D330" s="10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</row>
    <row r="331" spans="1:26" ht="13.8">
      <c r="A331" s="80"/>
      <c r="B331" s="80"/>
      <c r="C331" s="100"/>
      <c r="D331" s="10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</row>
    <row r="332" spans="1:26" ht="13.8">
      <c r="A332" s="80"/>
      <c r="B332" s="80"/>
      <c r="C332" s="100"/>
      <c r="D332" s="10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</row>
    <row r="333" spans="1:26" ht="13.8">
      <c r="A333" s="80"/>
      <c r="B333" s="80"/>
      <c r="C333" s="100"/>
      <c r="D333" s="10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</row>
    <row r="334" spans="1:26" ht="13.8">
      <c r="A334" s="80"/>
      <c r="B334" s="80"/>
      <c r="C334" s="100"/>
      <c r="D334" s="10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</row>
    <row r="335" spans="1:26" ht="13.8">
      <c r="A335" s="80"/>
      <c r="B335" s="80"/>
      <c r="C335" s="100"/>
      <c r="D335" s="10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</row>
    <row r="336" spans="1:26" ht="13.8">
      <c r="A336" s="80"/>
      <c r="B336" s="80"/>
      <c r="C336" s="100"/>
      <c r="D336" s="10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</row>
    <row r="337" spans="1:26" ht="13.8">
      <c r="A337" s="80"/>
      <c r="B337" s="80"/>
      <c r="C337" s="100"/>
      <c r="D337" s="10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</row>
    <row r="338" spans="1:26" ht="13.8">
      <c r="A338" s="80"/>
      <c r="B338" s="80"/>
      <c r="C338" s="100"/>
      <c r="D338" s="10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</row>
    <row r="339" spans="1:26" ht="13.8">
      <c r="A339" s="80"/>
      <c r="B339" s="80"/>
      <c r="C339" s="100"/>
      <c r="D339" s="10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</row>
    <row r="340" spans="1:26" ht="13.8">
      <c r="A340" s="80"/>
      <c r="B340" s="80"/>
      <c r="C340" s="100"/>
      <c r="D340" s="10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</row>
    <row r="341" spans="1:26" ht="13.8">
      <c r="A341" s="80"/>
      <c r="B341" s="80"/>
      <c r="C341" s="100"/>
      <c r="D341" s="10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</row>
    <row r="342" spans="1:26" ht="13.8">
      <c r="A342" s="80"/>
      <c r="B342" s="80"/>
      <c r="C342" s="100"/>
      <c r="D342" s="10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</row>
    <row r="343" spans="1:26" ht="13.8">
      <c r="A343" s="80"/>
      <c r="B343" s="80"/>
      <c r="C343" s="100"/>
      <c r="D343" s="10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</row>
    <row r="344" spans="1:26" ht="13.8">
      <c r="A344" s="80"/>
      <c r="B344" s="80"/>
      <c r="C344" s="100"/>
      <c r="D344" s="10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</row>
    <row r="345" spans="1:26" ht="13.8">
      <c r="A345" s="80"/>
      <c r="B345" s="80"/>
      <c r="C345" s="100"/>
      <c r="D345" s="10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</row>
    <row r="346" spans="1:26" ht="13.8">
      <c r="A346" s="80"/>
      <c r="B346" s="80"/>
      <c r="C346" s="100"/>
      <c r="D346" s="10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</row>
    <row r="347" spans="1:26" ht="13.8">
      <c r="A347" s="80"/>
      <c r="B347" s="80"/>
      <c r="C347" s="100"/>
      <c r="D347" s="10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</row>
    <row r="348" spans="1:26" ht="13.8">
      <c r="A348" s="80"/>
      <c r="B348" s="80"/>
      <c r="C348" s="100"/>
      <c r="D348" s="10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</row>
    <row r="349" spans="1:26" ht="13.8">
      <c r="A349" s="80"/>
      <c r="B349" s="80"/>
      <c r="C349" s="100"/>
      <c r="D349" s="10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</row>
    <row r="350" spans="1:26" ht="13.8">
      <c r="A350" s="80"/>
      <c r="B350" s="80"/>
      <c r="C350" s="100"/>
      <c r="D350" s="10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</row>
    <row r="351" spans="1:26" ht="13.8">
      <c r="A351" s="80"/>
      <c r="B351" s="80"/>
      <c r="C351" s="100"/>
      <c r="D351" s="10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</row>
    <row r="352" spans="1:26" ht="13.8">
      <c r="A352" s="80"/>
      <c r="B352" s="80"/>
      <c r="C352" s="100"/>
      <c r="D352" s="10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</row>
    <row r="353" spans="1:26" ht="13.8">
      <c r="A353" s="80"/>
      <c r="B353" s="80"/>
      <c r="C353" s="100"/>
      <c r="D353" s="10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</row>
    <row r="354" spans="1:26" ht="13.8">
      <c r="A354" s="80"/>
      <c r="B354" s="80"/>
      <c r="C354" s="100"/>
      <c r="D354" s="10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</row>
    <row r="355" spans="1:26" ht="13.8">
      <c r="A355" s="80"/>
      <c r="B355" s="80"/>
      <c r="C355" s="100"/>
      <c r="D355" s="10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</row>
    <row r="356" spans="1:26" ht="13.8">
      <c r="A356" s="80"/>
      <c r="B356" s="80"/>
      <c r="C356" s="100"/>
      <c r="D356" s="10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</row>
    <row r="357" spans="1:26" ht="13.8">
      <c r="A357" s="80"/>
      <c r="B357" s="80"/>
      <c r="C357" s="100"/>
      <c r="D357" s="10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</row>
    <row r="358" spans="1:26" ht="13.8">
      <c r="A358" s="80"/>
      <c r="B358" s="80"/>
      <c r="C358" s="100"/>
      <c r="D358" s="10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</row>
    <row r="359" spans="1:26" ht="13.8">
      <c r="A359" s="80"/>
      <c r="B359" s="80"/>
      <c r="C359" s="100"/>
      <c r="D359" s="10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</row>
    <row r="360" spans="1:26" ht="13.8">
      <c r="A360" s="80"/>
      <c r="B360" s="80"/>
      <c r="C360" s="100"/>
      <c r="D360" s="10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</row>
    <row r="361" spans="1:26" ht="13.8">
      <c r="A361" s="80"/>
      <c r="B361" s="80"/>
      <c r="C361" s="100"/>
      <c r="D361" s="10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</row>
    <row r="362" spans="1:26" ht="13.8">
      <c r="A362" s="80"/>
      <c r="B362" s="80"/>
      <c r="C362" s="100"/>
      <c r="D362" s="10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</row>
    <row r="363" spans="1:26" ht="13.8">
      <c r="A363" s="80"/>
      <c r="B363" s="80"/>
      <c r="C363" s="100"/>
      <c r="D363" s="10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</row>
    <row r="364" spans="1:26" ht="13.8">
      <c r="A364" s="80"/>
      <c r="B364" s="80"/>
      <c r="C364" s="100"/>
      <c r="D364" s="10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</row>
    <row r="365" spans="1:26" ht="13.8">
      <c r="A365" s="80"/>
      <c r="B365" s="80"/>
      <c r="C365" s="100"/>
      <c r="D365" s="10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</row>
    <row r="366" spans="1:26" ht="13.8">
      <c r="A366" s="80"/>
      <c r="B366" s="80"/>
      <c r="C366" s="100"/>
      <c r="D366" s="10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</row>
    <row r="367" spans="1:26" ht="13.8">
      <c r="A367" s="80"/>
      <c r="B367" s="80"/>
      <c r="C367" s="100"/>
      <c r="D367" s="10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</row>
    <row r="368" spans="1:26" ht="13.8">
      <c r="A368" s="80"/>
      <c r="B368" s="80"/>
      <c r="C368" s="100"/>
      <c r="D368" s="10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</row>
    <row r="369" spans="1:26" ht="13.8">
      <c r="A369" s="80"/>
      <c r="B369" s="80"/>
      <c r="C369" s="100"/>
      <c r="D369" s="10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</row>
    <row r="370" spans="1:26" ht="13.8">
      <c r="A370" s="80"/>
      <c r="B370" s="80"/>
      <c r="C370" s="100"/>
      <c r="D370" s="10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</row>
    <row r="371" spans="1:26" ht="13.8">
      <c r="A371" s="80"/>
      <c r="B371" s="80"/>
      <c r="C371" s="100"/>
      <c r="D371" s="10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</row>
    <row r="372" spans="1:26" ht="13.8">
      <c r="A372" s="80"/>
      <c r="B372" s="80"/>
      <c r="C372" s="100"/>
      <c r="D372" s="10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</row>
    <row r="373" spans="1:26" ht="13.8">
      <c r="A373" s="80"/>
      <c r="B373" s="80"/>
      <c r="C373" s="100"/>
      <c r="D373" s="10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</row>
    <row r="374" spans="1:26" ht="13.8">
      <c r="A374" s="80"/>
      <c r="B374" s="80"/>
      <c r="C374" s="100"/>
      <c r="D374" s="10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</row>
    <row r="375" spans="1:26" ht="13.8">
      <c r="A375" s="80"/>
      <c r="B375" s="80"/>
      <c r="C375" s="100"/>
      <c r="D375" s="10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</row>
    <row r="376" spans="1:26" ht="13.8">
      <c r="A376" s="80"/>
      <c r="B376" s="80"/>
      <c r="C376" s="100"/>
      <c r="D376" s="10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</row>
    <row r="377" spans="1:26" ht="13.8">
      <c r="A377" s="80"/>
      <c r="B377" s="80"/>
      <c r="C377" s="100"/>
      <c r="D377" s="10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</row>
    <row r="378" spans="1:26" ht="13.8">
      <c r="A378" s="80"/>
      <c r="B378" s="80"/>
      <c r="C378" s="100"/>
      <c r="D378" s="10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</row>
    <row r="379" spans="1:26" ht="13.8">
      <c r="A379" s="80"/>
      <c r="B379" s="80"/>
      <c r="C379" s="100"/>
      <c r="D379" s="10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</row>
    <row r="380" spans="1:26" ht="13.8">
      <c r="A380" s="80"/>
      <c r="B380" s="80"/>
      <c r="C380" s="100"/>
      <c r="D380" s="10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</row>
    <row r="381" spans="1:26" ht="13.8">
      <c r="A381" s="80"/>
      <c r="B381" s="80"/>
      <c r="C381" s="100"/>
      <c r="D381" s="10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</row>
    <row r="382" spans="1:26" ht="13.8">
      <c r="A382" s="80"/>
      <c r="B382" s="80"/>
      <c r="C382" s="100"/>
      <c r="D382" s="10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</row>
    <row r="383" spans="1:26" ht="13.8">
      <c r="A383" s="80"/>
      <c r="B383" s="80"/>
      <c r="C383" s="100"/>
      <c r="D383" s="10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</row>
    <row r="384" spans="1:26" ht="13.8">
      <c r="A384" s="80"/>
      <c r="B384" s="80"/>
      <c r="C384" s="100"/>
      <c r="D384" s="10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</row>
    <row r="385" spans="1:26" ht="13.8">
      <c r="A385" s="80"/>
      <c r="B385" s="80"/>
      <c r="C385" s="100"/>
      <c r="D385" s="10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</row>
    <row r="386" spans="1:26" ht="13.8">
      <c r="A386" s="80"/>
      <c r="B386" s="80"/>
      <c r="C386" s="100"/>
      <c r="D386" s="10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</row>
    <row r="387" spans="1:26" ht="13.8">
      <c r="A387" s="80"/>
      <c r="B387" s="80"/>
      <c r="C387" s="100"/>
      <c r="D387" s="10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</row>
    <row r="388" spans="1:26" ht="13.8">
      <c r="A388" s="80"/>
      <c r="B388" s="80"/>
      <c r="C388" s="100"/>
      <c r="D388" s="10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</row>
    <row r="389" spans="1:26" ht="13.8">
      <c r="A389" s="80"/>
      <c r="B389" s="80"/>
      <c r="C389" s="100"/>
      <c r="D389" s="10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</row>
    <row r="390" spans="1:26" ht="13.8">
      <c r="A390" s="80"/>
      <c r="B390" s="80"/>
      <c r="C390" s="100"/>
      <c r="D390" s="10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</row>
    <row r="391" spans="1:26" ht="13.8">
      <c r="A391" s="80"/>
      <c r="B391" s="80"/>
      <c r="C391" s="100"/>
      <c r="D391" s="10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</row>
    <row r="392" spans="1:26" ht="13.8">
      <c r="A392" s="80"/>
      <c r="B392" s="80"/>
      <c r="C392" s="100"/>
      <c r="D392" s="10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</row>
    <row r="393" spans="1:26" ht="13.8">
      <c r="A393" s="80"/>
      <c r="B393" s="80"/>
      <c r="C393" s="100"/>
      <c r="D393" s="10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</row>
    <row r="394" spans="1:26" ht="13.8">
      <c r="A394" s="80"/>
      <c r="B394" s="80"/>
      <c r="C394" s="100"/>
      <c r="D394" s="10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</row>
    <row r="395" spans="1:26" ht="13.8">
      <c r="A395" s="80"/>
      <c r="B395" s="80"/>
      <c r="C395" s="100"/>
      <c r="D395" s="10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</row>
    <row r="396" spans="1:26" ht="13.8">
      <c r="A396" s="80"/>
      <c r="B396" s="80"/>
      <c r="C396" s="100"/>
      <c r="D396" s="10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</row>
    <row r="397" spans="1:26" ht="13.8">
      <c r="A397" s="80"/>
      <c r="B397" s="80"/>
      <c r="C397" s="100"/>
      <c r="D397" s="10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</row>
    <row r="398" spans="1:26" ht="13.8">
      <c r="A398" s="80"/>
      <c r="B398" s="80"/>
      <c r="C398" s="100"/>
      <c r="D398" s="10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</row>
    <row r="399" spans="1:26" ht="13.8">
      <c r="A399" s="80"/>
      <c r="B399" s="80"/>
      <c r="C399" s="100"/>
      <c r="D399" s="10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</row>
    <row r="400" spans="1:26" ht="13.8">
      <c r="A400" s="80"/>
      <c r="B400" s="80"/>
      <c r="C400" s="100"/>
      <c r="D400" s="10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</row>
    <row r="401" spans="1:26" ht="13.8">
      <c r="A401" s="80"/>
      <c r="B401" s="80"/>
      <c r="C401" s="100"/>
      <c r="D401" s="10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</row>
    <row r="402" spans="1:26" ht="13.8">
      <c r="A402" s="80"/>
      <c r="B402" s="80"/>
      <c r="C402" s="100"/>
      <c r="D402" s="10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</row>
    <row r="403" spans="1:26" ht="13.8">
      <c r="A403" s="80"/>
      <c r="B403" s="80"/>
      <c r="C403" s="100"/>
      <c r="D403" s="10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</row>
    <row r="404" spans="1:26" ht="13.8">
      <c r="A404" s="80"/>
      <c r="B404" s="80"/>
      <c r="C404" s="100"/>
      <c r="D404" s="10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</row>
    <row r="405" spans="1:26" ht="13.8">
      <c r="A405" s="80"/>
      <c r="B405" s="80"/>
      <c r="C405" s="100"/>
      <c r="D405" s="10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</row>
    <row r="406" spans="1:26" ht="13.8">
      <c r="A406" s="80"/>
      <c r="B406" s="80"/>
      <c r="C406" s="100"/>
      <c r="D406" s="10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</row>
    <row r="407" spans="1:26" ht="13.8">
      <c r="A407" s="80"/>
      <c r="B407" s="80"/>
      <c r="C407" s="100"/>
      <c r="D407" s="10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</row>
    <row r="408" spans="1:26" ht="13.8">
      <c r="A408" s="80"/>
      <c r="B408" s="80"/>
      <c r="C408" s="100"/>
      <c r="D408" s="10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</row>
    <row r="409" spans="1:26" ht="13.8">
      <c r="A409" s="80"/>
      <c r="B409" s="80"/>
      <c r="C409" s="100"/>
      <c r="D409" s="10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</row>
    <row r="410" spans="1:26" ht="13.8">
      <c r="A410" s="80"/>
      <c r="B410" s="80"/>
      <c r="C410" s="100"/>
      <c r="D410" s="10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</row>
    <row r="411" spans="1:26" ht="13.8">
      <c r="A411" s="80"/>
      <c r="B411" s="80"/>
      <c r="C411" s="100"/>
      <c r="D411" s="10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</row>
    <row r="412" spans="1:26" ht="13.8">
      <c r="A412" s="80"/>
      <c r="B412" s="80"/>
      <c r="C412" s="100"/>
      <c r="D412" s="10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</row>
    <row r="413" spans="1:26" ht="13.8">
      <c r="A413" s="80"/>
      <c r="B413" s="80"/>
      <c r="C413" s="100"/>
      <c r="D413" s="10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</row>
    <row r="414" spans="1:26" ht="13.8">
      <c r="A414" s="80"/>
      <c r="B414" s="80"/>
      <c r="C414" s="100"/>
      <c r="D414" s="10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</row>
    <row r="415" spans="1:26" ht="13.8">
      <c r="A415" s="80"/>
      <c r="B415" s="80"/>
      <c r="C415" s="100"/>
      <c r="D415" s="10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</row>
    <row r="416" spans="1:26" ht="13.8">
      <c r="A416" s="80"/>
      <c r="B416" s="80"/>
      <c r="C416" s="100"/>
      <c r="D416" s="10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</row>
    <row r="417" spans="1:26" ht="13.8">
      <c r="A417" s="80"/>
      <c r="B417" s="80"/>
      <c r="C417" s="100"/>
      <c r="D417" s="10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</row>
    <row r="418" spans="1:26" ht="13.8">
      <c r="A418" s="80"/>
      <c r="B418" s="80"/>
      <c r="C418" s="100"/>
      <c r="D418" s="10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</row>
    <row r="419" spans="1:26" ht="13.8">
      <c r="A419" s="80"/>
      <c r="B419" s="80"/>
      <c r="C419" s="100"/>
      <c r="D419" s="10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</row>
    <row r="420" spans="1:26" ht="13.8">
      <c r="A420" s="80"/>
      <c r="B420" s="80"/>
      <c r="C420" s="100"/>
      <c r="D420" s="10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</row>
    <row r="421" spans="1:26" ht="13.8">
      <c r="A421" s="80"/>
      <c r="B421" s="80"/>
      <c r="C421" s="100"/>
      <c r="D421" s="10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</row>
    <row r="422" spans="1:26" ht="13.8">
      <c r="A422" s="80"/>
      <c r="B422" s="80"/>
      <c r="C422" s="100"/>
      <c r="D422" s="10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</row>
    <row r="423" spans="1:26" ht="13.8">
      <c r="A423" s="80"/>
      <c r="B423" s="80"/>
      <c r="C423" s="100"/>
      <c r="D423" s="10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</row>
    <row r="424" spans="1:26" ht="13.8">
      <c r="A424" s="80"/>
      <c r="B424" s="80"/>
      <c r="C424" s="100"/>
      <c r="D424" s="10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</row>
    <row r="425" spans="1:26" ht="13.8">
      <c r="A425" s="80"/>
      <c r="B425" s="80"/>
      <c r="C425" s="100"/>
      <c r="D425" s="10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</row>
    <row r="426" spans="1:26" ht="13.8">
      <c r="A426" s="80"/>
      <c r="B426" s="80"/>
      <c r="C426" s="100"/>
      <c r="D426" s="10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</row>
    <row r="427" spans="1:26" ht="13.8">
      <c r="A427" s="80"/>
      <c r="B427" s="80"/>
      <c r="C427" s="100"/>
      <c r="D427" s="10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</row>
    <row r="428" spans="1:26" ht="13.8">
      <c r="A428" s="80"/>
      <c r="B428" s="80"/>
      <c r="C428" s="100"/>
      <c r="D428" s="10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</row>
    <row r="429" spans="1:26" ht="13.8">
      <c r="A429" s="80"/>
      <c r="B429" s="80"/>
      <c r="C429" s="100"/>
      <c r="D429" s="10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</row>
    <row r="430" spans="1:26" ht="13.8">
      <c r="A430" s="80"/>
      <c r="B430" s="80"/>
      <c r="C430" s="100"/>
      <c r="D430" s="10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</row>
    <row r="431" spans="1:26" ht="13.8">
      <c r="A431" s="80"/>
      <c r="B431" s="80"/>
      <c r="C431" s="100"/>
      <c r="D431" s="10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</row>
    <row r="432" spans="1:26" ht="13.8">
      <c r="A432" s="80"/>
      <c r="B432" s="80"/>
      <c r="C432" s="100"/>
      <c r="D432" s="10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</row>
    <row r="433" spans="1:26" ht="13.8">
      <c r="A433" s="80"/>
      <c r="B433" s="80"/>
      <c r="C433" s="100"/>
      <c r="D433" s="10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</row>
    <row r="434" spans="1:26" ht="13.8">
      <c r="A434" s="80"/>
      <c r="B434" s="80"/>
      <c r="C434" s="100"/>
      <c r="D434" s="10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</row>
    <row r="435" spans="1:26" ht="13.8">
      <c r="A435" s="80"/>
      <c r="B435" s="80"/>
      <c r="C435" s="100"/>
      <c r="D435" s="10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</row>
    <row r="436" spans="1:26" ht="13.8">
      <c r="A436" s="80"/>
      <c r="B436" s="80"/>
      <c r="C436" s="100"/>
      <c r="D436" s="10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</row>
    <row r="437" spans="1:26" ht="13.8">
      <c r="A437" s="80"/>
      <c r="B437" s="80"/>
      <c r="C437" s="100"/>
      <c r="D437" s="10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</row>
    <row r="438" spans="1:26" ht="13.8">
      <c r="A438" s="80"/>
      <c r="B438" s="80"/>
      <c r="C438" s="100"/>
      <c r="D438" s="10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</row>
    <row r="439" spans="1:26" ht="13.8">
      <c r="A439" s="80"/>
      <c r="B439" s="80"/>
      <c r="C439" s="100"/>
      <c r="D439" s="10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</row>
    <row r="440" spans="1:26" ht="13.8">
      <c r="A440" s="80"/>
      <c r="B440" s="80"/>
      <c r="C440" s="100"/>
      <c r="D440" s="10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</row>
    <row r="441" spans="1:26" ht="13.8">
      <c r="A441" s="80"/>
      <c r="B441" s="80"/>
      <c r="C441" s="100"/>
      <c r="D441" s="10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</row>
    <row r="442" spans="1:26" ht="13.8">
      <c r="A442" s="80"/>
      <c r="B442" s="80"/>
      <c r="C442" s="100"/>
      <c r="D442" s="10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</row>
    <row r="443" spans="1:26" ht="13.8">
      <c r="A443" s="80"/>
      <c r="B443" s="80"/>
      <c r="C443" s="100"/>
      <c r="D443" s="10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</row>
    <row r="444" spans="1:26" ht="13.8">
      <c r="A444" s="80"/>
      <c r="B444" s="80"/>
      <c r="C444" s="100"/>
      <c r="D444" s="10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</row>
    <row r="445" spans="1:26" ht="13.8">
      <c r="A445" s="80"/>
      <c r="B445" s="80"/>
      <c r="C445" s="100"/>
      <c r="D445" s="10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</row>
    <row r="446" spans="1:26" ht="13.8">
      <c r="A446" s="80"/>
      <c r="B446" s="80"/>
      <c r="C446" s="100"/>
      <c r="D446" s="10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</row>
    <row r="447" spans="1:26" ht="13.8">
      <c r="A447" s="80"/>
      <c r="B447" s="80"/>
      <c r="C447" s="100"/>
      <c r="D447" s="10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</row>
    <row r="448" spans="1:26" ht="13.8">
      <c r="A448" s="80"/>
      <c r="B448" s="80"/>
      <c r="C448" s="100"/>
      <c r="D448" s="10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</row>
    <row r="449" spans="1:26" ht="13.8">
      <c r="A449" s="80"/>
      <c r="B449" s="80"/>
      <c r="C449" s="100"/>
      <c r="D449" s="10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</row>
    <row r="450" spans="1:26" ht="13.8">
      <c r="A450" s="80"/>
      <c r="B450" s="80"/>
      <c r="C450" s="100"/>
      <c r="D450" s="10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</row>
    <row r="451" spans="1:26" ht="13.8">
      <c r="A451" s="80"/>
      <c r="B451" s="80"/>
      <c r="C451" s="100"/>
      <c r="D451" s="10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</row>
    <row r="452" spans="1:26" ht="13.8">
      <c r="A452" s="80"/>
      <c r="B452" s="80"/>
      <c r="C452" s="100"/>
      <c r="D452" s="10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</row>
    <row r="453" spans="1:26" ht="13.8">
      <c r="A453" s="80"/>
      <c r="B453" s="80"/>
      <c r="C453" s="100"/>
      <c r="D453" s="10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</row>
    <row r="454" spans="1:26" ht="13.8">
      <c r="A454" s="80"/>
      <c r="B454" s="80"/>
      <c r="C454" s="100"/>
      <c r="D454" s="10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</row>
    <row r="455" spans="1:26" ht="13.8">
      <c r="A455" s="80"/>
      <c r="B455" s="80"/>
      <c r="C455" s="100"/>
      <c r="D455" s="10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</row>
    <row r="456" spans="1:26" ht="13.8">
      <c r="A456" s="80"/>
      <c r="B456" s="80"/>
      <c r="C456" s="100"/>
      <c r="D456" s="10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</row>
    <row r="457" spans="1:26" ht="13.8">
      <c r="A457" s="80"/>
      <c r="B457" s="80"/>
      <c r="C457" s="100"/>
      <c r="D457" s="10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</row>
    <row r="458" spans="1:26" ht="13.8">
      <c r="A458" s="80"/>
      <c r="B458" s="80"/>
      <c r="C458" s="100"/>
      <c r="D458" s="10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</row>
    <row r="459" spans="1:26" ht="13.8">
      <c r="A459" s="80"/>
      <c r="B459" s="80"/>
      <c r="C459" s="100"/>
      <c r="D459" s="10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</row>
    <row r="460" spans="1:26" ht="13.8">
      <c r="A460" s="80"/>
      <c r="B460" s="80"/>
      <c r="C460" s="100"/>
      <c r="D460" s="10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</row>
    <row r="461" spans="1:26" ht="13.8">
      <c r="A461" s="80"/>
      <c r="B461" s="80"/>
      <c r="C461" s="100"/>
      <c r="D461" s="10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</row>
    <row r="462" spans="1:26" ht="13.8">
      <c r="A462" s="80"/>
      <c r="B462" s="80"/>
      <c r="C462" s="100"/>
      <c r="D462" s="10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</row>
    <row r="463" spans="1:26" ht="13.8">
      <c r="A463" s="80"/>
      <c r="B463" s="80"/>
      <c r="C463" s="100"/>
      <c r="D463" s="10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</row>
    <row r="464" spans="1:26" ht="13.8">
      <c r="A464" s="80"/>
      <c r="B464" s="80"/>
      <c r="C464" s="100"/>
      <c r="D464" s="10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</row>
    <row r="465" spans="1:26" ht="13.8">
      <c r="A465" s="80"/>
      <c r="B465" s="80"/>
      <c r="C465" s="100"/>
      <c r="D465" s="10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</row>
    <row r="466" spans="1:26" ht="13.8">
      <c r="A466" s="80"/>
      <c r="B466" s="80"/>
      <c r="C466" s="100"/>
      <c r="D466" s="10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</row>
    <row r="467" spans="1:26" ht="13.8">
      <c r="A467" s="80"/>
      <c r="B467" s="80"/>
      <c r="C467" s="100"/>
      <c r="D467" s="10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</row>
    <row r="468" spans="1:26" ht="13.8">
      <c r="A468" s="80"/>
      <c r="B468" s="80"/>
      <c r="C468" s="100"/>
      <c r="D468" s="10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</row>
    <row r="469" spans="1:26" ht="13.8">
      <c r="A469" s="80"/>
      <c r="B469" s="80"/>
      <c r="C469" s="100"/>
      <c r="D469" s="10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</row>
    <row r="470" spans="1:26" ht="13.8">
      <c r="A470" s="80"/>
      <c r="B470" s="80"/>
      <c r="C470" s="100"/>
      <c r="D470" s="10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</row>
    <row r="471" spans="1:26" ht="13.8">
      <c r="A471" s="80"/>
      <c r="B471" s="80"/>
      <c r="C471" s="100"/>
      <c r="D471" s="10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</row>
    <row r="472" spans="1:26" ht="13.8">
      <c r="A472" s="80"/>
      <c r="B472" s="80"/>
      <c r="C472" s="100"/>
      <c r="D472" s="10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</row>
    <row r="473" spans="1:26" ht="13.8">
      <c r="A473" s="80"/>
      <c r="B473" s="80"/>
      <c r="C473" s="100"/>
      <c r="D473" s="10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</row>
    <row r="474" spans="1:26" ht="13.8">
      <c r="A474" s="80"/>
      <c r="B474" s="80"/>
      <c r="C474" s="100"/>
      <c r="D474" s="10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</row>
    <row r="475" spans="1:26" ht="13.8">
      <c r="A475" s="80"/>
      <c r="B475" s="80"/>
      <c r="C475" s="100"/>
      <c r="D475" s="10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</row>
    <row r="476" spans="1:26" ht="13.8">
      <c r="A476" s="80"/>
      <c r="B476" s="80"/>
      <c r="C476" s="100"/>
      <c r="D476" s="10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</row>
    <row r="477" spans="1:26" ht="13.8">
      <c r="A477" s="80"/>
      <c r="B477" s="80"/>
      <c r="C477" s="100"/>
      <c r="D477" s="10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</row>
    <row r="478" spans="1:26" ht="13.8">
      <c r="A478" s="80"/>
      <c r="B478" s="80"/>
      <c r="C478" s="100"/>
      <c r="D478" s="10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</row>
    <row r="479" spans="1:26" ht="13.8">
      <c r="A479" s="80"/>
      <c r="B479" s="80"/>
      <c r="C479" s="100"/>
      <c r="D479" s="10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</row>
    <row r="480" spans="1:26" ht="13.8">
      <c r="A480" s="80"/>
      <c r="B480" s="80"/>
      <c r="C480" s="100"/>
      <c r="D480" s="10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</row>
    <row r="481" spans="1:26" ht="13.8">
      <c r="A481" s="80"/>
      <c r="B481" s="80"/>
      <c r="C481" s="100"/>
      <c r="D481" s="10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</row>
    <row r="482" spans="1:26" ht="13.8">
      <c r="A482" s="80"/>
      <c r="B482" s="80"/>
      <c r="C482" s="100"/>
      <c r="D482" s="10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</row>
    <row r="483" spans="1:26" ht="13.8">
      <c r="A483" s="80"/>
      <c r="B483" s="80"/>
      <c r="C483" s="100"/>
      <c r="D483" s="10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</row>
    <row r="484" spans="1:26" ht="13.8">
      <c r="A484" s="80"/>
      <c r="B484" s="80"/>
      <c r="C484" s="100"/>
      <c r="D484" s="10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</row>
    <row r="485" spans="1:26" ht="13.8">
      <c r="A485" s="80"/>
      <c r="B485" s="80"/>
      <c r="C485" s="100"/>
      <c r="D485" s="10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</row>
    <row r="486" spans="1:26" ht="13.8">
      <c r="A486" s="80"/>
      <c r="B486" s="80"/>
      <c r="C486" s="100"/>
      <c r="D486" s="10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</row>
    <row r="487" spans="1:26" ht="13.8">
      <c r="A487" s="80"/>
      <c r="B487" s="80"/>
      <c r="C487" s="100"/>
      <c r="D487" s="10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</row>
    <row r="488" spans="1:26" ht="13.8">
      <c r="A488" s="80"/>
      <c r="B488" s="80"/>
      <c r="C488" s="100"/>
      <c r="D488" s="10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</row>
    <row r="489" spans="1:26" ht="13.8">
      <c r="A489" s="80"/>
      <c r="B489" s="80"/>
      <c r="C489" s="100"/>
      <c r="D489" s="10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</row>
    <row r="490" spans="1:26" ht="13.8">
      <c r="A490" s="80"/>
      <c r="B490" s="80"/>
      <c r="C490" s="100"/>
      <c r="D490" s="10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</row>
    <row r="491" spans="1:26" ht="13.8">
      <c r="A491" s="80"/>
      <c r="B491" s="80"/>
      <c r="C491" s="100"/>
      <c r="D491" s="10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</row>
    <row r="492" spans="1:26" ht="13.8">
      <c r="A492" s="80"/>
      <c r="B492" s="80"/>
      <c r="C492" s="100"/>
      <c r="D492" s="10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</row>
    <row r="493" spans="1:26" ht="13.8">
      <c r="A493" s="80"/>
      <c r="B493" s="80"/>
      <c r="C493" s="100"/>
      <c r="D493" s="10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</row>
    <row r="494" spans="1:26" ht="13.8">
      <c r="A494" s="80"/>
      <c r="B494" s="80"/>
      <c r="C494" s="100"/>
      <c r="D494" s="10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</row>
    <row r="495" spans="1:26" ht="13.8">
      <c r="A495" s="80"/>
      <c r="B495" s="80"/>
      <c r="C495" s="100"/>
      <c r="D495" s="10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</row>
    <row r="496" spans="1:26" ht="13.8">
      <c r="A496" s="80"/>
      <c r="B496" s="80"/>
      <c r="C496" s="100"/>
      <c r="D496" s="10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</row>
    <row r="497" spans="1:26" ht="13.8">
      <c r="A497" s="80"/>
      <c r="B497" s="80"/>
      <c r="C497" s="100"/>
      <c r="D497" s="10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</row>
    <row r="498" spans="1:26" ht="13.8">
      <c r="A498" s="80"/>
      <c r="B498" s="80"/>
      <c r="C498" s="100"/>
      <c r="D498" s="10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</row>
    <row r="499" spans="1:26" ht="13.8">
      <c r="A499" s="80"/>
      <c r="B499" s="80"/>
      <c r="C499" s="100"/>
      <c r="D499" s="10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</row>
    <row r="500" spans="1:26" ht="13.8">
      <c r="A500" s="80"/>
      <c r="B500" s="80"/>
      <c r="C500" s="100"/>
      <c r="D500" s="10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</row>
    <row r="501" spans="1:26" ht="13.8">
      <c r="A501" s="80"/>
      <c r="B501" s="80"/>
      <c r="C501" s="100"/>
      <c r="D501" s="10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</row>
    <row r="502" spans="1:26" ht="13.8">
      <c r="A502" s="80"/>
      <c r="B502" s="80"/>
      <c r="C502" s="100"/>
      <c r="D502" s="10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</row>
    <row r="503" spans="1:26" ht="13.8">
      <c r="A503" s="80"/>
      <c r="B503" s="80"/>
      <c r="C503" s="100"/>
      <c r="D503" s="10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</row>
    <row r="504" spans="1:26" ht="13.8">
      <c r="A504" s="80"/>
      <c r="B504" s="80"/>
      <c r="C504" s="100"/>
      <c r="D504" s="10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</row>
    <row r="505" spans="1:26" ht="13.8">
      <c r="A505" s="80"/>
      <c r="B505" s="80"/>
      <c r="C505" s="100"/>
      <c r="D505" s="10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</row>
    <row r="506" spans="1:26" ht="13.8">
      <c r="A506" s="80"/>
      <c r="B506" s="80"/>
      <c r="C506" s="100"/>
      <c r="D506" s="10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</row>
    <row r="507" spans="1:26" ht="13.8">
      <c r="A507" s="80"/>
      <c r="B507" s="80"/>
      <c r="C507" s="100"/>
      <c r="D507" s="10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</row>
    <row r="508" spans="1:26" ht="13.8">
      <c r="A508" s="80"/>
      <c r="B508" s="80"/>
      <c r="C508" s="100"/>
      <c r="D508" s="10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</row>
    <row r="509" spans="1:26" ht="13.8">
      <c r="A509" s="80"/>
      <c r="B509" s="80"/>
      <c r="C509" s="100"/>
      <c r="D509" s="10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</row>
    <row r="510" spans="1:26" ht="13.8">
      <c r="A510" s="80"/>
      <c r="B510" s="80"/>
      <c r="C510" s="100"/>
      <c r="D510" s="10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</row>
    <row r="511" spans="1:26" ht="13.8">
      <c r="A511" s="80"/>
      <c r="B511" s="80"/>
      <c r="C511" s="100"/>
      <c r="D511" s="10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</row>
    <row r="512" spans="1:26" ht="13.8">
      <c r="A512" s="80"/>
      <c r="B512" s="80"/>
      <c r="C512" s="100"/>
      <c r="D512" s="10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</row>
    <row r="513" spans="1:26" ht="13.8">
      <c r="A513" s="80"/>
      <c r="B513" s="80"/>
      <c r="C513" s="100"/>
      <c r="D513" s="10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</row>
    <row r="514" spans="1:26" ht="13.8">
      <c r="A514" s="80"/>
      <c r="B514" s="80"/>
      <c r="C514" s="100"/>
      <c r="D514" s="10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</row>
    <row r="515" spans="1:26" ht="13.8">
      <c r="A515" s="80"/>
      <c r="B515" s="80"/>
      <c r="C515" s="100"/>
      <c r="D515" s="10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</row>
    <row r="516" spans="1:26" ht="13.8">
      <c r="A516" s="80"/>
      <c r="B516" s="80"/>
      <c r="C516" s="100"/>
      <c r="D516" s="10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</row>
    <row r="517" spans="1:26" ht="13.8">
      <c r="A517" s="80"/>
      <c r="B517" s="80"/>
      <c r="C517" s="100"/>
      <c r="D517" s="10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</row>
    <row r="518" spans="1:26" ht="13.8">
      <c r="A518" s="80"/>
      <c r="B518" s="80"/>
      <c r="C518" s="100"/>
      <c r="D518" s="10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</row>
    <row r="519" spans="1:26" ht="13.8">
      <c r="A519" s="80"/>
      <c r="B519" s="80"/>
      <c r="C519" s="100"/>
      <c r="D519" s="10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</row>
    <row r="520" spans="1:26" ht="13.8">
      <c r="A520" s="80"/>
      <c r="B520" s="80"/>
      <c r="C520" s="100"/>
      <c r="D520" s="10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</row>
    <row r="521" spans="1:26" ht="13.8">
      <c r="A521" s="80"/>
      <c r="B521" s="80"/>
      <c r="C521" s="100"/>
      <c r="D521" s="10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</row>
    <row r="522" spans="1:26" ht="13.8">
      <c r="A522" s="80"/>
      <c r="B522" s="80"/>
      <c r="C522" s="100"/>
      <c r="D522" s="10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</row>
    <row r="523" spans="1:26" ht="13.8">
      <c r="A523" s="80"/>
      <c r="B523" s="80"/>
      <c r="C523" s="100"/>
      <c r="D523" s="10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</row>
    <row r="524" spans="1:26" ht="13.8">
      <c r="A524" s="80"/>
      <c r="B524" s="80"/>
      <c r="C524" s="100"/>
      <c r="D524" s="10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</row>
    <row r="525" spans="1:26" ht="13.8">
      <c r="A525" s="80"/>
      <c r="B525" s="80"/>
      <c r="C525" s="100"/>
      <c r="D525" s="10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</row>
    <row r="526" spans="1:26" ht="13.8">
      <c r="A526" s="80"/>
      <c r="B526" s="80"/>
      <c r="C526" s="100"/>
      <c r="D526" s="10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</row>
    <row r="527" spans="1:26" ht="13.8">
      <c r="A527" s="80"/>
      <c r="B527" s="80"/>
      <c r="C527" s="100"/>
      <c r="D527" s="10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</row>
    <row r="528" spans="1:26" ht="13.8">
      <c r="A528" s="80"/>
      <c r="B528" s="80"/>
      <c r="C528" s="100"/>
      <c r="D528" s="10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</row>
    <row r="529" spans="1:26" ht="13.8">
      <c r="A529" s="80"/>
      <c r="B529" s="80"/>
      <c r="C529" s="100"/>
      <c r="D529" s="10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</row>
    <row r="530" spans="1:26" ht="13.8">
      <c r="A530" s="80"/>
      <c r="B530" s="80"/>
      <c r="C530" s="100"/>
      <c r="D530" s="10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</row>
    <row r="531" spans="1:26" ht="13.8">
      <c r="A531" s="80"/>
      <c r="B531" s="80"/>
      <c r="C531" s="100"/>
      <c r="D531" s="10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</row>
    <row r="532" spans="1:26" ht="13.8">
      <c r="A532" s="80"/>
      <c r="B532" s="80"/>
      <c r="C532" s="100"/>
      <c r="D532" s="10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</row>
    <row r="533" spans="1:26" ht="13.8">
      <c r="A533" s="80"/>
      <c r="B533" s="80"/>
      <c r="C533" s="100"/>
      <c r="D533" s="10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</row>
    <row r="534" spans="1:26" ht="13.8">
      <c r="A534" s="80"/>
      <c r="B534" s="80"/>
      <c r="C534" s="100"/>
      <c r="D534" s="10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</row>
    <row r="535" spans="1:26" ht="13.8">
      <c r="A535" s="80"/>
      <c r="B535" s="80"/>
      <c r="C535" s="100"/>
      <c r="D535" s="10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</row>
    <row r="536" spans="1:26" ht="13.8">
      <c r="A536" s="80"/>
      <c r="B536" s="80"/>
      <c r="C536" s="100"/>
      <c r="D536" s="10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</row>
    <row r="537" spans="1:26" ht="13.8">
      <c r="A537" s="80"/>
      <c r="B537" s="80"/>
      <c r="C537" s="100"/>
      <c r="D537" s="10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</row>
    <row r="538" spans="1:26" ht="13.8">
      <c r="A538" s="80"/>
      <c r="B538" s="80"/>
      <c r="C538" s="100"/>
      <c r="D538" s="10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</row>
    <row r="539" spans="1:26" ht="13.8">
      <c r="A539" s="80"/>
      <c r="B539" s="80"/>
      <c r="C539" s="100"/>
      <c r="D539" s="10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</row>
    <row r="540" spans="1:26" ht="13.8">
      <c r="A540" s="80"/>
      <c r="B540" s="80"/>
      <c r="C540" s="100"/>
      <c r="D540" s="10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</row>
    <row r="541" spans="1:26" ht="13.8">
      <c r="A541" s="80"/>
      <c r="B541" s="80"/>
      <c r="C541" s="100"/>
      <c r="D541" s="10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</row>
    <row r="542" spans="1:26" ht="13.8">
      <c r="A542" s="80"/>
      <c r="B542" s="80"/>
      <c r="C542" s="100"/>
      <c r="D542" s="10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</row>
    <row r="543" spans="1:26" ht="13.8">
      <c r="A543" s="80"/>
      <c r="B543" s="80"/>
      <c r="C543" s="100"/>
      <c r="D543" s="10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</row>
    <row r="544" spans="1:26" ht="13.8">
      <c r="A544" s="80"/>
      <c r="B544" s="80"/>
      <c r="C544" s="100"/>
      <c r="D544" s="10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</row>
    <row r="545" spans="1:26" ht="13.8">
      <c r="A545" s="80"/>
      <c r="B545" s="80"/>
      <c r="C545" s="100"/>
      <c r="D545" s="10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</row>
    <row r="546" spans="1:26" ht="13.8">
      <c r="A546" s="80"/>
      <c r="B546" s="80"/>
      <c r="C546" s="100"/>
      <c r="D546" s="10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</row>
    <row r="547" spans="1:26" ht="13.8">
      <c r="A547" s="80"/>
      <c r="B547" s="80"/>
      <c r="C547" s="100"/>
      <c r="D547" s="10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</row>
    <row r="548" spans="1:26" ht="13.8">
      <c r="A548" s="80"/>
      <c r="B548" s="80"/>
      <c r="C548" s="100"/>
      <c r="D548" s="10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</row>
    <row r="549" spans="1:26" ht="13.8">
      <c r="A549" s="80"/>
      <c r="B549" s="80"/>
      <c r="C549" s="100"/>
      <c r="D549" s="10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</row>
    <row r="550" spans="1:26" ht="13.8">
      <c r="A550" s="80"/>
      <c r="B550" s="80"/>
      <c r="C550" s="100"/>
      <c r="D550" s="10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</row>
    <row r="551" spans="1:26" ht="13.8">
      <c r="A551" s="80"/>
      <c r="B551" s="80"/>
      <c r="C551" s="100"/>
      <c r="D551" s="10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</row>
    <row r="552" spans="1:26" ht="13.8">
      <c r="A552" s="80"/>
      <c r="B552" s="80"/>
      <c r="C552" s="100"/>
      <c r="D552" s="10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</row>
    <row r="553" spans="1:26" ht="13.8">
      <c r="A553" s="80"/>
      <c r="B553" s="80"/>
      <c r="C553" s="100"/>
      <c r="D553" s="10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</row>
    <row r="554" spans="1:26" ht="13.8">
      <c r="A554" s="80"/>
      <c r="B554" s="80"/>
      <c r="C554" s="100"/>
      <c r="D554" s="10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</row>
    <row r="555" spans="1:26" ht="13.8">
      <c r="A555" s="80"/>
      <c r="B555" s="80"/>
      <c r="C555" s="100"/>
      <c r="D555" s="10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</row>
    <row r="556" spans="1:26" ht="13.8">
      <c r="A556" s="80"/>
      <c r="B556" s="80"/>
      <c r="C556" s="100"/>
      <c r="D556" s="10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</row>
    <row r="557" spans="1:26" ht="13.8">
      <c r="A557" s="80"/>
      <c r="B557" s="80"/>
      <c r="C557" s="100"/>
      <c r="D557" s="10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</row>
    <row r="558" spans="1:26" ht="13.8">
      <c r="A558" s="80"/>
      <c r="B558" s="80"/>
      <c r="C558" s="100"/>
      <c r="D558" s="10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</row>
    <row r="559" spans="1:26" ht="13.8">
      <c r="A559" s="80"/>
      <c r="B559" s="80"/>
      <c r="C559" s="100"/>
      <c r="D559" s="10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</row>
    <row r="560" spans="1:26" ht="13.8">
      <c r="A560" s="80"/>
      <c r="B560" s="80"/>
      <c r="C560" s="100"/>
      <c r="D560" s="10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</row>
    <row r="561" spans="1:26" ht="13.8">
      <c r="A561" s="80"/>
      <c r="B561" s="80"/>
      <c r="C561" s="100"/>
      <c r="D561" s="10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</row>
    <row r="562" spans="1:26" ht="13.8">
      <c r="A562" s="80"/>
      <c r="B562" s="80"/>
      <c r="C562" s="100"/>
      <c r="D562" s="10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</row>
    <row r="563" spans="1:26" ht="13.8">
      <c r="A563" s="80"/>
      <c r="B563" s="80"/>
      <c r="C563" s="100"/>
      <c r="D563" s="10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</row>
    <row r="564" spans="1:26" ht="13.8">
      <c r="A564" s="80"/>
      <c r="B564" s="80"/>
      <c r="C564" s="100"/>
      <c r="D564" s="10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</row>
    <row r="565" spans="1:26" ht="13.8">
      <c r="A565" s="80"/>
      <c r="B565" s="80"/>
      <c r="C565" s="100"/>
      <c r="D565" s="10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</row>
    <row r="566" spans="1:26" ht="13.8">
      <c r="A566" s="80"/>
      <c r="B566" s="80"/>
      <c r="C566" s="100"/>
      <c r="D566" s="10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</row>
    <row r="567" spans="1:26" ht="13.8">
      <c r="A567" s="80"/>
      <c r="B567" s="80"/>
      <c r="C567" s="100"/>
      <c r="D567" s="10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</row>
    <row r="568" spans="1:26" ht="13.8">
      <c r="A568" s="80"/>
      <c r="B568" s="80"/>
      <c r="C568" s="100"/>
      <c r="D568" s="10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</row>
    <row r="569" spans="1:26" ht="13.8">
      <c r="A569" s="80"/>
      <c r="B569" s="80"/>
      <c r="C569" s="100"/>
      <c r="D569" s="10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</row>
    <row r="570" spans="1:26" ht="13.8">
      <c r="A570" s="80"/>
      <c r="B570" s="80"/>
      <c r="C570" s="100"/>
      <c r="D570" s="10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</row>
    <row r="571" spans="1:26" ht="13.8">
      <c r="A571" s="80"/>
      <c r="B571" s="80"/>
      <c r="C571" s="100"/>
      <c r="D571" s="10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</row>
    <row r="572" spans="1:26" ht="13.8">
      <c r="A572" s="80"/>
      <c r="B572" s="80"/>
      <c r="C572" s="100"/>
      <c r="D572" s="10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</row>
    <row r="573" spans="1:26" ht="13.8">
      <c r="A573" s="80"/>
      <c r="B573" s="80"/>
      <c r="C573" s="100"/>
      <c r="D573" s="10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</row>
    <row r="574" spans="1:26" ht="13.8">
      <c r="A574" s="80"/>
      <c r="B574" s="80"/>
      <c r="C574" s="100"/>
      <c r="D574" s="10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</row>
    <row r="575" spans="1:26" ht="13.8">
      <c r="A575" s="80"/>
      <c r="B575" s="80"/>
      <c r="C575" s="100"/>
      <c r="D575" s="10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</row>
    <row r="576" spans="1:26" ht="13.8">
      <c r="A576" s="80"/>
      <c r="B576" s="80"/>
      <c r="C576" s="100"/>
      <c r="D576" s="10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</row>
    <row r="577" spans="1:26" ht="13.8">
      <c r="A577" s="80"/>
      <c r="B577" s="80"/>
      <c r="C577" s="100"/>
      <c r="D577" s="10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</row>
    <row r="578" spans="1:26" ht="13.8">
      <c r="A578" s="80"/>
      <c r="B578" s="80"/>
      <c r="C578" s="100"/>
      <c r="D578" s="10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</row>
    <row r="579" spans="1:26" ht="13.8">
      <c r="A579" s="80"/>
      <c r="B579" s="80"/>
      <c r="C579" s="100"/>
      <c r="D579" s="10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</row>
    <row r="580" spans="1:26" ht="13.8">
      <c r="A580" s="80"/>
      <c r="B580" s="80"/>
      <c r="C580" s="100"/>
      <c r="D580" s="10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</row>
    <row r="581" spans="1:26" ht="13.8">
      <c r="A581" s="80"/>
      <c r="B581" s="80"/>
      <c r="C581" s="100"/>
      <c r="D581" s="10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</row>
    <row r="582" spans="1:26" ht="13.8">
      <c r="A582" s="80"/>
      <c r="B582" s="80"/>
      <c r="C582" s="100"/>
      <c r="D582" s="10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</row>
    <row r="583" spans="1:26" ht="13.8">
      <c r="A583" s="80"/>
      <c r="B583" s="80"/>
      <c r="C583" s="100"/>
      <c r="D583" s="10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</row>
    <row r="584" spans="1:26" ht="13.8">
      <c r="A584" s="80"/>
      <c r="B584" s="80"/>
      <c r="C584" s="100"/>
      <c r="D584" s="10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</row>
    <row r="585" spans="1:26" ht="13.8">
      <c r="A585" s="80"/>
      <c r="B585" s="80"/>
      <c r="C585" s="100"/>
      <c r="D585" s="10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</row>
    <row r="586" spans="1:26" ht="13.8">
      <c r="A586" s="80"/>
      <c r="B586" s="80"/>
      <c r="C586" s="100"/>
      <c r="D586" s="10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</row>
    <row r="587" spans="1:26" ht="13.8">
      <c r="A587" s="80"/>
      <c r="B587" s="80"/>
      <c r="C587" s="100"/>
      <c r="D587" s="10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</row>
    <row r="588" spans="1:26" ht="13.8">
      <c r="A588" s="80"/>
      <c r="B588" s="80"/>
      <c r="C588" s="100"/>
      <c r="D588" s="10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</row>
    <row r="589" spans="1:26" ht="13.8">
      <c r="A589" s="80"/>
      <c r="B589" s="80"/>
      <c r="C589" s="100"/>
      <c r="D589" s="10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</row>
    <row r="590" spans="1:26" ht="13.8">
      <c r="A590" s="80"/>
      <c r="B590" s="80"/>
      <c r="C590" s="100"/>
      <c r="D590" s="10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</row>
    <row r="591" spans="1:26" ht="13.8">
      <c r="A591" s="80"/>
      <c r="B591" s="80"/>
      <c r="C591" s="100"/>
      <c r="D591" s="10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</row>
    <row r="592" spans="1:26" ht="13.8">
      <c r="A592" s="80"/>
      <c r="B592" s="80"/>
      <c r="C592" s="100"/>
      <c r="D592" s="10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</row>
    <row r="593" spans="1:26" ht="13.8">
      <c r="A593" s="80"/>
      <c r="B593" s="80"/>
      <c r="C593" s="100"/>
      <c r="D593" s="10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</row>
    <row r="594" spans="1:26" ht="13.8">
      <c r="A594" s="80"/>
      <c r="B594" s="80"/>
      <c r="C594" s="100"/>
      <c r="D594" s="10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</row>
    <row r="595" spans="1:26" ht="13.8">
      <c r="A595" s="80"/>
      <c r="B595" s="80"/>
      <c r="C595" s="100"/>
      <c r="D595" s="10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</row>
    <row r="596" spans="1:26" ht="13.8">
      <c r="A596" s="80"/>
      <c r="B596" s="80"/>
      <c r="C596" s="100"/>
      <c r="D596" s="10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</row>
    <row r="597" spans="1:26" ht="13.8">
      <c r="A597" s="80"/>
      <c r="B597" s="80"/>
      <c r="C597" s="100"/>
      <c r="D597" s="10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</row>
    <row r="598" spans="1:26" ht="13.8">
      <c r="A598" s="80"/>
      <c r="B598" s="80"/>
      <c r="C598" s="100"/>
      <c r="D598" s="10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</row>
    <row r="599" spans="1:26" ht="13.8">
      <c r="A599" s="80"/>
      <c r="B599" s="80"/>
      <c r="C599" s="100"/>
      <c r="D599" s="10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</row>
    <row r="600" spans="1:26" ht="13.8">
      <c r="A600" s="80"/>
      <c r="B600" s="80"/>
      <c r="C600" s="100"/>
      <c r="D600" s="10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</row>
    <row r="601" spans="1:26" ht="13.8">
      <c r="A601" s="80"/>
      <c r="B601" s="80"/>
      <c r="C601" s="100"/>
      <c r="D601" s="10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</row>
    <row r="602" spans="1:26" ht="13.8">
      <c r="A602" s="80"/>
      <c r="B602" s="80"/>
      <c r="C602" s="100"/>
      <c r="D602" s="10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</row>
    <row r="603" spans="1:26" ht="13.8">
      <c r="A603" s="80"/>
      <c r="B603" s="80"/>
      <c r="C603" s="100"/>
      <c r="D603" s="10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</row>
    <row r="604" spans="1:26" ht="13.8">
      <c r="A604" s="80"/>
      <c r="B604" s="80"/>
      <c r="C604" s="100"/>
      <c r="D604" s="10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</row>
    <row r="605" spans="1:26" ht="13.8">
      <c r="A605" s="80"/>
      <c r="B605" s="80"/>
      <c r="C605" s="100"/>
      <c r="D605" s="10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</row>
    <row r="606" spans="1:26" ht="13.8">
      <c r="A606" s="80"/>
      <c r="B606" s="80"/>
      <c r="C606" s="100"/>
      <c r="D606" s="10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</row>
    <row r="607" spans="1:26" ht="13.8">
      <c r="A607" s="80"/>
      <c r="B607" s="80"/>
      <c r="C607" s="100"/>
      <c r="D607" s="10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</row>
    <row r="608" spans="1:26" ht="13.8">
      <c r="A608" s="80"/>
      <c r="B608" s="80"/>
      <c r="C608" s="100"/>
      <c r="D608" s="10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</row>
    <row r="609" spans="1:26" ht="13.8">
      <c r="A609" s="80"/>
      <c r="B609" s="80"/>
      <c r="C609" s="100"/>
      <c r="D609" s="10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</row>
    <row r="610" spans="1:26" ht="13.8">
      <c r="A610" s="80"/>
      <c r="B610" s="80"/>
      <c r="C610" s="100"/>
      <c r="D610" s="10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</row>
    <row r="611" spans="1:26" ht="13.8">
      <c r="A611" s="80"/>
      <c r="B611" s="80"/>
      <c r="C611" s="100"/>
      <c r="D611" s="10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</row>
    <row r="612" spans="1:26" ht="13.8">
      <c r="A612" s="80"/>
      <c r="B612" s="80"/>
      <c r="C612" s="100"/>
      <c r="D612" s="10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</row>
    <row r="613" spans="1:26" ht="13.8">
      <c r="A613" s="80"/>
      <c r="B613" s="80"/>
      <c r="C613" s="100"/>
      <c r="D613" s="10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</row>
    <row r="614" spans="1:26" ht="13.8">
      <c r="A614" s="80"/>
      <c r="B614" s="80"/>
      <c r="C614" s="100"/>
      <c r="D614" s="10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</row>
    <row r="615" spans="1:26" ht="13.8">
      <c r="A615" s="80"/>
      <c r="B615" s="80"/>
      <c r="C615" s="100"/>
      <c r="D615" s="10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</row>
    <row r="616" spans="1:26" ht="13.8">
      <c r="A616" s="80"/>
      <c r="B616" s="80"/>
      <c r="C616" s="100"/>
      <c r="D616" s="10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</row>
    <row r="617" spans="1:26" ht="13.8">
      <c r="A617" s="80"/>
      <c r="B617" s="80"/>
      <c r="C617" s="100"/>
      <c r="D617" s="10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</row>
    <row r="618" spans="1:26" ht="13.8">
      <c r="A618" s="80"/>
      <c r="B618" s="80"/>
      <c r="C618" s="100"/>
      <c r="D618" s="10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</row>
    <row r="619" spans="1:26" ht="13.8">
      <c r="A619" s="80"/>
      <c r="B619" s="80"/>
      <c r="C619" s="100"/>
      <c r="D619" s="10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</row>
    <row r="620" spans="1:26" ht="13.8">
      <c r="A620" s="80"/>
      <c r="B620" s="80"/>
      <c r="C620" s="100"/>
      <c r="D620" s="10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</row>
    <row r="621" spans="1:26" ht="13.8">
      <c r="A621" s="80"/>
      <c r="B621" s="80"/>
      <c r="C621" s="100"/>
      <c r="D621" s="10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</row>
    <row r="622" spans="1:26" ht="13.8">
      <c r="A622" s="80"/>
      <c r="B622" s="80"/>
      <c r="C622" s="100"/>
      <c r="D622" s="10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</row>
    <row r="623" spans="1:26" ht="13.8">
      <c r="A623" s="80"/>
      <c r="B623" s="80"/>
      <c r="C623" s="100"/>
      <c r="D623" s="10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</row>
    <row r="624" spans="1:26" ht="13.8">
      <c r="A624" s="80"/>
      <c r="B624" s="80"/>
      <c r="C624" s="100"/>
      <c r="D624" s="10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</row>
    <row r="625" spans="1:26" ht="13.8">
      <c r="A625" s="80"/>
      <c r="B625" s="80"/>
      <c r="C625" s="100"/>
      <c r="D625" s="10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</row>
    <row r="626" spans="1:26" ht="13.8">
      <c r="A626" s="80"/>
      <c r="B626" s="80"/>
      <c r="C626" s="100"/>
      <c r="D626" s="10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</row>
    <row r="627" spans="1:26" ht="13.8">
      <c r="A627" s="80"/>
      <c r="B627" s="80"/>
      <c r="C627" s="100"/>
      <c r="D627" s="10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</row>
    <row r="628" spans="1:26" ht="13.8">
      <c r="A628" s="80"/>
      <c r="B628" s="80"/>
      <c r="C628" s="100"/>
      <c r="D628" s="10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</row>
    <row r="629" spans="1:26" ht="13.8">
      <c r="A629" s="80"/>
      <c r="B629" s="80"/>
      <c r="C629" s="100"/>
      <c r="D629" s="10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</row>
    <row r="630" spans="1:26" ht="13.8">
      <c r="A630" s="80"/>
      <c r="B630" s="80"/>
      <c r="C630" s="100"/>
      <c r="D630" s="10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</row>
    <row r="631" spans="1:26" ht="13.8">
      <c r="A631" s="80"/>
      <c r="B631" s="80"/>
      <c r="C631" s="100"/>
      <c r="D631" s="10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</row>
    <row r="632" spans="1:26" ht="13.8">
      <c r="A632" s="80"/>
      <c r="B632" s="80"/>
      <c r="C632" s="100"/>
      <c r="D632" s="10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</row>
    <row r="633" spans="1:26" ht="13.8">
      <c r="A633" s="80"/>
      <c r="B633" s="80"/>
      <c r="C633" s="100"/>
      <c r="D633" s="10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</row>
    <row r="634" spans="1:26" ht="13.8">
      <c r="A634" s="80"/>
      <c r="B634" s="80"/>
      <c r="C634" s="100"/>
      <c r="D634" s="10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</row>
    <row r="635" spans="1:26" ht="13.8">
      <c r="A635" s="80"/>
      <c r="B635" s="80"/>
      <c r="C635" s="100"/>
      <c r="D635" s="10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</row>
    <row r="636" spans="1:26" ht="13.8">
      <c r="A636" s="80"/>
      <c r="B636" s="80"/>
      <c r="C636" s="100"/>
      <c r="D636" s="10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</row>
    <row r="637" spans="1:26" ht="13.8">
      <c r="A637" s="80"/>
      <c r="B637" s="80"/>
      <c r="C637" s="100"/>
      <c r="D637" s="10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</row>
    <row r="638" spans="1:26" ht="13.8">
      <c r="A638" s="80"/>
      <c r="B638" s="80"/>
      <c r="C638" s="100"/>
      <c r="D638" s="10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</row>
    <row r="639" spans="1:26" ht="13.8">
      <c r="A639" s="80"/>
      <c r="B639" s="80"/>
      <c r="C639" s="100"/>
      <c r="D639" s="10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</row>
    <row r="640" spans="1:26" ht="13.8">
      <c r="A640" s="80"/>
      <c r="B640" s="80"/>
      <c r="C640" s="100"/>
      <c r="D640" s="10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</row>
    <row r="641" spans="1:26" ht="13.8">
      <c r="A641" s="80"/>
      <c r="B641" s="80"/>
      <c r="C641" s="100"/>
      <c r="D641" s="10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</row>
    <row r="642" spans="1:26" ht="13.8">
      <c r="A642" s="80"/>
      <c r="B642" s="80"/>
      <c r="C642" s="100"/>
      <c r="D642" s="10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</row>
    <row r="643" spans="1:26" ht="13.8">
      <c r="A643" s="80"/>
      <c r="B643" s="80"/>
      <c r="C643" s="100"/>
      <c r="D643" s="10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</row>
    <row r="644" spans="1:26" ht="13.8">
      <c r="A644" s="80"/>
      <c r="B644" s="80"/>
      <c r="C644" s="100"/>
      <c r="D644" s="10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</row>
    <row r="645" spans="1:26" ht="13.8">
      <c r="A645" s="80"/>
      <c r="B645" s="80"/>
      <c r="C645" s="100"/>
      <c r="D645" s="10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</row>
    <row r="646" spans="1:26" ht="13.8">
      <c r="A646" s="80"/>
      <c r="B646" s="80"/>
      <c r="C646" s="100"/>
      <c r="D646" s="10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</row>
    <row r="647" spans="1:26" ht="13.8">
      <c r="A647" s="80"/>
      <c r="B647" s="80"/>
      <c r="C647" s="100"/>
      <c r="D647" s="10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</row>
    <row r="648" spans="1:26" ht="13.8">
      <c r="A648" s="80"/>
      <c r="B648" s="80"/>
      <c r="C648" s="100"/>
      <c r="D648" s="10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</row>
    <row r="649" spans="1:26" ht="13.8">
      <c r="A649" s="80"/>
      <c r="B649" s="80"/>
      <c r="C649" s="100"/>
      <c r="D649" s="10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</row>
    <row r="650" spans="1:26" ht="13.8">
      <c r="A650" s="80"/>
      <c r="B650" s="80"/>
      <c r="C650" s="100"/>
      <c r="D650" s="10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</row>
    <row r="651" spans="1:26" ht="13.8">
      <c r="A651" s="80"/>
      <c r="B651" s="80"/>
      <c r="C651" s="100"/>
      <c r="D651" s="10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</row>
    <row r="652" spans="1:26" ht="13.8">
      <c r="A652" s="80"/>
      <c r="B652" s="80"/>
      <c r="C652" s="100"/>
      <c r="D652" s="10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</row>
    <row r="653" spans="1:26" ht="13.8">
      <c r="A653" s="80"/>
      <c r="B653" s="80"/>
      <c r="C653" s="100"/>
      <c r="D653" s="10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</row>
    <row r="654" spans="1:26" ht="13.8">
      <c r="A654" s="80"/>
      <c r="B654" s="80"/>
      <c r="C654" s="100"/>
      <c r="D654" s="10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</row>
    <row r="655" spans="1:26" ht="13.8">
      <c r="A655" s="80"/>
      <c r="B655" s="80"/>
      <c r="C655" s="100"/>
      <c r="D655" s="10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</row>
    <row r="656" spans="1:26" ht="13.8">
      <c r="A656" s="80"/>
      <c r="B656" s="80"/>
      <c r="C656" s="100"/>
      <c r="D656" s="10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</row>
    <row r="657" spans="1:26" ht="13.8">
      <c r="A657" s="80"/>
      <c r="B657" s="80"/>
      <c r="C657" s="100"/>
      <c r="D657" s="10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</row>
    <row r="658" spans="1:26" ht="13.8">
      <c r="A658" s="80"/>
      <c r="B658" s="80"/>
      <c r="C658" s="100"/>
      <c r="D658" s="10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</row>
    <row r="659" spans="1:26" ht="13.8">
      <c r="A659" s="80"/>
      <c r="B659" s="80"/>
      <c r="C659" s="100"/>
      <c r="D659" s="10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</row>
    <row r="660" spans="1:26" ht="13.8">
      <c r="A660" s="80"/>
      <c r="B660" s="80"/>
      <c r="C660" s="100"/>
      <c r="D660" s="10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</row>
    <row r="661" spans="1:26" ht="13.8">
      <c r="A661" s="80"/>
      <c r="B661" s="80"/>
      <c r="C661" s="100"/>
      <c r="D661" s="10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</row>
    <row r="662" spans="1:26" ht="13.8">
      <c r="A662" s="80"/>
      <c r="B662" s="80"/>
      <c r="C662" s="100"/>
      <c r="D662" s="10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</row>
    <row r="663" spans="1:26" ht="13.8">
      <c r="A663" s="80"/>
      <c r="B663" s="80"/>
      <c r="C663" s="100"/>
      <c r="D663" s="10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</row>
    <row r="664" spans="1:26" ht="13.8">
      <c r="A664" s="80"/>
      <c r="B664" s="80"/>
      <c r="C664" s="100"/>
      <c r="D664" s="10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</row>
    <row r="665" spans="1:26" ht="13.8">
      <c r="A665" s="80"/>
      <c r="B665" s="80"/>
      <c r="C665" s="100"/>
      <c r="D665" s="10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</row>
    <row r="666" spans="1:26" ht="13.8">
      <c r="A666" s="80"/>
      <c r="B666" s="80"/>
      <c r="C666" s="100"/>
      <c r="D666" s="10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</row>
    <row r="667" spans="1:26" ht="13.8">
      <c r="A667" s="80"/>
      <c r="B667" s="80"/>
      <c r="C667" s="100"/>
      <c r="D667" s="10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</row>
    <row r="668" spans="1:26" ht="13.8">
      <c r="A668" s="80"/>
      <c r="B668" s="80"/>
      <c r="C668" s="100"/>
      <c r="D668" s="10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</row>
    <row r="669" spans="1:26" ht="13.8">
      <c r="A669" s="80"/>
      <c r="B669" s="80"/>
      <c r="C669" s="100"/>
      <c r="D669" s="10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</row>
    <row r="670" spans="1:26" ht="13.8">
      <c r="A670" s="80"/>
      <c r="B670" s="80"/>
      <c r="C670" s="100"/>
      <c r="D670" s="10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</row>
    <row r="671" spans="1:26" ht="13.8">
      <c r="A671" s="80"/>
      <c r="B671" s="80"/>
      <c r="C671" s="100"/>
      <c r="D671" s="10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</row>
    <row r="672" spans="1:26" ht="13.8">
      <c r="A672" s="80"/>
      <c r="B672" s="80"/>
      <c r="C672" s="100"/>
      <c r="D672" s="10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</row>
    <row r="673" spans="1:26" ht="13.8">
      <c r="A673" s="80"/>
      <c r="B673" s="80"/>
      <c r="C673" s="100"/>
      <c r="D673" s="10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</row>
    <row r="674" spans="1:26" ht="13.8">
      <c r="A674" s="80"/>
      <c r="B674" s="80"/>
      <c r="C674" s="100"/>
      <c r="D674" s="10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</row>
    <row r="675" spans="1:26" ht="13.8">
      <c r="A675" s="80"/>
      <c r="B675" s="80"/>
      <c r="C675" s="100"/>
      <c r="D675" s="10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</row>
    <row r="676" spans="1:26" ht="13.8">
      <c r="A676" s="80"/>
      <c r="B676" s="80"/>
      <c r="C676" s="100"/>
      <c r="D676" s="10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</row>
    <row r="677" spans="1:26" ht="13.8">
      <c r="A677" s="80"/>
      <c r="B677" s="80"/>
      <c r="C677" s="100"/>
      <c r="D677" s="10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</row>
    <row r="678" spans="1:26" ht="13.8">
      <c r="A678" s="80"/>
      <c r="B678" s="80"/>
      <c r="C678" s="100"/>
      <c r="D678" s="10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</row>
    <row r="679" spans="1:26" ht="13.8">
      <c r="A679" s="80"/>
      <c r="B679" s="80"/>
      <c r="C679" s="100"/>
      <c r="D679" s="10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</row>
    <row r="680" spans="1:26" ht="13.8">
      <c r="A680" s="80"/>
      <c r="B680" s="80"/>
      <c r="C680" s="100"/>
      <c r="D680" s="10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</row>
    <row r="681" spans="1:26" ht="13.8">
      <c r="A681" s="80"/>
      <c r="B681" s="80"/>
      <c r="C681" s="100"/>
      <c r="D681" s="10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</row>
    <row r="682" spans="1:26" ht="13.8">
      <c r="A682" s="80"/>
      <c r="B682" s="80"/>
      <c r="C682" s="100"/>
      <c r="D682" s="10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</row>
    <row r="683" spans="1:26" ht="13.8">
      <c r="A683" s="80"/>
      <c r="B683" s="80"/>
      <c r="C683" s="100"/>
      <c r="D683" s="10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</row>
    <row r="684" spans="1:26" ht="13.8">
      <c r="A684" s="80"/>
      <c r="B684" s="80"/>
      <c r="C684" s="100"/>
      <c r="D684" s="10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</row>
    <row r="685" spans="1:26" ht="13.8">
      <c r="A685" s="80"/>
      <c r="B685" s="80"/>
      <c r="C685" s="100"/>
      <c r="D685" s="10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</row>
    <row r="686" spans="1:26" ht="13.8">
      <c r="A686" s="80"/>
      <c r="B686" s="80"/>
      <c r="C686" s="100"/>
      <c r="D686" s="10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</row>
    <row r="687" spans="1:26" ht="13.8">
      <c r="A687" s="80"/>
      <c r="B687" s="80"/>
      <c r="C687" s="100"/>
      <c r="D687" s="10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</row>
    <row r="688" spans="1:26" ht="13.8">
      <c r="A688" s="80"/>
      <c r="B688" s="80"/>
      <c r="C688" s="100"/>
      <c r="D688" s="10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</row>
    <row r="689" spans="1:26" ht="13.8">
      <c r="A689" s="80"/>
      <c r="B689" s="80"/>
      <c r="C689" s="100"/>
      <c r="D689" s="10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</row>
    <row r="690" spans="1:26" ht="13.8">
      <c r="A690" s="80"/>
      <c r="B690" s="80"/>
      <c r="C690" s="100"/>
      <c r="D690" s="10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</row>
    <row r="691" spans="1:26" ht="13.8">
      <c r="A691" s="80"/>
      <c r="B691" s="80"/>
      <c r="C691" s="100"/>
      <c r="D691" s="10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</row>
    <row r="692" spans="1:26" ht="13.8">
      <c r="A692" s="80"/>
      <c r="B692" s="80"/>
      <c r="C692" s="100"/>
      <c r="D692" s="10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</row>
    <row r="693" spans="1:26" ht="13.8">
      <c r="A693" s="80"/>
      <c r="B693" s="80"/>
      <c r="C693" s="100"/>
      <c r="D693" s="10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</row>
    <row r="694" spans="1:26" ht="13.8">
      <c r="A694" s="80"/>
      <c r="B694" s="80"/>
      <c r="C694" s="100"/>
      <c r="D694" s="10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</row>
    <row r="695" spans="1:26" ht="13.8">
      <c r="A695" s="80"/>
      <c r="B695" s="80"/>
      <c r="C695" s="100"/>
      <c r="D695" s="10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</row>
    <row r="696" spans="1:26" ht="13.8">
      <c r="A696" s="80"/>
      <c r="B696" s="80"/>
      <c r="C696" s="100"/>
      <c r="D696" s="10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</row>
    <row r="697" spans="1:26" ht="13.8">
      <c r="A697" s="80"/>
      <c r="B697" s="80"/>
      <c r="C697" s="100"/>
      <c r="D697" s="10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</row>
    <row r="698" spans="1:26" ht="13.8">
      <c r="A698" s="80"/>
      <c r="B698" s="80"/>
      <c r="C698" s="100"/>
      <c r="D698" s="10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</row>
    <row r="699" spans="1:26" ht="13.8">
      <c r="A699" s="80"/>
      <c r="B699" s="80"/>
      <c r="C699" s="100"/>
      <c r="D699" s="10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</row>
    <row r="700" spans="1:26" ht="13.8">
      <c r="A700" s="80"/>
      <c r="B700" s="80"/>
      <c r="C700" s="100"/>
      <c r="D700" s="10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</row>
    <row r="701" spans="1:26" ht="13.8">
      <c r="A701" s="80"/>
      <c r="B701" s="80"/>
      <c r="C701" s="100"/>
      <c r="D701" s="10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</row>
    <row r="702" spans="1:26" ht="13.8">
      <c r="A702" s="80"/>
      <c r="B702" s="80"/>
      <c r="C702" s="100"/>
      <c r="D702" s="10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</row>
    <row r="703" spans="1:26" ht="13.8">
      <c r="A703" s="80"/>
      <c r="B703" s="80"/>
      <c r="C703" s="100"/>
      <c r="D703" s="10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</row>
    <row r="704" spans="1:26" ht="13.8">
      <c r="A704" s="80"/>
      <c r="B704" s="80"/>
      <c r="C704" s="100"/>
      <c r="D704" s="10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</row>
    <row r="705" spans="1:26" ht="13.8">
      <c r="A705" s="80"/>
      <c r="B705" s="80"/>
      <c r="C705" s="100"/>
      <c r="D705" s="10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</row>
    <row r="706" spans="1:26" ht="13.8">
      <c r="A706" s="80"/>
      <c r="B706" s="80"/>
      <c r="C706" s="100"/>
      <c r="D706" s="10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</row>
    <row r="707" spans="1:26" ht="13.8">
      <c r="A707" s="80"/>
      <c r="B707" s="80"/>
      <c r="C707" s="100"/>
      <c r="D707" s="10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</row>
    <row r="708" spans="1:26" ht="13.8">
      <c r="A708" s="80"/>
      <c r="B708" s="80"/>
      <c r="C708" s="100"/>
      <c r="D708" s="10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</row>
    <row r="709" spans="1:26" ht="13.8">
      <c r="A709" s="80"/>
      <c r="B709" s="80"/>
      <c r="C709" s="100"/>
      <c r="D709" s="10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</row>
    <row r="710" spans="1:26" ht="13.8">
      <c r="A710" s="80"/>
      <c r="B710" s="80"/>
      <c r="C710" s="100"/>
      <c r="D710" s="10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</row>
    <row r="711" spans="1:26" ht="13.8">
      <c r="A711" s="80"/>
      <c r="B711" s="80"/>
      <c r="C711" s="100"/>
      <c r="D711" s="10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</row>
    <row r="712" spans="1:26" ht="13.8">
      <c r="A712" s="80"/>
      <c r="B712" s="80"/>
      <c r="C712" s="100"/>
      <c r="D712" s="10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</row>
    <row r="713" spans="1:26" ht="13.8">
      <c r="A713" s="80"/>
      <c r="B713" s="80"/>
      <c r="C713" s="100"/>
      <c r="D713" s="10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</row>
    <row r="714" spans="1:26" ht="13.8">
      <c r="A714" s="80"/>
      <c r="B714" s="80"/>
      <c r="C714" s="100"/>
      <c r="D714" s="10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</row>
    <row r="715" spans="1:26" ht="13.8">
      <c r="A715" s="80"/>
      <c r="B715" s="80"/>
      <c r="C715" s="100"/>
      <c r="D715" s="10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</row>
    <row r="716" spans="1:26" ht="13.8">
      <c r="A716" s="80"/>
      <c r="B716" s="80"/>
      <c r="C716" s="100"/>
      <c r="D716" s="10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</row>
    <row r="717" spans="1:26" ht="13.8">
      <c r="A717" s="80"/>
      <c r="B717" s="80"/>
      <c r="C717" s="100"/>
      <c r="D717" s="10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</row>
    <row r="718" spans="1:26" ht="13.8">
      <c r="A718" s="80"/>
      <c r="B718" s="80"/>
      <c r="C718" s="100"/>
      <c r="D718" s="10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</row>
    <row r="719" spans="1:26" ht="13.8">
      <c r="A719" s="80"/>
      <c r="B719" s="80"/>
      <c r="C719" s="100"/>
      <c r="D719" s="10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</row>
    <row r="720" spans="1:26" ht="13.8">
      <c r="A720" s="80"/>
      <c r="B720" s="80"/>
      <c r="C720" s="100"/>
      <c r="D720" s="10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</row>
    <row r="721" spans="1:26" ht="13.8">
      <c r="A721" s="80"/>
      <c r="B721" s="80"/>
      <c r="C721" s="100"/>
      <c r="D721" s="10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</row>
    <row r="722" spans="1:26" ht="13.8">
      <c r="A722" s="80"/>
      <c r="B722" s="80"/>
      <c r="C722" s="100"/>
      <c r="D722" s="10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</row>
    <row r="723" spans="1:26" ht="13.8">
      <c r="A723" s="80"/>
      <c r="B723" s="80"/>
      <c r="C723" s="100"/>
      <c r="D723" s="10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</row>
    <row r="724" spans="1:26" ht="13.8">
      <c r="A724" s="80"/>
      <c r="B724" s="80"/>
      <c r="C724" s="100"/>
      <c r="D724" s="10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</row>
    <row r="725" spans="1:26" ht="13.8">
      <c r="A725" s="80"/>
      <c r="B725" s="80"/>
      <c r="C725" s="100"/>
      <c r="D725" s="10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</row>
    <row r="726" spans="1:26" ht="13.8">
      <c r="A726" s="80"/>
      <c r="B726" s="80"/>
      <c r="C726" s="100"/>
      <c r="D726" s="10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</row>
    <row r="727" spans="1:26" ht="13.8">
      <c r="A727" s="80"/>
      <c r="B727" s="80"/>
      <c r="C727" s="100"/>
      <c r="D727" s="10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</row>
    <row r="728" spans="1:26" ht="13.8">
      <c r="A728" s="80"/>
      <c r="B728" s="80"/>
      <c r="C728" s="100"/>
      <c r="D728" s="10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</row>
    <row r="729" spans="1:26" ht="13.8">
      <c r="A729" s="80"/>
      <c r="B729" s="80"/>
      <c r="C729" s="100"/>
      <c r="D729" s="10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</row>
    <row r="730" spans="1:26" ht="13.8">
      <c r="A730" s="80"/>
      <c r="B730" s="80"/>
      <c r="C730" s="100"/>
      <c r="D730" s="10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</row>
    <row r="731" spans="1:26" ht="13.8">
      <c r="A731" s="80"/>
      <c r="B731" s="80"/>
      <c r="C731" s="100"/>
      <c r="D731" s="10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</row>
    <row r="732" spans="1:26" ht="13.8">
      <c r="A732" s="80"/>
      <c r="B732" s="80"/>
      <c r="C732" s="100"/>
      <c r="D732" s="10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</row>
    <row r="733" spans="1:26" ht="13.8">
      <c r="A733" s="80"/>
      <c r="B733" s="80"/>
      <c r="C733" s="100"/>
      <c r="D733" s="10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</row>
    <row r="734" spans="1:26" ht="13.8">
      <c r="A734" s="80"/>
      <c r="B734" s="80"/>
      <c r="C734" s="100"/>
      <c r="D734" s="10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</row>
    <row r="735" spans="1:26" ht="13.8">
      <c r="A735" s="80"/>
      <c r="B735" s="80"/>
      <c r="C735" s="100"/>
      <c r="D735" s="10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</row>
    <row r="736" spans="1:26" ht="13.8">
      <c r="A736" s="80"/>
      <c r="B736" s="80"/>
      <c r="C736" s="100"/>
      <c r="D736" s="10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</row>
    <row r="737" spans="1:26" ht="13.8">
      <c r="A737" s="80"/>
      <c r="B737" s="80"/>
      <c r="C737" s="100"/>
      <c r="D737" s="10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</row>
    <row r="738" spans="1:26" ht="13.8">
      <c r="A738" s="80"/>
      <c r="B738" s="80"/>
      <c r="C738" s="100"/>
      <c r="D738" s="10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</row>
    <row r="739" spans="1:26" ht="13.8">
      <c r="A739" s="80"/>
      <c r="B739" s="80"/>
      <c r="C739" s="100"/>
      <c r="D739" s="10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</row>
    <row r="740" spans="1:26" ht="13.8">
      <c r="A740" s="80"/>
      <c r="B740" s="80"/>
      <c r="C740" s="100"/>
      <c r="D740" s="10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</row>
    <row r="741" spans="1:26" ht="13.8">
      <c r="A741" s="80"/>
      <c r="B741" s="80"/>
      <c r="C741" s="100"/>
      <c r="D741" s="10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</row>
    <row r="742" spans="1:26" ht="13.8">
      <c r="A742" s="80"/>
      <c r="B742" s="80"/>
      <c r="C742" s="100"/>
      <c r="D742" s="10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</row>
    <row r="743" spans="1:26" ht="13.8">
      <c r="A743" s="80"/>
      <c r="B743" s="80"/>
      <c r="C743" s="100"/>
      <c r="D743" s="10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</row>
    <row r="744" spans="1:26" ht="13.8">
      <c r="A744" s="80"/>
      <c r="B744" s="80"/>
      <c r="C744" s="100"/>
      <c r="D744" s="10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</row>
    <row r="745" spans="1:26" ht="13.8">
      <c r="A745" s="80"/>
      <c r="B745" s="80"/>
      <c r="C745" s="100"/>
      <c r="D745" s="10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</row>
    <row r="746" spans="1:26" ht="13.8">
      <c r="A746" s="80"/>
      <c r="B746" s="80"/>
      <c r="C746" s="100"/>
      <c r="D746" s="10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</row>
    <row r="747" spans="1:26" ht="13.8">
      <c r="A747" s="80"/>
      <c r="B747" s="80"/>
      <c r="C747" s="100"/>
      <c r="D747" s="10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</row>
    <row r="748" spans="1:26" ht="13.8">
      <c r="A748" s="80"/>
      <c r="B748" s="80"/>
      <c r="C748" s="100"/>
      <c r="D748" s="10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</row>
    <row r="749" spans="1:26" ht="13.8">
      <c r="A749" s="80"/>
      <c r="B749" s="80"/>
      <c r="C749" s="100"/>
      <c r="D749" s="10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</row>
    <row r="750" spans="1:26" ht="13.8">
      <c r="A750" s="80"/>
      <c r="B750" s="80"/>
      <c r="C750" s="100"/>
      <c r="D750" s="10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</row>
    <row r="751" spans="1:26" ht="13.8">
      <c r="A751" s="80"/>
      <c r="B751" s="80"/>
      <c r="C751" s="100"/>
      <c r="D751" s="10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</row>
    <row r="752" spans="1:26" ht="13.8">
      <c r="A752" s="80"/>
      <c r="B752" s="80"/>
      <c r="C752" s="100"/>
      <c r="D752" s="10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</row>
    <row r="753" spans="1:26" ht="13.8">
      <c r="A753" s="80"/>
      <c r="B753" s="80"/>
      <c r="C753" s="100"/>
      <c r="D753" s="10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</row>
    <row r="754" spans="1:26" ht="13.8">
      <c r="A754" s="80"/>
      <c r="B754" s="80"/>
      <c r="C754" s="100"/>
      <c r="D754" s="10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</row>
    <row r="755" spans="1:26" ht="13.8">
      <c r="A755" s="80"/>
      <c r="B755" s="80"/>
      <c r="C755" s="100"/>
      <c r="D755" s="10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</row>
    <row r="756" spans="1:26" ht="13.8">
      <c r="A756" s="80"/>
      <c r="B756" s="80"/>
      <c r="C756" s="100"/>
      <c r="D756" s="10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</row>
    <row r="757" spans="1:26" ht="13.8">
      <c r="A757" s="80"/>
      <c r="B757" s="80"/>
      <c r="C757" s="100"/>
      <c r="D757" s="10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</row>
    <row r="758" spans="1:26" ht="13.8">
      <c r="A758" s="80"/>
      <c r="B758" s="80"/>
      <c r="C758" s="100"/>
      <c r="D758" s="10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</row>
    <row r="759" spans="1:26" ht="13.8">
      <c r="A759" s="80"/>
      <c r="B759" s="80"/>
      <c r="C759" s="100"/>
      <c r="D759" s="10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</row>
    <row r="760" spans="1:26" ht="13.8">
      <c r="A760" s="80"/>
      <c r="B760" s="80"/>
      <c r="C760" s="100"/>
      <c r="D760" s="10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</row>
    <row r="761" spans="1:26" ht="13.8">
      <c r="A761" s="80"/>
      <c r="B761" s="80"/>
      <c r="C761" s="100"/>
      <c r="D761" s="10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</row>
    <row r="762" spans="1:26" ht="13.8">
      <c r="A762" s="80"/>
      <c r="B762" s="80"/>
      <c r="C762" s="100"/>
      <c r="D762" s="10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</row>
    <row r="763" spans="1:26" ht="13.8">
      <c r="A763" s="80"/>
      <c r="B763" s="80"/>
      <c r="C763" s="100"/>
      <c r="D763" s="10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</row>
    <row r="764" spans="1:26" ht="13.8">
      <c r="A764" s="80"/>
      <c r="B764" s="80"/>
      <c r="C764" s="100"/>
      <c r="D764" s="10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</row>
    <row r="765" spans="1:26" ht="13.8">
      <c r="A765" s="80"/>
      <c r="B765" s="80"/>
      <c r="C765" s="100"/>
      <c r="D765" s="10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</row>
    <row r="766" spans="1:26" ht="13.8">
      <c r="A766" s="80"/>
      <c r="B766" s="80"/>
      <c r="C766" s="100"/>
      <c r="D766" s="10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</row>
    <row r="767" spans="1:26" ht="13.8">
      <c r="A767" s="80"/>
      <c r="B767" s="80"/>
      <c r="C767" s="100"/>
      <c r="D767" s="10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</row>
    <row r="768" spans="1:26" ht="13.8">
      <c r="A768" s="80"/>
      <c r="B768" s="80"/>
      <c r="C768" s="100"/>
      <c r="D768" s="10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</row>
    <row r="769" spans="1:26" ht="13.8">
      <c r="A769" s="80"/>
      <c r="B769" s="80"/>
      <c r="C769" s="100"/>
      <c r="D769" s="10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</row>
    <row r="770" spans="1:26" ht="13.8">
      <c r="A770" s="80"/>
      <c r="B770" s="80"/>
      <c r="C770" s="100"/>
      <c r="D770" s="10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</row>
    <row r="771" spans="1:26" ht="13.8">
      <c r="A771" s="80"/>
      <c r="B771" s="80"/>
      <c r="C771" s="100"/>
      <c r="D771" s="10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</row>
    <row r="772" spans="1:26" ht="13.8">
      <c r="A772" s="80"/>
      <c r="B772" s="80"/>
      <c r="C772" s="100"/>
      <c r="D772" s="10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</row>
    <row r="773" spans="1:26" ht="13.8">
      <c r="A773" s="80"/>
      <c r="B773" s="80"/>
      <c r="C773" s="100"/>
      <c r="D773" s="10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</row>
    <row r="774" spans="1:26" ht="13.8">
      <c r="A774" s="80"/>
      <c r="B774" s="80"/>
      <c r="C774" s="100"/>
      <c r="D774" s="10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</row>
    <row r="775" spans="1:26" ht="13.8">
      <c r="A775" s="80"/>
      <c r="B775" s="80"/>
      <c r="C775" s="100"/>
      <c r="D775" s="10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</row>
    <row r="776" spans="1:26" ht="13.8">
      <c r="A776" s="80"/>
      <c r="B776" s="80"/>
      <c r="C776" s="100"/>
      <c r="D776" s="10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</row>
    <row r="777" spans="1:26" ht="13.8">
      <c r="A777" s="80"/>
      <c r="B777" s="80"/>
      <c r="C777" s="100"/>
      <c r="D777" s="10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</row>
    <row r="778" spans="1:26" ht="13.8">
      <c r="A778" s="80"/>
      <c r="B778" s="80"/>
      <c r="C778" s="100"/>
      <c r="D778" s="10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</row>
    <row r="779" spans="1:26" ht="13.8">
      <c r="A779" s="80"/>
      <c r="B779" s="80"/>
      <c r="C779" s="100"/>
      <c r="D779" s="10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</row>
    <row r="780" spans="1:26" ht="13.8">
      <c r="A780" s="80"/>
      <c r="B780" s="80"/>
      <c r="C780" s="100"/>
      <c r="D780" s="10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</row>
    <row r="781" spans="1:26" ht="13.8">
      <c r="A781" s="80"/>
      <c r="B781" s="80"/>
      <c r="C781" s="100"/>
      <c r="D781" s="10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</row>
    <row r="782" spans="1:26" ht="13.8">
      <c r="A782" s="80"/>
      <c r="B782" s="80"/>
      <c r="C782" s="100"/>
      <c r="D782" s="10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</row>
    <row r="783" spans="1:26" ht="13.8">
      <c r="A783" s="80"/>
      <c r="B783" s="80"/>
      <c r="C783" s="100"/>
      <c r="D783" s="10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</row>
    <row r="784" spans="1:26" ht="13.8">
      <c r="A784" s="80"/>
      <c r="B784" s="80"/>
      <c r="C784" s="100"/>
      <c r="D784" s="10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</row>
    <row r="785" spans="1:26" ht="13.8">
      <c r="A785" s="80"/>
      <c r="B785" s="80"/>
      <c r="C785" s="100"/>
      <c r="D785" s="10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</row>
    <row r="786" spans="1:26" ht="13.8">
      <c r="A786" s="80"/>
      <c r="B786" s="80"/>
      <c r="C786" s="100"/>
      <c r="D786" s="10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</row>
    <row r="787" spans="1:26" ht="13.8">
      <c r="A787" s="80"/>
      <c r="B787" s="80"/>
      <c r="C787" s="100"/>
      <c r="D787" s="10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</row>
    <row r="788" spans="1:26" ht="13.8">
      <c r="A788" s="80"/>
      <c r="B788" s="80"/>
      <c r="C788" s="100"/>
      <c r="D788" s="10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</row>
    <row r="789" spans="1:26" ht="13.8">
      <c r="A789" s="80"/>
      <c r="B789" s="80"/>
      <c r="C789" s="100"/>
      <c r="D789" s="10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</row>
    <row r="790" spans="1:26" ht="13.8">
      <c r="A790" s="80"/>
      <c r="B790" s="80"/>
      <c r="C790" s="100"/>
      <c r="D790" s="10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</row>
    <row r="791" spans="1:26" ht="13.8">
      <c r="A791" s="80"/>
      <c r="B791" s="80"/>
      <c r="C791" s="100"/>
      <c r="D791" s="10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</row>
    <row r="792" spans="1:26" ht="13.8">
      <c r="A792" s="80"/>
      <c r="B792" s="80"/>
      <c r="C792" s="100"/>
      <c r="D792" s="10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</row>
    <row r="793" spans="1:26" ht="13.8">
      <c r="A793" s="80"/>
      <c r="B793" s="80"/>
      <c r="C793" s="100"/>
      <c r="D793" s="10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</row>
    <row r="794" spans="1:26" ht="13.8">
      <c r="A794" s="80"/>
      <c r="B794" s="80"/>
      <c r="C794" s="100"/>
      <c r="D794" s="10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</row>
    <row r="795" spans="1:26" ht="13.8">
      <c r="A795" s="80"/>
      <c r="B795" s="80"/>
      <c r="C795" s="100"/>
      <c r="D795" s="10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</row>
    <row r="796" spans="1:26" ht="13.8">
      <c r="A796" s="80"/>
      <c r="B796" s="80"/>
      <c r="C796" s="100"/>
      <c r="D796" s="10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</row>
    <row r="797" spans="1:26" ht="13.8">
      <c r="A797" s="80"/>
      <c r="B797" s="80"/>
      <c r="C797" s="100"/>
      <c r="D797" s="10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</row>
    <row r="798" spans="1:26" ht="13.8">
      <c r="A798" s="80"/>
      <c r="B798" s="80"/>
      <c r="C798" s="100"/>
      <c r="D798" s="10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</row>
    <row r="799" spans="1:26" ht="13.8">
      <c r="A799" s="80"/>
      <c r="B799" s="80"/>
      <c r="C799" s="100"/>
      <c r="D799" s="10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</row>
    <row r="800" spans="1:26" ht="13.8">
      <c r="A800" s="80"/>
      <c r="B800" s="80"/>
      <c r="C800" s="100"/>
      <c r="D800" s="10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</row>
    <row r="801" spans="1:26" ht="13.8">
      <c r="A801" s="80"/>
      <c r="B801" s="80"/>
      <c r="C801" s="100"/>
      <c r="D801" s="10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</row>
    <row r="802" spans="1:26" ht="13.8">
      <c r="A802" s="80"/>
      <c r="B802" s="80"/>
      <c r="C802" s="100"/>
      <c r="D802" s="10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</row>
    <row r="803" spans="1:26" ht="13.8">
      <c r="A803" s="80"/>
      <c r="B803" s="80"/>
      <c r="C803" s="100"/>
      <c r="D803" s="10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</row>
    <row r="804" spans="1:26" ht="13.8">
      <c r="A804" s="80"/>
      <c r="B804" s="80"/>
      <c r="C804" s="100"/>
      <c r="D804" s="10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</row>
    <row r="805" spans="1:26" ht="13.8">
      <c r="A805" s="80"/>
      <c r="B805" s="80"/>
      <c r="C805" s="100"/>
      <c r="D805" s="10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</row>
    <row r="806" spans="1:26" ht="13.8">
      <c r="A806" s="80"/>
      <c r="B806" s="80"/>
      <c r="C806" s="100"/>
      <c r="D806" s="10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</row>
    <row r="807" spans="1:26" ht="13.8">
      <c r="A807" s="80"/>
      <c r="B807" s="80"/>
      <c r="C807" s="100"/>
      <c r="D807" s="10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</row>
    <row r="808" spans="1:26" ht="13.8">
      <c r="A808" s="80"/>
      <c r="B808" s="80"/>
      <c r="C808" s="100"/>
      <c r="D808" s="10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</row>
    <row r="809" spans="1:26" ht="13.8">
      <c r="A809" s="80"/>
      <c r="B809" s="80"/>
      <c r="C809" s="100"/>
      <c r="D809" s="10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</row>
    <row r="810" spans="1:26" ht="13.8">
      <c r="A810" s="80"/>
      <c r="B810" s="80"/>
      <c r="C810" s="100"/>
      <c r="D810" s="10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</row>
    <row r="811" spans="1:26" ht="13.8">
      <c r="A811" s="80"/>
      <c r="B811" s="80"/>
      <c r="C811" s="100"/>
      <c r="D811" s="10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</row>
    <row r="812" spans="1:26" ht="13.8">
      <c r="A812" s="80"/>
      <c r="B812" s="80"/>
      <c r="C812" s="100"/>
      <c r="D812" s="10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</row>
    <row r="813" spans="1:26" ht="13.8">
      <c r="A813" s="80"/>
      <c r="B813" s="80"/>
      <c r="C813" s="100"/>
      <c r="D813" s="10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</row>
    <row r="814" spans="1:26" ht="13.8">
      <c r="A814" s="80"/>
      <c r="B814" s="80"/>
      <c r="C814" s="100"/>
      <c r="D814" s="10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</row>
    <row r="815" spans="1:26" ht="13.8">
      <c r="A815" s="80"/>
      <c r="B815" s="80"/>
      <c r="C815" s="100"/>
      <c r="D815" s="10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</row>
    <row r="816" spans="1:26" ht="13.8">
      <c r="A816" s="80"/>
      <c r="B816" s="80"/>
      <c r="C816" s="100"/>
      <c r="D816" s="10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</row>
    <row r="817" spans="1:26" ht="13.8">
      <c r="A817" s="80"/>
      <c r="B817" s="80"/>
      <c r="C817" s="100"/>
      <c r="D817" s="10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</row>
    <row r="818" spans="1:26" ht="13.8">
      <c r="A818" s="80"/>
      <c r="B818" s="80"/>
      <c r="C818" s="100"/>
      <c r="D818" s="10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</row>
    <row r="819" spans="1:26" ht="13.8">
      <c r="A819" s="80"/>
      <c r="B819" s="80"/>
      <c r="C819" s="100"/>
      <c r="D819" s="10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</row>
    <row r="820" spans="1:26" ht="13.8">
      <c r="A820" s="80"/>
      <c r="B820" s="80"/>
      <c r="C820" s="100"/>
      <c r="D820" s="10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</row>
    <row r="821" spans="1:26" ht="13.8">
      <c r="A821" s="80"/>
      <c r="B821" s="80"/>
      <c r="C821" s="100"/>
      <c r="D821" s="10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</row>
    <row r="822" spans="1:26" ht="13.8">
      <c r="A822" s="80"/>
      <c r="B822" s="80"/>
      <c r="C822" s="100"/>
      <c r="D822" s="10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</row>
    <row r="823" spans="1:26" ht="13.8">
      <c r="A823" s="80"/>
      <c r="B823" s="80"/>
      <c r="C823" s="100"/>
      <c r="D823" s="10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</row>
    <row r="824" spans="1:26" ht="13.8">
      <c r="A824" s="80"/>
      <c r="B824" s="80"/>
      <c r="C824" s="100"/>
      <c r="D824" s="10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</row>
    <row r="825" spans="1:26" ht="13.8">
      <c r="A825" s="80"/>
      <c r="B825" s="80"/>
      <c r="C825" s="100"/>
      <c r="D825" s="10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</row>
    <row r="826" spans="1:26" ht="13.8">
      <c r="A826" s="80"/>
      <c r="B826" s="80"/>
      <c r="C826" s="100"/>
      <c r="D826" s="10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</row>
    <row r="827" spans="1:26" ht="13.8">
      <c r="A827" s="80"/>
      <c r="B827" s="80"/>
      <c r="C827" s="100"/>
      <c r="D827" s="10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</row>
    <row r="828" spans="1:26" ht="13.8">
      <c r="A828" s="80"/>
      <c r="B828" s="80"/>
      <c r="C828" s="100"/>
      <c r="D828" s="10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</row>
    <row r="829" spans="1:26" ht="13.8">
      <c r="A829" s="80"/>
      <c r="B829" s="80"/>
      <c r="C829" s="100"/>
      <c r="D829" s="10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</row>
    <row r="830" spans="1:26" ht="13.8">
      <c r="A830" s="80"/>
      <c r="B830" s="80"/>
      <c r="C830" s="100"/>
      <c r="D830" s="10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</row>
    <row r="831" spans="1:26" ht="13.8">
      <c r="A831" s="80"/>
      <c r="B831" s="80"/>
      <c r="C831" s="100"/>
      <c r="D831" s="10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</row>
    <row r="832" spans="1:26" ht="13.8">
      <c r="A832" s="80"/>
      <c r="B832" s="80"/>
      <c r="C832" s="100"/>
      <c r="D832" s="10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</row>
    <row r="833" spans="1:26" ht="13.8">
      <c r="A833" s="80"/>
      <c r="B833" s="80"/>
      <c r="C833" s="100"/>
      <c r="D833" s="10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</row>
    <row r="834" spans="1:26" ht="13.8">
      <c r="A834" s="80"/>
      <c r="B834" s="80"/>
      <c r="C834" s="100"/>
      <c r="D834" s="10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</row>
    <row r="835" spans="1:26" ht="13.8">
      <c r="A835" s="80"/>
      <c r="B835" s="80"/>
      <c r="C835" s="100"/>
      <c r="D835" s="10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</row>
    <row r="836" spans="1:26" ht="13.8">
      <c r="A836" s="80"/>
      <c r="B836" s="80"/>
      <c r="C836" s="100"/>
      <c r="D836" s="10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</row>
    <row r="837" spans="1:26" ht="13.8">
      <c r="A837" s="80"/>
      <c r="B837" s="80"/>
      <c r="C837" s="100"/>
      <c r="D837" s="10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</row>
    <row r="838" spans="1:26" ht="13.8">
      <c r="A838" s="80"/>
      <c r="B838" s="80"/>
      <c r="C838" s="100"/>
      <c r="D838" s="10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</row>
    <row r="839" spans="1:26" ht="13.8">
      <c r="A839" s="80"/>
      <c r="B839" s="80"/>
      <c r="C839" s="100"/>
      <c r="D839" s="10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</row>
    <row r="840" spans="1:26" ht="13.8">
      <c r="A840" s="80"/>
      <c r="B840" s="80"/>
      <c r="C840" s="100"/>
      <c r="D840" s="10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</row>
    <row r="841" spans="1:26" ht="13.8">
      <c r="A841" s="80"/>
      <c r="B841" s="80"/>
      <c r="C841" s="100"/>
      <c r="D841" s="10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</row>
    <row r="842" spans="1:26" ht="13.8">
      <c r="A842" s="80"/>
      <c r="B842" s="80"/>
      <c r="C842" s="100"/>
      <c r="D842" s="10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</row>
    <row r="843" spans="1:26" ht="13.8">
      <c r="A843" s="80"/>
      <c r="B843" s="80"/>
      <c r="C843" s="100"/>
      <c r="D843" s="10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</row>
    <row r="844" spans="1:26" ht="13.8">
      <c r="A844" s="80"/>
      <c r="B844" s="80"/>
      <c r="C844" s="100"/>
      <c r="D844" s="10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</row>
    <row r="845" spans="1:26" ht="13.8">
      <c r="A845" s="80"/>
      <c r="B845" s="80"/>
      <c r="C845" s="100"/>
      <c r="D845" s="10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</row>
    <row r="846" spans="1:26" ht="13.8">
      <c r="A846" s="80"/>
      <c r="B846" s="80"/>
      <c r="C846" s="100"/>
      <c r="D846" s="10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</row>
    <row r="847" spans="1:26" ht="13.8">
      <c r="A847" s="80"/>
      <c r="B847" s="80"/>
      <c r="C847" s="100"/>
      <c r="D847" s="10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</row>
    <row r="848" spans="1:26" ht="13.8">
      <c r="A848" s="80"/>
      <c r="B848" s="80"/>
      <c r="C848" s="100"/>
      <c r="D848" s="10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</row>
    <row r="849" spans="1:26" ht="13.8">
      <c r="A849" s="80"/>
      <c r="B849" s="80"/>
      <c r="C849" s="100"/>
      <c r="D849" s="10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</row>
    <row r="850" spans="1:26" ht="13.8">
      <c r="A850" s="80"/>
      <c r="B850" s="80"/>
      <c r="C850" s="100"/>
      <c r="D850" s="10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</row>
    <row r="851" spans="1:26" ht="13.8">
      <c r="A851" s="80"/>
      <c r="B851" s="80"/>
      <c r="C851" s="100"/>
      <c r="D851" s="10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</row>
    <row r="852" spans="1:26" ht="13.8">
      <c r="A852" s="80"/>
      <c r="B852" s="80"/>
      <c r="C852" s="100"/>
      <c r="D852" s="10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</row>
    <row r="853" spans="1:26" ht="13.8">
      <c r="A853" s="80"/>
      <c r="B853" s="80"/>
      <c r="C853" s="100"/>
      <c r="D853" s="10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</row>
    <row r="854" spans="1:26" ht="13.8">
      <c r="A854" s="80"/>
      <c r="B854" s="80"/>
      <c r="C854" s="100"/>
      <c r="D854" s="10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</row>
    <row r="855" spans="1:26" ht="13.8">
      <c r="A855" s="80"/>
      <c r="B855" s="80"/>
      <c r="C855" s="100"/>
      <c r="D855" s="10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</row>
    <row r="856" spans="1:26" ht="13.8">
      <c r="A856" s="80"/>
      <c r="B856" s="80"/>
      <c r="C856" s="100"/>
      <c r="D856" s="10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</row>
    <row r="857" spans="1:26" ht="13.8">
      <c r="A857" s="80"/>
      <c r="B857" s="80"/>
      <c r="C857" s="100"/>
      <c r="D857" s="10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</row>
    <row r="858" spans="1:26" ht="13.8">
      <c r="A858" s="80"/>
      <c r="B858" s="80"/>
      <c r="C858" s="100"/>
      <c r="D858" s="10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</row>
    <row r="859" spans="1:26" ht="13.8">
      <c r="A859" s="80"/>
      <c r="B859" s="80"/>
      <c r="C859" s="100"/>
      <c r="D859" s="10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</row>
    <row r="860" spans="1:26" ht="13.8">
      <c r="A860" s="80"/>
      <c r="B860" s="80"/>
      <c r="C860" s="100"/>
      <c r="D860" s="10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</row>
    <row r="861" spans="1:26" ht="13.8">
      <c r="A861" s="80"/>
      <c r="B861" s="80"/>
      <c r="C861" s="100"/>
      <c r="D861" s="10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</row>
    <row r="862" spans="1:26" ht="13.8">
      <c r="A862" s="80"/>
      <c r="B862" s="80"/>
      <c r="C862" s="100"/>
      <c r="D862" s="10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</row>
    <row r="863" spans="1:26" ht="13.8">
      <c r="A863" s="80"/>
      <c r="B863" s="80"/>
      <c r="C863" s="100"/>
      <c r="D863" s="10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</row>
    <row r="864" spans="1:26" ht="13.8">
      <c r="A864" s="80"/>
      <c r="B864" s="80"/>
      <c r="C864" s="100"/>
      <c r="D864" s="10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</row>
    <row r="865" spans="1:26" ht="13.8">
      <c r="A865" s="80"/>
      <c r="B865" s="80"/>
      <c r="C865" s="100"/>
      <c r="D865" s="10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</row>
    <row r="866" spans="1:26" ht="13.8">
      <c r="A866" s="80"/>
      <c r="B866" s="80"/>
      <c r="C866" s="100"/>
      <c r="D866" s="10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</row>
    <row r="867" spans="1:26" ht="13.8">
      <c r="A867" s="80"/>
      <c r="B867" s="80"/>
      <c r="C867" s="100"/>
      <c r="D867" s="10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</row>
    <row r="868" spans="1:26" ht="13.8">
      <c r="A868" s="80"/>
      <c r="B868" s="80"/>
      <c r="C868" s="100"/>
      <c r="D868" s="10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</row>
    <row r="869" spans="1:26" ht="13.8">
      <c r="A869" s="80"/>
      <c r="B869" s="80"/>
      <c r="C869" s="100"/>
      <c r="D869" s="10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</row>
    <row r="870" spans="1:26" ht="13.8">
      <c r="A870" s="80"/>
      <c r="B870" s="80"/>
      <c r="C870" s="100"/>
      <c r="D870" s="10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</row>
    <row r="871" spans="1:26" ht="13.8">
      <c r="A871" s="80"/>
      <c r="B871" s="80"/>
      <c r="C871" s="100"/>
      <c r="D871" s="10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</row>
    <row r="872" spans="1:26" ht="13.8">
      <c r="A872" s="80"/>
      <c r="B872" s="80"/>
      <c r="C872" s="100"/>
      <c r="D872" s="10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</row>
    <row r="873" spans="1:26" ht="13.8">
      <c r="A873" s="80"/>
      <c r="B873" s="80"/>
      <c r="C873" s="100"/>
      <c r="D873" s="10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</row>
    <row r="874" spans="1:26" ht="13.8">
      <c r="A874" s="80"/>
      <c r="B874" s="80"/>
      <c r="C874" s="100"/>
      <c r="D874" s="10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</row>
    <row r="875" spans="1:26" ht="13.8">
      <c r="A875" s="80"/>
      <c r="B875" s="80"/>
      <c r="C875" s="100"/>
      <c r="D875" s="10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</row>
    <row r="876" spans="1:26" ht="13.8">
      <c r="A876" s="80"/>
      <c r="B876" s="80"/>
      <c r="C876" s="100"/>
      <c r="D876" s="10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</row>
    <row r="877" spans="1:26" ht="13.8">
      <c r="A877" s="80"/>
      <c r="B877" s="80"/>
      <c r="C877" s="100"/>
      <c r="D877" s="10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</row>
    <row r="878" spans="1:26" ht="13.8">
      <c r="A878" s="80"/>
      <c r="B878" s="80"/>
      <c r="C878" s="100"/>
      <c r="D878" s="10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</row>
    <row r="879" spans="1:26" ht="13.8">
      <c r="A879" s="80"/>
      <c r="B879" s="80"/>
      <c r="C879" s="100"/>
      <c r="D879" s="10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</row>
    <row r="880" spans="1:26" ht="13.8">
      <c r="A880" s="80"/>
      <c r="B880" s="80"/>
      <c r="C880" s="100"/>
      <c r="D880" s="10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</row>
    <row r="881" spans="1:26" ht="13.8">
      <c r="A881" s="80"/>
      <c r="B881" s="80"/>
      <c r="C881" s="100"/>
      <c r="D881" s="10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</row>
    <row r="882" spans="1:26" ht="13.8">
      <c r="A882" s="80"/>
      <c r="B882" s="80"/>
      <c r="C882" s="100"/>
      <c r="D882" s="10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</row>
    <row r="883" spans="1:26" ht="13.8">
      <c r="A883" s="80"/>
      <c r="B883" s="80"/>
      <c r="C883" s="100"/>
      <c r="D883" s="10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</row>
    <row r="884" spans="1:26" ht="13.8">
      <c r="A884" s="80"/>
      <c r="B884" s="80"/>
      <c r="C884" s="100"/>
      <c r="D884" s="10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</row>
    <row r="885" spans="1:26" ht="13.8">
      <c r="A885" s="80"/>
      <c r="B885" s="80"/>
      <c r="C885" s="100"/>
      <c r="D885" s="10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</row>
    <row r="886" spans="1:26" ht="13.8">
      <c r="A886" s="80"/>
      <c r="B886" s="80"/>
      <c r="C886" s="100"/>
      <c r="D886" s="10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</row>
    <row r="887" spans="1:26" ht="13.8">
      <c r="A887" s="80"/>
      <c r="B887" s="80"/>
      <c r="C887" s="100"/>
      <c r="D887" s="10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</row>
    <row r="888" spans="1:26" ht="13.8">
      <c r="A888" s="80"/>
      <c r="B888" s="80"/>
      <c r="C888" s="100"/>
      <c r="D888" s="10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</row>
    <row r="889" spans="1:26" ht="13.8">
      <c r="A889" s="80"/>
      <c r="B889" s="80"/>
      <c r="C889" s="100"/>
      <c r="D889" s="10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</row>
    <row r="890" spans="1:26" ht="13.8">
      <c r="A890" s="80"/>
      <c r="B890" s="80"/>
      <c r="C890" s="100"/>
      <c r="D890" s="10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</row>
    <row r="891" spans="1:26" ht="13.8">
      <c r="A891" s="80"/>
      <c r="B891" s="80"/>
      <c r="C891" s="100"/>
      <c r="D891" s="10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</row>
    <row r="892" spans="1:26" ht="13.8">
      <c r="A892" s="80"/>
      <c r="B892" s="80"/>
      <c r="C892" s="100"/>
      <c r="D892" s="10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</row>
    <row r="893" spans="1:26" ht="13.8">
      <c r="A893" s="80"/>
      <c r="B893" s="80"/>
      <c r="C893" s="100"/>
      <c r="D893" s="10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</row>
    <row r="894" spans="1:26" ht="13.8">
      <c r="A894" s="80"/>
      <c r="B894" s="80"/>
      <c r="C894" s="100"/>
      <c r="D894" s="10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</row>
    <row r="895" spans="1:26" ht="13.8">
      <c r="A895" s="80"/>
      <c r="B895" s="80"/>
      <c r="C895" s="100"/>
      <c r="D895" s="10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</row>
    <row r="896" spans="1:26" ht="13.8">
      <c r="A896" s="80"/>
      <c r="B896" s="80"/>
      <c r="C896" s="100"/>
      <c r="D896" s="10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</row>
    <row r="897" spans="1:26" ht="13.8">
      <c r="A897" s="80"/>
      <c r="B897" s="80"/>
      <c r="C897" s="100"/>
      <c r="D897" s="10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</row>
    <row r="898" spans="1:26" ht="13.8">
      <c r="A898" s="80"/>
      <c r="B898" s="80"/>
      <c r="C898" s="100"/>
      <c r="D898" s="10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</row>
    <row r="899" spans="1:26" ht="13.8">
      <c r="A899" s="80"/>
      <c r="B899" s="80"/>
      <c r="C899" s="100"/>
      <c r="D899" s="10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</row>
    <row r="900" spans="1:26" ht="13.8">
      <c r="A900" s="80"/>
      <c r="B900" s="80"/>
      <c r="C900" s="100"/>
      <c r="D900" s="10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</row>
    <row r="901" spans="1:26" ht="13.8">
      <c r="A901" s="80"/>
      <c r="B901" s="80"/>
      <c r="C901" s="100"/>
      <c r="D901" s="10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</row>
    <row r="902" spans="1:26" ht="13.8">
      <c r="A902" s="80"/>
      <c r="B902" s="80"/>
      <c r="C902" s="100"/>
      <c r="D902" s="10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</row>
    <row r="903" spans="1:26" ht="13.8">
      <c r="A903" s="80"/>
      <c r="B903" s="80"/>
      <c r="C903" s="100"/>
      <c r="D903" s="10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</row>
    <row r="904" spans="1:26" ht="13.8">
      <c r="A904" s="80"/>
      <c r="B904" s="80"/>
      <c r="C904" s="100"/>
      <c r="D904" s="10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</row>
    <row r="905" spans="1:26" ht="13.8">
      <c r="A905" s="80"/>
      <c r="B905" s="80"/>
      <c r="C905" s="100"/>
      <c r="D905" s="10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</row>
    <row r="906" spans="1:26" ht="13.8">
      <c r="A906" s="80"/>
      <c r="B906" s="80"/>
      <c r="C906" s="100"/>
      <c r="D906" s="10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</row>
    <row r="907" spans="1:26" ht="13.8">
      <c r="A907" s="80"/>
      <c r="B907" s="80"/>
      <c r="C907" s="100"/>
      <c r="D907" s="10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</row>
    <row r="908" spans="1:26" ht="13.8">
      <c r="A908" s="80"/>
      <c r="B908" s="80"/>
      <c r="C908" s="100"/>
      <c r="D908" s="10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</row>
    <row r="909" spans="1:26" ht="13.8">
      <c r="A909" s="80"/>
      <c r="B909" s="80"/>
      <c r="C909" s="100"/>
      <c r="D909" s="10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</row>
    <row r="910" spans="1:26" ht="13.8">
      <c r="A910" s="80"/>
      <c r="B910" s="80"/>
      <c r="C910" s="100"/>
      <c r="D910" s="10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</row>
    <row r="911" spans="1:26" ht="13.8">
      <c r="A911" s="80"/>
      <c r="B911" s="80"/>
      <c r="C911" s="100"/>
      <c r="D911" s="10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</row>
    <row r="912" spans="1:26" ht="13.8">
      <c r="A912" s="80"/>
      <c r="B912" s="80"/>
      <c r="C912" s="100"/>
      <c r="D912" s="10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</row>
    <row r="913" spans="1:26" ht="13.8">
      <c r="A913" s="80"/>
      <c r="B913" s="80"/>
      <c r="C913" s="100"/>
      <c r="D913" s="10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</row>
    <row r="914" spans="1:26" ht="13.8">
      <c r="A914" s="80"/>
      <c r="B914" s="80"/>
      <c r="C914" s="100"/>
      <c r="D914" s="10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</row>
    <row r="915" spans="1:26" ht="13.8">
      <c r="A915" s="80"/>
      <c r="B915" s="80"/>
      <c r="C915" s="100"/>
      <c r="D915" s="10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</row>
    <row r="916" spans="1:26" ht="13.8">
      <c r="A916" s="80"/>
      <c r="B916" s="80"/>
      <c r="C916" s="100"/>
      <c r="D916" s="10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</row>
    <row r="917" spans="1:26" ht="13.8">
      <c r="A917" s="80"/>
      <c r="B917" s="80"/>
      <c r="C917" s="100"/>
      <c r="D917" s="10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</row>
    <row r="918" spans="1:26" ht="13.8">
      <c r="A918" s="80"/>
      <c r="B918" s="80"/>
      <c r="C918" s="100"/>
      <c r="D918" s="10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</row>
    <row r="919" spans="1:26" ht="13.8">
      <c r="A919" s="80"/>
      <c r="B919" s="80"/>
      <c r="C919" s="100"/>
      <c r="D919" s="10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</row>
    <row r="920" spans="1:26" ht="13.8">
      <c r="A920" s="80"/>
      <c r="B920" s="80"/>
      <c r="C920" s="100"/>
      <c r="D920" s="10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</row>
    <row r="921" spans="1:26" ht="13.8">
      <c r="A921" s="80"/>
      <c r="B921" s="80"/>
      <c r="C921" s="100"/>
      <c r="D921" s="10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</row>
    <row r="922" spans="1:26" ht="13.8">
      <c r="A922" s="80"/>
      <c r="B922" s="80"/>
      <c r="C922" s="100"/>
      <c r="D922" s="10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</row>
    <row r="923" spans="1:26" ht="13.8">
      <c r="A923" s="80"/>
      <c r="B923" s="80"/>
      <c r="C923" s="100"/>
      <c r="D923" s="10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</row>
    <row r="924" spans="1:26" ht="13.8">
      <c r="A924" s="80"/>
      <c r="B924" s="80"/>
      <c r="C924" s="100"/>
      <c r="D924" s="10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</row>
    <row r="925" spans="1:26" ht="13.8">
      <c r="A925" s="80"/>
      <c r="B925" s="80"/>
      <c r="C925" s="100"/>
      <c r="D925" s="10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</row>
    <row r="926" spans="1:26" ht="13.8">
      <c r="A926" s="80"/>
      <c r="B926" s="80"/>
      <c r="C926" s="100"/>
      <c r="D926" s="10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</row>
    <row r="927" spans="1:26" ht="13.8">
      <c r="A927" s="80"/>
      <c r="B927" s="80"/>
      <c r="C927" s="100"/>
      <c r="D927" s="10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</row>
    <row r="928" spans="1:26" ht="13.8">
      <c r="A928" s="80"/>
      <c r="B928" s="80"/>
      <c r="C928" s="100"/>
      <c r="D928" s="10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</row>
    <row r="929" spans="1:26" ht="13.8">
      <c r="A929" s="80"/>
      <c r="B929" s="80"/>
      <c r="C929" s="100"/>
      <c r="D929" s="10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</row>
    <row r="930" spans="1:26" ht="13.8">
      <c r="A930" s="80"/>
      <c r="B930" s="80"/>
      <c r="C930" s="100"/>
      <c r="D930" s="10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</row>
    <row r="931" spans="1:26" ht="13.8">
      <c r="A931" s="80"/>
      <c r="B931" s="80"/>
      <c r="C931" s="100"/>
      <c r="D931" s="10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</row>
    <row r="932" spans="1:26" ht="13.8">
      <c r="A932" s="80"/>
      <c r="B932" s="80"/>
      <c r="C932" s="100"/>
      <c r="D932" s="10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</row>
    <row r="933" spans="1:26" ht="13.8">
      <c r="A933" s="80"/>
      <c r="B933" s="80"/>
      <c r="C933" s="100"/>
      <c r="D933" s="10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</row>
    <row r="934" spans="1:26" ht="13.8">
      <c r="A934" s="80"/>
      <c r="B934" s="80"/>
      <c r="C934" s="100"/>
      <c r="D934" s="10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</row>
    <row r="935" spans="1:26" ht="13.8">
      <c r="A935" s="80"/>
      <c r="B935" s="80"/>
      <c r="C935" s="100"/>
      <c r="D935" s="10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</row>
    <row r="936" spans="1:26" ht="13.8">
      <c r="A936" s="80"/>
      <c r="B936" s="80"/>
      <c r="C936" s="100"/>
      <c r="D936" s="10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</row>
    <row r="937" spans="1:26" ht="13.8">
      <c r="A937" s="80"/>
      <c r="B937" s="80"/>
      <c r="C937" s="100"/>
      <c r="D937" s="10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</row>
    <row r="938" spans="1:26" ht="13.8">
      <c r="A938" s="80"/>
      <c r="B938" s="80"/>
      <c r="C938" s="100"/>
      <c r="D938" s="10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</row>
    <row r="939" spans="1:26" ht="13.8">
      <c r="A939" s="80"/>
      <c r="B939" s="80"/>
      <c r="C939" s="100"/>
      <c r="D939" s="10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</row>
    <row r="940" spans="1:26" ht="13.8">
      <c r="A940" s="80"/>
      <c r="B940" s="80"/>
      <c r="C940" s="100"/>
      <c r="D940" s="10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</row>
    <row r="941" spans="1:26" ht="13.8">
      <c r="A941" s="80"/>
      <c r="B941" s="80"/>
      <c r="C941" s="100"/>
      <c r="D941" s="10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</row>
    <row r="942" spans="1:26" ht="13.8">
      <c r="A942" s="80"/>
      <c r="B942" s="80"/>
      <c r="C942" s="100"/>
      <c r="D942" s="10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</row>
    <row r="943" spans="1:26" ht="13.8">
      <c r="A943" s="80"/>
      <c r="B943" s="80"/>
      <c r="C943" s="100"/>
      <c r="D943" s="10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</row>
    <row r="944" spans="1:26" ht="13.8">
      <c r="A944" s="80"/>
      <c r="B944" s="80"/>
      <c r="C944" s="100"/>
      <c r="D944" s="10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</row>
    <row r="945" spans="1:26" ht="13.8">
      <c r="A945" s="80"/>
      <c r="B945" s="80"/>
      <c r="C945" s="100"/>
      <c r="D945" s="10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</row>
    <row r="946" spans="1:26" ht="13.8">
      <c r="A946" s="80"/>
      <c r="B946" s="80"/>
      <c r="C946" s="100"/>
      <c r="D946" s="10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</row>
    <row r="947" spans="1:26" ht="13.8">
      <c r="A947" s="80"/>
      <c r="B947" s="80"/>
      <c r="C947" s="100"/>
      <c r="D947" s="10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</row>
    <row r="948" spans="1:26" ht="13.8">
      <c r="A948" s="80"/>
      <c r="B948" s="80"/>
      <c r="C948" s="100"/>
      <c r="D948" s="10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</row>
    <row r="949" spans="1:26" ht="13.8">
      <c r="A949" s="80"/>
      <c r="B949" s="80"/>
      <c r="C949" s="100"/>
      <c r="D949" s="10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</row>
    <row r="950" spans="1:26" ht="13.8">
      <c r="A950" s="80"/>
      <c r="B950" s="80"/>
      <c r="C950" s="100"/>
      <c r="D950" s="10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</row>
    <row r="951" spans="1:26" ht="13.8">
      <c r="A951" s="80"/>
      <c r="B951" s="80"/>
      <c r="C951" s="100"/>
      <c r="D951" s="10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</row>
    <row r="952" spans="1:26" ht="13.8">
      <c r="A952" s="80"/>
      <c r="B952" s="80"/>
      <c r="C952" s="100"/>
      <c r="D952" s="10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</row>
    <row r="953" spans="1:26" ht="13.8">
      <c r="A953" s="80"/>
      <c r="B953" s="80"/>
      <c r="C953" s="100"/>
      <c r="D953" s="10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</row>
    <row r="954" spans="1:26" ht="13.8">
      <c r="A954" s="80"/>
      <c r="B954" s="80"/>
      <c r="C954" s="100"/>
      <c r="D954" s="10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</row>
    <row r="955" spans="1:26" ht="13.8">
      <c r="A955" s="80"/>
      <c r="B955" s="80"/>
      <c r="C955" s="100"/>
      <c r="D955" s="10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</row>
    <row r="956" spans="1:26" ht="13.8">
      <c r="A956" s="80"/>
      <c r="B956" s="80"/>
      <c r="C956" s="100"/>
      <c r="D956" s="10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</row>
    <row r="957" spans="1:26" ht="13.8">
      <c r="A957" s="80"/>
      <c r="B957" s="80"/>
      <c r="C957" s="100"/>
      <c r="D957" s="10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</row>
    <row r="958" spans="1:26" ht="13.8">
      <c r="A958" s="80"/>
      <c r="B958" s="80"/>
      <c r="C958" s="100"/>
      <c r="D958" s="10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</row>
    <row r="959" spans="1:26" ht="13.8">
      <c r="A959" s="80"/>
      <c r="B959" s="80"/>
      <c r="C959" s="100"/>
      <c r="D959" s="10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</row>
    <row r="960" spans="1:26" ht="13.8">
      <c r="A960" s="80"/>
      <c r="B960" s="80"/>
      <c r="C960" s="100"/>
      <c r="D960" s="10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</row>
    <row r="961" spans="1:26" ht="13.8">
      <c r="A961" s="80"/>
      <c r="B961" s="80"/>
      <c r="C961" s="100"/>
      <c r="D961" s="10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</row>
    <row r="962" spans="1:26" ht="13.8">
      <c r="A962" s="80"/>
      <c r="B962" s="80"/>
      <c r="C962" s="100"/>
      <c r="D962" s="10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</row>
    <row r="963" spans="1:26" ht="13.8">
      <c r="A963" s="80"/>
      <c r="B963" s="80"/>
      <c r="C963" s="100"/>
      <c r="D963" s="10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</row>
    <row r="964" spans="1:26" ht="13.8">
      <c r="A964" s="80"/>
      <c r="B964" s="80"/>
      <c r="C964" s="100"/>
      <c r="D964" s="10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</row>
    <row r="965" spans="1:26" ht="13.8">
      <c r="A965" s="80"/>
      <c r="B965" s="80"/>
      <c r="C965" s="100"/>
      <c r="D965" s="10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</row>
    <row r="966" spans="1:26" ht="13.8">
      <c r="A966" s="80"/>
      <c r="B966" s="80"/>
      <c r="C966" s="100"/>
      <c r="D966" s="10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</row>
    <row r="967" spans="1:26" ht="13.8">
      <c r="A967" s="80"/>
      <c r="B967" s="80"/>
      <c r="C967" s="100"/>
      <c r="D967" s="10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</row>
    <row r="968" spans="1:26" ht="13.8">
      <c r="A968" s="80"/>
      <c r="B968" s="80"/>
      <c r="C968" s="100"/>
      <c r="D968" s="10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</row>
    <row r="969" spans="1:26" ht="13.8">
      <c r="A969" s="80"/>
      <c r="B969" s="80"/>
      <c r="C969" s="100"/>
      <c r="D969" s="10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</row>
    <row r="970" spans="1:26" ht="13.8">
      <c r="A970" s="80"/>
      <c r="B970" s="80"/>
      <c r="C970" s="100"/>
      <c r="D970" s="10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</row>
    <row r="971" spans="1:26" ht="13.8">
      <c r="A971" s="80"/>
      <c r="B971" s="80"/>
      <c r="C971" s="100"/>
      <c r="D971" s="10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</row>
    <row r="972" spans="1:26" ht="13.8">
      <c r="A972" s="80"/>
      <c r="B972" s="80"/>
      <c r="C972" s="100"/>
      <c r="D972" s="10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</row>
    <row r="973" spans="1:26" ht="13.8">
      <c r="A973" s="80"/>
      <c r="B973" s="80"/>
      <c r="C973" s="100"/>
      <c r="D973" s="10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</row>
    <row r="974" spans="1:26" ht="13.8">
      <c r="A974" s="80"/>
      <c r="B974" s="80"/>
      <c r="C974" s="100"/>
      <c r="D974" s="10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</row>
    <row r="975" spans="1:26" ht="13.8">
      <c r="A975" s="80"/>
      <c r="B975" s="80"/>
      <c r="C975" s="100"/>
      <c r="D975" s="10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</row>
    <row r="976" spans="1:26" ht="13.8">
      <c r="A976" s="80"/>
      <c r="B976" s="80"/>
      <c r="C976" s="100"/>
      <c r="D976" s="10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</row>
    <row r="977" spans="1:26" ht="13.8">
      <c r="A977" s="80"/>
      <c r="B977" s="80"/>
      <c r="C977" s="100"/>
      <c r="D977" s="10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</row>
    <row r="978" spans="1:26" ht="13.8">
      <c r="A978" s="80"/>
      <c r="B978" s="80"/>
      <c r="C978" s="100"/>
      <c r="D978" s="10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</row>
    <row r="979" spans="1:26" ht="13.8">
      <c r="A979" s="80"/>
      <c r="B979" s="80"/>
      <c r="C979" s="100"/>
      <c r="D979" s="10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</row>
    <row r="980" spans="1:26" ht="13.8">
      <c r="A980" s="80"/>
      <c r="B980" s="80"/>
      <c r="C980" s="100"/>
      <c r="D980" s="10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</row>
    <row r="981" spans="1:26" ht="13.8">
      <c r="A981" s="80"/>
      <c r="B981" s="80"/>
      <c r="C981" s="100"/>
      <c r="D981" s="10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</row>
    <row r="982" spans="1:26" ht="13.8">
      <c r="A982" s="80"/>
      <c r="B982" s="80"/>
      <c r="C982" s="100"/>
      <c r="D982" s="10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</row>
    <row r="983" spans="1:26" ht="13.8">
      <c r="A983" s="80"/>
      <c r="B983" s="80"/>
      <c r="C983" s="100"/>
      <c r="D983" s="10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</row>
    <row r="984" spans="1:26" ht="13.8">
      <c r="A984" s="80"/>
      <c r="B984" s="80"/>
      <c r="C984" s="100"/>
      <c r="D984" s="10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</row>
    <row r="985" spans="1:26" ht="13.8">
      <c r="A985" s="80"/>
      <c r="B985" s="80"/>
      <c r="C985" s="100"/>
      <c r="D985" s="10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</row>
    <row r="986" spans="1:26" ht="13.8">
      <c r="A986" s="80"/>
      <c r="B986" s="80"/>
      <c r="C986" s="100"/>
      <c r="D986" s="10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</row>
    <row r="987" spans="1:26" ht="13.8">
      <c r="A987" s="80"/>
      <c r="B987" s="80"/>
      <c r="C987" s="100"/>
      <c r="D987" s="10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</row>
    <row r="988" spans="1:26" ht="13.8">
      <c r="A988" s="80"/>
      <c r="B988" s="80"/>
      <c r="C988" s="100"/>
      <c r="D988" s="10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</row>
    <row r="989" spans="1:26" ht="13.8">
      <c r="A989" s="80"/>
      <c r="B989" s="80"/>
      <c r="C989" s="100"/>
      <c r="D989" s="10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</row>
    <row r="990" spans="1:26" ht="13.8">
      <c r="A990" s="80"/>
      <c r="B990" s="80"/>
      <c r="C990" s="100"/>
      <c r="D990" s="10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</row>
    <row r="991" spans="1:26" ht="13.8">
      <c r="A991" s="80"/>
      <c r="B991" s="80"/>
      <c r="C991" s="100"/>
      <c r="D991" s="10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</row>
    <row r="992" spans="1:26" ht="13.8">
      <c r="A992" s="80"/>
      <c r="B992" s="80"/>
      <c r="C992" s="100"/>
      <c r="D992" s="10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</row>
    <row r="993" spans="1:26" ht="13.8">
      <c r="A993" s="80"/>
      <c r="B993" s="80"/>
      <c r="C993" s="100"/>
      <c r="D993" s="10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</row>
    <row r="994" spans="1:26" ht="13.8">
      <c r="A994" s="80"/>
      <c r="B994" s="80"/>
      <c r="C994" s="100"/>
      <c r="D994" s="10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</row>
    <row r="995" spans="1:26" ht="13.8">
      <c r="A995" s="80"/>
      <c r="B995" s="80"/>
      <c r="C995" s="100"/>
      <c r="D995" s="10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</row>
    <row r="996" spans="1:26" ht="13.8">
      <c r="A996" s="80"/>
      <c r="B996" s="80"/>
      <c r="C996" s="100"/>
      <c r="D996" s="10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</row>
    <row r="997" spans="1:26" ht="13.8">
      <c r="A997" s="80"/>
      <c r="B997" s="80"/>
      <c r="C997" s="100"/>
      <c r="D997" s="10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</row>
    <row r="998" spans="1:26" ht="13.8">
      <c r="A998" s="80"/>
      <c r="B998" s="80"/>
      <c r="C998" s="100"/>
      <c r="D998" s="10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</row>
    <row r="999" spans="1:26" ht="13.8">
      <c r="A999" s="80"/>
      <c r="B999" s="80"/>
      <c r="C999" s="100"/>
      <c r="D999" s="10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</row>
    <row r="1000" spans="1:26" ht="13.8">
      <c r="A1000" s="80"/>
      <c r="B1000" s="80"/>
      <c r="C1000" s="100"/>
      <c r="D1000" s="100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</row>
    <row r="1001" spans="1:26" ht="13.8">
      <c r="A1001" s="80"/>
      <c r="B1001" s="80"/>
      <c r="C1001" s="100"/>
      <c r="D1001" s="100"/>
      <c r="E1001" s="80"/>
      <c r="F1001" s="80"/>
      <c r="G1001" s="80"/>
      <c r="H1001" s="80"/>
      <c r="I1001" s="80"/>
      <c r="J1001" s="80"/>
      <c r="K1001" s="80"/>
      <c r="L1001" s="80"/>
      <c r="M1001" s="80"/>
      <c r="N1001" s="80"/>
      <c r="O1001" s="80"/>
      <c r="P1001" s="80"/>
      <c r="Q1001" s="80"/>
      <c r="R1001" s="80"/>
      <c r="S1001" s="80"/>
      <c r="T1001" s="80"/>
      <c r="U1001" s="80"/>
      <c r="V1001" s="80"/>
      <c r="W1001" s="80"/>
      <c r="X1001" s="80"/>
      <c r="Y1001" s="80"/>
      <c r="Z1001" s="80"/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G1083"/>
  <sheetViews>
    <sheetView workbookViewId="0">
      <pane ySplit="1" topLeftCell="A2" activePane="bottomLeft" state="frozen"/>
      <selection pane="bottomLeft" activeCell="K4" sqref="K4"/>
    </sheetView>
  </sheetViews>
  <sheetFormatPr defaultColWidth="12.5546875" defaultRowHeight="15.75" customHeight="1"/>
  <cols>
    <col min="1" max="1" width="6.5546875" customWidth="1"/>
    <col min="2" max="2" width="13.88671875" customWidth="1"/>
    <col min="3" max="3" width="16.109375" customWidth="1"/>
    <col min="4" max="4" width="9.33203125" customWidth="1"/>
    <col min="5" max="5" width="7.6640625" customWidth="1"/>
    <col min="6" max="6" width="18.5546875" customWidth="1"/>
    <col min="7" max="7" width="37.5546875" customWidth="1"/>
    <col min="8" max="8" width="23" customWidth="1"/>
    <col min="9" max="9" width="21.109375" customWidth="1"/>
    <col min="10" max="10" width="15" customWidth="1"/>
    <col min="11" max="11" width="21.33203125" style="770" customWidth="1"/>
    <col min="12" max="12" width="10.33203125" customWidth="1"/>
    <col min="13" max="13" width="39.88671875" customWidth="1"/>
    <col min="14" max="14" width="17.33203125" customWidth="1"/>
  </cols>
  <sheetData>
    <row r="1" spans="1:33" ht="41.25" customHeight="1" thickBot="1">
      <c r="A1" s="105" t="s">
        <v>37</v>
      </c>
      <c r="B1" s="106" t="s">
        <v>522</v>
      </c>
      <c r="C1" s="105" t="s">
        <v>523</v>
      </c>
      <c r="D1" s="106" t="s">
        <v>524</v>
      </c>
      <c r="E1" s="106" t="s">
        <v>525</v>
      </c>
      <c r="F1" s="105" t="s">
        <v>38</v>
      </c>
      <c r="G1" s="105" t="s">
        <v>17</v>
      </c>
      <c r="H1" s="105" t="s">
        <v>39</v>
      </c>
      <c r="I1" s="105" t="s">
        <v>40</v>
      </c>
      <c r="J1" s="106" t="s">
        <v>41</v>
      </c>
      <c r="K1" s="105" t="s">
        <v>42</v>
      </c>
      <c r="L1" s="106" t="s">
        <v>43</v>
      </c>
      <c r="M1" s="105" t="s">
        <v>44</v>
      </c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</row>
    <row r="2" spans="1:33" ht="14.4" thickBot="1">
      <c r="A2" s="469">
        <v>2025</v>
      </c>
      <c r="B2" s="470"/>
      <c r="C2" s="471"/>
      <c r="D2" s="470"/>
      <c r="E2" s="470"/>
      <c r="F2" s="470"/>
      <c r="G2" s="472"/>
      <c r="H2" s="472"/>
      <c r="I2" s="473"/>
      <c r="J2" s="473"/>
      <c r="K2" s="768"/>
      <c r="L2" s="472"/>
      <c r="M2" s="474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</row>
    <row r="3" spans="1:33" ht="15.6">
      <c r="A3" s="84">
        <v>1</v>
      </c>
      <c r="B3" s="108">
        <v>45863</v>
      </c>
      <c r="C3" s="84" t="s">
        <v>520</v>
      </c>
      <c r="D3" s="84"/>
      <c r="E3" s="84"/>
      <c r="F3" s="84" t="s">
        <v>587</v>
      </c>
      <c r="G3" s="80" t="s">
        <v>588</v>
      </c>
      <c r="H3" s="80"/>
      <c r="I3" s="109" t="s">
        <v>590</v>
      </c>
      <c r="J3" s="109">
        <v>18448328</v>
      </c>
      <c r="K3" s="771" t="s">
        <v>589</v>
      </c>
      <c r="L3" s="108"/>
      <c r="M3" s="773" t="s">
        <v>521</v>
      </c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</row>
    <row r="4" spans="1:33" ht="13.8">
      <c r="A4" s="84">
        <v>2</v>
      </c>
      <c r="B4" s="108"/>
      <c r="C4" s="84"/>
      <c r="D4" s="84"/>
      <c r="E4" s="84"/>
      <c r="F4" s="84"/>
      <c r="G4" s="80"/>
      <c r="H4" s="80"/>
      <c r="I4" s="109"/>
      <c r="J4" s="109"/>
      <c r="K4" s="107"/>
      <c r="L4" s="108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</row>
    <row r="5" spans="1:33" ht="13.8">
      <c r="A5" s="84">
        <v>3</v>
      </c>
      <c r="B5" s="108"/>
      <c r="C5" s="84"/>
      <c r="D5" s="84"/>
      <c r="E5" s="84"/>
      <c r="F5" s="84"/>
      <c r="G5" s="80"/>
      <c r="H5" s="80"/>
      <c r="I5" s="109"/>
      <c r="J5" s="109"/>
      <c r="K5" s="107"/>
      <c r="L5" s="108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</row>
    <row r="6" spans="1:33" ht="13.8">
      <c r="A6" s="84">
        <v>4</v>
      </c>
      <c r="B6" s="108"/>
      <c r="C6" s="84"/>
      <c r="D6" s="84"/>
      <c r="E6" s="84"/>
      <c r="F6" s="84"/>
      <c r="G6" s="80"/>
      <c r="H6" s="80"/>
      <c r="I6" s="109"/>
      <c r="J6" s="109"/>
      <c r="K6" s="107"/>
      <c r="L6" s="108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</row>
    <row r="7" spans="1:33" ht="13.8">
      <c r="A7" s="84">
        <v>5</v>
      </c>
      <c r="B7" s="108"/>
      <c r="C7" s="84"/>
      <c r="D7" s="84"/>
      <c r="E7" s="84"/>
      <c r="F7" s="84"/>
      <c r="G7" s="80"/>
      <c r="H7" s="80"/>
      <c r="I7" s="109"/>
      <c r="J7" s="109"/>
      <c r="K7" s="107"/>
      <c r="L7" s="108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</row>
    <row r="8" spans="1:33" ht="13.8">
      <c r="A8" s="84">
        <v>6</v>
      </c>
      <c r="B8" s="108"/>
      <c r="C8" s="84"/>
      <c r="D8" s="84"/>
      <c r="E8" s="84"/>
      <c r="F8" s="84"/>
      <c r="G8" s="80"/>
      <c r="H8" s="80"/>
      <c r="I8" s="109"/>
      <c r="J8" s="109"/>
      <c r="K8" s="107"/>
      <c r="L8" s="108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</row>
    <row r="9" spans="1:33" ht="13.8">
      <c r="A9" s="84">
        <v>7</v>
      </c>
      <c r="B9" s="108"/>
      <c r="C9" s="84"/>
      <c r="D9" s="84"/>
      <c r="E9" s="84"/>
      <c r="F9" s="84"/>
      <c r="G9" s="80"/>
      <c r="H9" s="80"/>
      <c r="I9" s="109"/>
      <c r="J9" s="109"/>
      <c r="K9" s="107"/>
      <c r="L9" s="108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</row>
    <row r="10" spans="1:33" ht="13.8">
      <c r="A10" s="84">
        <v>8</v>
      </c>
      <c r="B10" s="108"/>
      <c r="C10" s="84"/>
      <c r="D10" s="84"/>
      <c r="E10" s="84"/>
      <c r="F10" s="84"/>
      <c r="G10" s="80"/>
      <c r="H10" s="80"/>
      <c r="I10" s="109"/>
      <c r="J10" s="109"/>
      <c r="K10" s="107"/>
      <c r="L10" s="108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</row>
    <row r="11" spans="1:33" ht="13.8">
      <c r="A11" s="84">
        <v>9</v>
      </c>
      <c r="B11" s="108"/>
      <c r="C11" s="84"/>
      <c r="D11" s="84"/>
      <c r="E11" s="84"/>
      <c r="F11" s="84"/>
      <c r="G11" s="80"/>
      <c r="H11" s="80"/>
      <c r="I11" s="109"/>
      <c r="J11" s="109"/>
      <c r="K11" s="107"/>
      <c r="L11" s="108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</row>
    <row r="12" spans="1:33" ht="13.8">
      <c r="A12" s="84">
        <v>10</v>
      </c>
      <c r="B12" s="108"/>
      <c r="C12" s="84"/>
      <c r="D12" s="84"/>
      <c r="E12" s="84"/>
      <c r="F12" s="84"/>
      <c r="G12" s="80"/>
      <c r="H12" s="80"/>
      <c r="I12" s="772"/>
      <c r="J12" s="109"/>
      <c r="K12" s="107"/>
      <c r="L12" s="108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</row>
    <row r="13" spans="1:33" ht="13.8">
      <c r="A13" s="84">
        <v>11</v>
      </c>
      <c r="B13" s="108"/>
      <c r="C13" s="84"/>
      <c r="D13" s="84"/>
      <c r="E13" s="84"/>
      <c r="F13" s="84"/>
      <c r="G13" s="80"/>
      <c r="H13" s="80"/>
      <c r="I13" s="109"/>
      <c r="J13" s="109"/>
      <c r="K13" s="107"/>
      <c r="L13" s="108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</row>
    <row r="14" spans="1:33" ht="13.8">
      <c r="A14" s="84">
        <v>12</v>
      </c>
      <c r="B14" s="108"/>
      <c r="C14" s="84"/>
      <c r="D14" s="84"/>
      <c r="E14" s="84"/>
      <c r="F14" s="84"/>
      <c r="G14" s="80"/>
      <c r="H14" s="80"/>
      <c r="I14" s="109"/>
      <c r="J14" s="109"/>
      <c r="K14" s="107"/>
      <c r="L14" s="108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</row>
    <row r="15" spans="1:33" ht="13.8">
      <c r="A15" s="84">
        <v>13</v>
      </c>
      <c r="B15" s="108"/>
      <c r="C15" s="84"/>
      <c r="D15" s="84"/>
      <c r="E15" s="84"/>
      <c r="F15" s="84"/>
      <c r="G15" s="80"/>
      <c r="H15" s="80"/>
      <c r="I15" s="109"/>
      <c r="J15" s="109"/>
      <c r="K15" s="107"/>
      <c r="L15" s="108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</row>
    <row r="16" spans="1:33" ht="13.8">
      <c r="A16" s="84">
        <v>14</v>
      </c>
      <c r="B16" s="108"/>
      <c r="C16" s="84"/>
      <c r="D16" s="84"/>
      <c r="E16" s="84"/>
      <c r="F16" s="84"/>
      <c r="G16" s="80"/>
      <c r="H16" s="80"/>
      <c r="I16" s="109"/>
      <c r="J16" s="109"/>
      <c r="K16" s="107"/>
      <c r="L16" s="108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</row>
    <row r="17" spans="1:33" ht="13.8">
      <c r="A17" s="84">
        <v>15</v>
      </c>
      <c r="B17" s="108"/>
      <c r="C17" s="84"/>
      <c r="D17" s="84"/>
      <c r="E17" s="84"/>
      <c r="F17" s="84"/>
      <c r="G17" s="80"/>
      <c r="H17" s="80"/>
      <c r="I17" s="109"/>
      <c r="J17" s="109"/>
      <c r="K17" s="107"/>
      <c r="L17" s="108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</row>
    <row r="18" spans="1:33" ht="13.8">
      <c r="A18" s="84">
        <v>16</v>
      </c>
      <c r="B18" s="108"/>
      <c r="C18" s="84"/>
      <c r="D18" s="84"/>
      <c r="E18" s="84"/>
      <c r="F18" s="84"/>
      <c r="G18" s="80"/>
      <c r="H18" s="80"/>
      <c r="I18" s="109"/>
      <c r="J18" s="109"/>
      <c r="K18" s="107"/>
      <c r="L18" s="108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</row>
    <row r="19" spans="1:33" ht="13.8">
      <c r="A19" s="84">
        <v>17</v>
      </c>
      <c r="B19" s="108"/>
      <c r="C19" s="84"/>
      <c r="D19" s="84"/>
      <c r="E19" s="84"/>
      <c r="F19" s="84"/>
      <c r="G19" s="80"/>
      <c r="H19" s="80"/>
      <c r="I19" s="109"/>
      <c r="J19" s="109"/>
      <c r="K19" s="107"/>
      <c r="L19" s="108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</row>
    <row r="20" spans="1:33" ht="13.8">
      <c r="A20" s="84">
        <v>18</v>
      </c>
      <c r="B20" s="108"/>
      <c r="C20" s="84"/>
      <c r="D20" s="84"/>
      <c r="E20" s="84"/>
      <c r="F20" s="84"/>
      <c r="G20" s="80"/>
      <c r="H20" s="80"/>
      <c r="I20" s="109"/>
      <c r="J20" s="109"/>
      <c r="K20" s="107"/>
      <c r="L20" s="108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</row>
    <row r="21" spans="1:33" ht="13.8">
      <c r="A21" s="84">
        <v>19</v>
      </c>
      <c r="B21" s="108"/>
      <c r="C21" s="84"/>
      <c r="D21" s="84"/>
      <c r="E21" s="84"/>
      <c r="F21" s="84"/>
      <c r="G21" s="80"/>
      <c r="H21" s="80"/>
      <c r="I21" s="109"/>
      <c r="J21" s="109"/>
      <c r="K21" s="107"/>
      <c r="L21" s="108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</row>
    <row r="22" spans="1:33" ht="13.8">
      <c r="A22" s="84">
        <v>20</v>
      </c>
      <c r="B22" s="108"/>
      <c r="C22" s="84"/>
      <c r="D22" s="84"/>
      <c r="E22" s="84"/>
      <c r="F22" s="84"/>
      <c r="G22" s="80"/>
      <c r="H22" s="80"/>
      <c r="I22" s="109"/>
      <c r="J22" s="109"/>
      <c r="K22" s="107"/>
      <c r="L22" s="108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</row>
    <row r="23" spans="1:33" ht="13.8">
      <c r="A23" s="84">
        <v>21</v>
      </c>
      <c r="B23" s="108"/>
      <c r="C23" s="84"/>
      <c r="D23" s="84"/>
      <c r="E23" s="84"/>
      <c r="F23" s="84"/>
      <c r="G23" s="80"/>
      <c r="H23" s="80"/>
      <c r="I23" s="109"/>
      <c r="J23" s="109"/>
      <c r="K23" s="107"/>
      <c r="L23" s="108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</row>
    <row r="24" spans="1:33" ht="13.8">
      <c r="A24" s="84">
        <v>22</v>
      </c>
      <c r="B24" s="108"/>
      <c r="C24" s="84"/>
      <c r="D24" s="84"/>
      <c r="E24" s="84"/>
      <c r="F24" s="84"/>
      <c r="G24" s="80"/>
      <c r="H24" s="80"/>
      <c r="I24" s="109"/>
      <c r="J24" s="109"/>
      <c r="K24" s="107"/>
      <c r="L24" s="108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</row>
    <row r="25" spans="1:33" ht="13.8">
      <c r="A25" s="84">
        <v>23</v>
      </c>
      <c r="B25" s="108"/>
      <c r="C25" s="84"/>
      <c r="D25" s="84"/>
      <c r="E25" s="84"/>
      <c r="F25" s="84"/>
      <c r="G25" s="80"/>
      <c r="H25" s="80"/>
      <c r="I25" s="109"/>
      <c r="J25" s="109"/>
      <c r="K25" s="107"/>
      <c r="L25" s="108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</row>
    <row r="26" spans="1:33" ht="13.8">
      <c r="A26" s="84">
        <v>24</v>
      </c>
      <c r="B26" s="108"/>
      <c r="C26" s="84"/>
      <c r="D26" s="84"/>
      <c r="E26" s="84"/>
      <c r="F26" s="84"/>
      <c r="G26" s="80"/>
      <c r="H26" s="80"/>
      <c r="I26" s="109"/>
      <c r="J26" s="109"/>
      <c r="K26" s="107"/>
      <c r="L26" s="108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</row>
    <row r="27" spans="1:33" ht="13.8">
      <c r="A27" s="84">
        <v>25</v>
      </c>
      <c r="B27" s="108"/>
      <c r="C27" s="84"/>
      <c r="D27" s="84"/>
      <c r="E27" s="84"/>
      <c r="F27" s="84"/>
      <c r="G27" s="80"/>
      <c r="H27" s="80"/>
      <c r="I27" s="109"/>
      <c r="J27" s="109"/>
      <c r="K27" s="107"/>
      <c r="L27" s="108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</row>
    <row r="28" spans="1:33" ht="13.8">
      <c r="A28" s="84">
        <v>26</v>
      </c>
      <c r="B28" s="108"/>
      <c r="C28" s="84"/>
      <c r="D28" s="84"/>
      <c r="E28" s="84"/>
      <c r="F28" s="84"/>
      <c r="G28" s="80"/>
      <c r="H28" s="80"/>
      <c r="I28" s="109"/>
      <c r="J28" s="109"/>
      <c r="K28" s="107"/>
      <c r="L28" s="108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</row>
    <row r="29" spans="1:33" ht="13.8">
      <c r="A29" s="84">
        <v>27</v>
      </c>
      <c r="B29" s="108"/>
      <c r="C29" s="84"/>
      <c r="D29" s="84"/>
      <c r="E29" s="84"/>
      <c r="F29" s="84"/>
      <c r="G29" s="80"/>
      <c r="H29" s="80"/>
      <c r="I29" s="109"/>
      <c r="J29" s="109"/>
      <c r="K29" s="107"/>
      <c r="L29" s="108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</row>
    <row r="30" spans="1:33" ht="13.8">
      <c r="A30" s="84">
        <v>28</v>
      </c>
      <c r="B30" s="108"/>
      <c r="C30" s="84"/>
      <c r="D30" s="84"/>
      <c r="E30" s="84"/>
      <c r="F30" s="84"/>
      <c r="G30" s="80"/>
      <c r="H30" s="80"/>
      <c r="I30" s="109"/>
      <c r="J30" s="109"/>
      <c r="K30" s="107"/>
      <c r="L30" s="108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</row>
    <row r="31" spans="1:33" ht="15" customHeight="1">
      <c r="A31" s="84">
        <v>29</v>
      </c>
      <c r="B31" s="108"/>
      <c r="C31" s="84"/>
      <c r="D31" s="84"/>
      <c r="E31" s="84"/>
      <c r="F31" s="84"/>
      <c r="G31" s="80"/>
      <c r="H31" s="80"/>
      <c r="I31" s="109"/>
      <c r="J31" s="109"/>
      <c r="K31" s="107"/>
      <c r="L31" s="108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</row>
    <row r="32" spans="1:33" ht="14.4" thickBot="1">
      <c r="A32" s="84">
        <v>30</v>
      </c>
      <c r="B32" s="108"/>
      <c r="C32" s="84"/>
      <c r="D32" s="84"/>
      <c r="E32" s="84"/>
      <c r="F32" s="84"/>
      <c r="G32" s="80"/>
      <c r="H32" s="80"/>
      <c r="I32" s="109"/>
      <c r="J32" s="109"/>
      <c r="K32" s="107"/>
      <c r="L32" s="108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</row>
    <row r="33" spans="1:33" ht="13.8" hidden="1">
      <c r="A33" s="84">
        <v>31</v>
      </c>
      <c r="B33" s="108"/>
      <c r="C33" s="84"/>
      <c r="D33" s="84"/>
      <c r="E33" s="84"/>
      <c r="F33" s="84"/>
      <c r="G33" s="80"/>
      <c r="H33" s="80"/>
      <c r="I33" s="109"/>
      <c r="J33" s="109"/>
      <c r="K33" s="107"/>
      <c r="L33" s="108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</row>
    <row r="34" spans="1:33" ht="13.8" hidden="1">
      <c r="A34" s="84">
        <v>32</v>
      </c>
      <c r="B34" s="108"/>
      <c r="C34" s="84"/>
      <c r="D34" s="84"/>
      <c r="E34" s="84"/>
      <c r="F34" s="84"/>
      <c r="G34" s="80"/>
      <c r="H34" s="80"/>
      <c r="I34" s="109"/>
      <c r="J34" s="109"/>
      <c r="K34" s="107"/>
      <c r="L34" s="108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</row>
    <row r="35" spans="1:33" ht="13.8" hidden="1">
      <c r="A35" s="84">
        <v>33</v>
      </c>
      <c r="B35" s="108"/>
      <c r="C35" s="84"/>
      <c r="D35" s="84"/>
      <c r="E35" s="84"/>
      <c r="F35" s="84"/>
      <c r="G35" s="80"/>
      <c r="H35" s="80"/>
      <c r="I35" s="109"/>
      <c r="J35" s="109"/>
      <c r="K35" s="107"/>
      <c r="L35" s="108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</row>
    <row r="36" spans="1:33" ht="13.8" hidden="1">
      <c r="A36" s="84">
        <v>34</v>
      </c>
      <c r="B36" s="108"/>
      <c r="C36" s="84"/>
      <c r="D36" s="84"/>
      <c r="E36" s="84"/>
      <c r="F36" s="84"/>
      <c r="G36" s="80"/>
      <c r="H36" s="80"/>
      <c r="I36" s="109"/>
      <c r="J36" s="109"/>
      <c r="K36" s="107"/>
      <c r="L36" s="108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</row>
    <row r="37" spans="1:33" ht="13.8" hidden="1">
      <c r="A37" s="84">
        <v>35</v>
      </c>
      <c r="B37" s="108"/>
      <c r="C37" s="84"/>
      <c r="D37" s="84"/>
      <c r="E37" s="84"/>
      <c r="F37" s="84"/>
      <c r="G37" s="80"/>
      <c r="H37" s="80"/>
      <c r="I37" s="109"/>
      <c r="J37" s="109"/>
      <c r="K37" s="107"/>
      <c r="L37" s="108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</row>
    <row r="38" spans="1:33" ht="13.8" hidden="1">
      <c r="A38" s="84">
        <v>36</v>
      </c>
      <c r="B38" s="108"/>
      <c r="C38" s="84"/>
      <c r="D38" s="84"/>
      <c r="E38" s="84"/>
      <c r="F38" s="84"/>
      <c r="G38" s="80"/>
      <c r="H38" s="80"/>
      <c r="I38" s="109"/>
      <c r="J38" s="109"/>
      <c r="K38" s="107"/>
      <c r="L38" s="108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</row>
    <row r="39" spans="1:33" ht="13.8" hidden="1">
      <c r="A39" s="84">
        <v>37</v>
      </c>
      <c r="B39" s="108"/>
      <c r="C39" s="84"/>
      <c r="D39" s="84"/>
      <c r="E39" s="84"/>
      <c r="F39" s="84"/>
      <c r="G39" s="80"/>
      <c r="H39" s="80"/>
      <c r="I39" s="109"/>
      <c r="J39" s="109"/>
      <c r="K39" s="107"/>
      <c r="L39" s="108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</row>
    <row r="40" spans="1:33" ht="13.8" hidden="1">
      <c r="A40" s="84">
        <v>38</v>
      </c>
      <c r="B40" s="108"/>
      <c r="C40" s="84"/>
      <c r="D40" s="84"/>
      <c r="E40" s="84"/>
      <c r="F40" s="84"/>
      <c r="G40" s="80"/>
      <c r="H40" s="80"/>
      <c r="I40" s="109"/>
      <c r="J40" s="109"/>
      <c r="K40" s="107"/>
      <c r="L40" s="108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</row>
    <row r="41" spans="1:33" ht="13.8" hidden="1">
      <c r="A41" s="84">
        <v>39</v>
      </c>
      <c r="B41" s="108"/>
      <c r="C41" s="84"/>
      <c r="D41" s="84"/>
      <c r="E41" s="84"/>
      <c r="F41" s="84"/>
      <c r="G41" s="80"/>
      <c r="H41" s="80"/>
      <c r="I41" s="109"/>
      <c r="J41" s="109"/>
      <c r="K41" s="107"/>
      <c r="L41" s="108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</row>
    <row r="42" spans="1:33" ht="13.8" hidden="1">
      <c r="A42" s="84">
        <v>40</v>
      </c>
      <c r="B42" s="108"/>
      <c r="C42" s="84"/>
      <c r="D42" s="84"/>
      <c r="E42" s="84"/>
      <c r="F42" s="84"/>
      <c r="G42" s="80"/>
      <c r="H42" s="80"/>
      <c r="I42" s="109"/>
      <c r="J42" s="109"/>
      <c r="K42" s="107"/>
      <c r="L42" s="108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</row>
    <row r="43" spans="1:33" ht="13.8" hidden="1">
      <c r="A43" s="84">
        <v>41</v>
      </c>
      <c r="B43" s="108"/>
      <c r="C43" s="84"/>
      <c r="D43" s="84"/>
      <c r="E43" s="84"/>
      <c r="F43" s="84"/>
      <c r="G43" s="80"/>
      <c r="H43" s="80"/>
      <c r="I43" s="109"/>
      <c r="J43" s="109"/>
      <c r="K43" s="107"/>
      <c r="L43" s="108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</row>
    <row r="44" spans="1:33" ht="13.8" hidden="1">
      <c r="A44" s="84">
        <v>42</v>
      </c>
      <c r="B44" s="108"/>
      <c r="C44" s="84"/>
      <c r="D44" s="84"/>
      <c r="E44" s="84"/>
      <c r="F44" s="84"/>
      <c r="G44" s="80"/>
      <c r="H44" s="80"/>
      <c r="I44" s="109"/>
      <c r="J44" s="109"/>
      <c r="K44" s="107"/>
      <c r="L44" s="108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</row>
    <row r="45" spans="1:33" ht="13.8" hidden="1">
      <c r="A45" s="84">
        <v>43</v>
      </c>
      <c r="B45" s="108"/>
      <c r="C45" s="84"/>
      <c r="D45" s="84"/>
      <c r="E45" s="84"/>
      <c r="F45" s="84"/>
      <c r="G45" s="80"/>
      <c r="H45" s="80"/>
      <c r="I45" s="109"/>
      <c r="J45" s="109"/>
      <c r="K45" s="107"/>
      <c r="L45" s="108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</row>
    <row r="46" spans="1:33" ht="13.8" hidden="1">
      <c r="A46" s="84">
        <v>44</v>
      </c>
      <c r="B46" s="108"/>
      <c r="C46" s="84"/>
      <c r="D46" s="84"/>
      <c r="E46" s="84"/>
      <c r="F46" s="84"/>
      <c r="G46" s="80"/>
      <c r="H46" s="80"/>
      <c r="I46" s="109"/>
      <c r="J46" s="109"/>
      <c r="K46" s="107"/>
      <c r="L46" s="108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</row>
    <row r="47" spans="1:33" ht="13.8" hidden="1">
      <c r="A47" s="84">
        <v>45</v>
      </c>
      <c r="B47" s="108"/>
      <c r="C47" s="84"/>
      <c r="D47" s="84"/>
      <c r="E47" s="84"/>
      <c r="F47" s="84"/>
      <c r="G47" s="80"/>
      <c r="H47" s="80"/>
      <c r="I47" s="109"/>
      <c r="J47" s="109"/>
      <c r="K47" s="107"/>
      <c r="L47" s="108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</row>
    <row r="48" spans="1:33" ht="13.8" hidden="1">
      <c r="A48" s="84">
        <v>46</v>
      </c>
      <c r="B48" s="108"/>
      <c r="C48" s="84"/>
      <c r="D48" s="84"/>
      <c r="E48" s="84"/>
      <c r="F48" s="84"/>
      <c r="G48" s="80"/>
      <c r="H48" s="80"/>
      <c r="I48" s="109"/>
      <c r="J48" s="109"/>
      <c r="K48" s="107"/>
      <c r="L48" s="108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</row>
    <row r="49" spans="1:33" ht="13.8" hidden="1">
      <c r="A49" s="84">
        <v>47</v>
      </c>
      <c r="B49" s="108"/>
      <c r="C49" s="84"/>
      <c r="D49" s="84"/>
      <c r="E49" s="84"/>
      <c r="F49" s="84"/>
      <c r="G49" s="80"/>
      <c r="H49" s="80"/>
      <c r="I49" s="109"/>
      <c r="J49" s="109"/>
      <c r="K49" s="107"/>
      <c r="L49" s="108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</row>
    <row r="50" spans="1:33" ht="13.8" hidden="1">
      <c r="A50" s="84">
        <v>48</v>
      </c>
      <c r="B50" s="108"/>
      <c r="C50" s="84"/>
      <c r="D50" s="84"/>
      <c r="E50" s="84"/>
      <c r="F50" s="84"/>
      <c r="G50" s="80"/>
      <c r="H50" s="80"/>
      <c r="I50" s="109"/>
      <c r="J50" s="109"/>
      <c r="K50" s="107"/>
      <c r="L50" s="108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</row>
    <row r="51" spans="1:33" ht="13.8" hidden="1">
      <c r="A51" s="84">
        <v>49</v>
      </c>
      <c r="B51" s="108"/>
      <c r="C51" s="84"/>
      <c r="D51" s="84"/>
      <c r="E51" s="84"/>
      <c r="F51" s="84"/>
      <c r="G51" s="80"/>
      <c r="H51" s="80"/>
      <c r="I51" s="109"/>
      <c r="J51" s="109"/>
      <c r="K51" s="107"/>
      <c r="L51" s="108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</row>
    <row r="52" spans="1:33" ht="14.4" hidden="1" thickBot="1">
      <c r="A52" s="84">
        <v>50</v>
      </c>
      <c r="B52" s="108"/>
      <c r="C52" s="84"/>
      <c r="D52" s="84"/>
      <c r="E52" s="84"/>
      <c r="F52" s="84"/>
      <c r="G52" s="80"/>
      <c r="H52" s="80"/>
      <c r="I52" s="109"/>
      <c r="J52" s="109"/>
      <c r="K52" s="107"/>
      <c r="L52" s="108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</row>
    <row r="53" spans="1:33" ht="14.4" thickBot="1">
      <c r="A53" s="469">
        <v>2026</v>
      </c>
      <c r="B53" s="470"/>
      <c r="C53" s="471"/>
      <c r="D53" s="470"/>
      <c r="E53" s="470"/>
      <c r="F53" s="470"/>
      <c r="G53" s="472"/>
      <c r="H53" s="472"/>
      <c r="I53" s="473"/>
      <c r="J53" s="473"/>
      <c r="K53" s="768"/>
      <c r="L53" s="470"/>
      <c r="M53" s="474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</row>
    <row r="54" spans="1:33" ht="13.8">
      <c r="A54" s="84">
        <v>1</v>
      </c>
      <c r="B54" s="108"/>
      <c r="C54" s="84"/>
      <c r="D54" s="84"/>
      <c r="E54" s="84"/>
      <c r="F54" s="84"/>
      <c r="G54" s="80"/>
      <c r="H54" s="80"/>
      <c r="I54" s="109"/>
      <c r="J54" s="109"/>
      <c r="K54" s="107"/>
      <c r="L54" s="84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</row>
    <row r="55" spans="1:33" ht="13.8">
      <c r="A55" s="84">
        <v>2</v>
      </c>
      <c r="B55" s="108"/>
      <c r="C55" s="84"/>
      <c r="D55" s="84"/>
      <c r="E55" s="84"/>
      <c r="F55" s="84"/>
      <c r="G55" s="80"/>
      <c r="H55" s="80"/>
      <c r="I55" s="109"/>
      <c r="J55" s="109"/>
      <c r="K55" s="107"/>
      <c r="L55" s="84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</row>
    <row r="56" spans="1:33" ht="13.8">
      <c r="A56" s="84">
        <v>3</v>
      </c>
      <c r="B56" s="108"/>
      <c r="C56" s="84"/>
      <c r="D56" s="84"/>
      <c r="E56" s="108"/>
      <c r="F56" s="84"/>
      <c r="G56" s="80"/>
      <c r="H56" s="80"/>
      <c r="I56" s="109"/>
      <c r="J56" s="109"/>
      <c r="K56" s="107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</row>
    <row r="57" spans="1:33" ht="13.8">
      <c r="A57" s="84">
        <v>4</v>
      </c>
      <c r="B57" s="108"/>
      <c r="C57" s="84"/>
      <c r="D57" s="84"/>
      <c r="E57" s="84"/>
      <c r="F57" s="84"/>
      <c r="G57" s="80"/>
      <c r="H57" s="80"/>
      <c r="I57" s="109"/>
      <c r="J57" s="110"/>
      <c r="K57" s="107"/>
      <c r="L57" s="84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</row>
    <row r="58" spans="1:33" ht="13.8">
      <c r="A58" s="84">
        <v>5</v>
      </c>
      <c r="B58" s="108"/>
      <c r="C58" s="84"/>
      <c r="D58" s="84"/>
      <c r="E58" s="84"/>
      <c r="F58" s="84"/>
      <c r="G58" s="80"/>
      <c r="H58" s="80"/>
      <c r="I58" s="109"/>
      <c r="J58" s="110"/>
      <c r="K58" s="107"/>
      <c r="L58" s="84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</row>
    <row r="59" spans="1:33" ht="13.8">
      <c r="A59" s="84">
        <v>6</v>
      </c>
      <c r="B59" s="108"/>
      <c r="C59" s="84"/>
      <c r="D59" s="84"/>
      <c r="E59" s="84"/>
      <c r="F59" s="84"/>
      <c r="G59" s="80"/>
      <c r="H59" s="80"/>
      <c r="I59" s="109"/>
      <c r="J59" s="110"/>
      <c r="K59" s="107"/>
      <c r="L59" s="84"/>
      <c r="M59" s="80"/>
    </row>
    <row r="60" spans="1:33" ht="13.8">
      <c r="A60" s="84">
        <v>7</v>
      </c>
      <c r="B60" s="108"/>
      <c r="C60" s="84"/>
      <c r="D60" s="84"/>
      <c r="E60" s="84"/>
      <c r="F60" s="84"/>
      <c r="G60" s="80"/>
      <c r="H60" s="80"/>
      <c r="I60" s="109"/>
      <c r="J60" s="110"/>
      <c r="K60" s="107"/>
      <c r="L60" s="84"/>
      <c r="M60" s="80"/>
    </row>
    <row r="61" spans="1:33" ht="13.8">
      <c r="A61" s="84">
        <v>8</v>
      </c>
      <c r="B61" s="108"/>
      <c r="C61" s="84"/>
      <c r="D61" s="84"/>
      <c r="E61" s="84"/>
      <c r="F61" s="84"/>
      <c r="G61" s="80"/>
      <c r="H61" s="80"/>
      <c r="I61" s="109"/>
      <c r="J61" s="110"/>
      <c r="K61" s="107"/>
      <c r="L61" s="84"/>
      <c r="M61" s="80"/>
    </row>
    <row r="62" spans="1:33" ht="13.8">
      <c r="A62" s="84">
        <v>9</v>
      </c>
      <c r="B62" s="108"/>
      <c r="C62" s="84"/>
      <c r="D62" s="84"/>
      <c r="E62" s="84"/>
      <c r="F62" s="84"/>
      <c r="G62" s="80"/>
      <c r="H62" s="80"/>
      <c r="I62" s="109"/>
      <c r="J62" s="110"/>
      <c r="K62" s="107"/>
      <c r="L62" s="84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</row>
    <row r="63" spans="1:33" ht="13.8">
      <c r="A63" s="84">
        <v>10</v>
      </c>
      <c r="B63" s="108"/>
      <c r="C63" s="84"/>
      <c r="D63" s="84"/>
      <c r="E63" s="84"/>
      <c r="F63" s="84"/>
      <c r="G63" s="80"/>
      <c r="H63" s="80"/>
      <c r="I63" s="109"/>
      <c r="J63" s="110"/>
      <c r="K63" s="107"/>
      <c r="L63" s="84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</row>
    <row r="64" spans="1:33" ht="13.8">
      <c r="A64" s="84">
        <v>11</v>
      </c>
      <c r="B64" s="108"/>
      <c r="C64" s="84"/>
      <c r="D64" s="84"/>
      <c r="E64" s="84"/>
      <c r="F64" s="84"/>
      <c r="G64" s="80"/>
      <c r="H64" s="80"/>
      <c r="I64" s="109"/>
      <c r="J64" s="110"/>
      <c r="K64" s="107"/>
      <c r="L64" s="84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</row>
    <row r="65" spans="1:33" ht="13.8">
      <c r="A65" s="84">
        <v>12</v>
      </c>
      <c r="B65" s="108"/>
      <c r="C65" s="84"/>
      <c r="D65" s="84"/>
      <c r="E65" s="84"/>
      <c r="F65" s="84"/>
      <c r="G65" s="80"/>
      <c r="H65" s="80"/>
      <c r="I65" s="109"/>
      <c r="J65" s="110"/>
      <c r="K65" s="107"/>
      <c r="L65" s="84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</row>
    <row r="66" spans="1:33" ht="13.8">
      <c r="A66" s="84">
        <v>13</v>
      </c>
      <c r="B66" s="108"/>
      <c r="C66" s="84"/>
      <c r="D66" s="84"/>
      <c r="E66" s="84"/>
      <c r="F66" s="84"/>
      <c r="G66" s="80"/>
      <c r="H66" s="80"/>
      <c r="I66" s="109"/>
      <c r="J66" s="110"/>
      <c r="K66" s="107"/>
      <c r="L66" s="84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</row>
    <row r="67" spans="1:33" ht="13.8">
      <c r="A67" s="84">
        <v>14</v>
      </c>
      <c r="B67" s="108"/>
      <c r="C67" s="84"/>
      <c r="D67" s="84"/>
      <c r="E67" s="84"/>
      <c r="F67" s="84"/>
      <c r="G67" s="80"/>
      <c r="H67" s="80"/>
      <c r="I67" s="109"/>
      <c r="J67" s="110"/>
      <c r="K67" s="107"/>
      <c r="L67" s="84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</row>
    <row r="68" spans="1:33" ht="13.8">
      <c r="A68" s="84">
        <v>15</v>
      </c>
      <c r="B68" s="108"/>
      <c r="C68" s="84"/>
      <c r="D68" s="84"/>
      <c r="E68" s="84"/>
      <c r="F68" s="84"/>
      <c r="G68" s="80"/>
      <c r="H68" s="80"/>
      <c r="I68" s="109"/>
      <c r="J68" s="110"/>
      <c r="K68" s="107"/>
      <c r="L68" s="84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</row>
    <row r="69" spans="1:33" ht="13.8">
      <c r="A69" s="84">
        <v>16</v>
      </c>
      <c r="B69" s="108"/>
      <c r="C69" s="84"/>
      <c r="D69" s="84"/>
      <c r="E69" s="84"/>
      <c r="F69" s="84"/>
      <c r="G69" s="80"/>
      <c r="H69" s="80"/>
      <c r="I69" s="109"/>
      <c r="J69" s="110"/>
      <c r="K69" s="107"/>
      <c r="L69" s="84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</row>
    <row r="70" spans="1:33" ht="13.8">
      <c r="A70" s="84">
        <v>17</v>
      </c>
      <c r="B70" s="108"/>
      <c r="C70" s="84"/>
      <c r="D70" s="84"/>
      <c r="E70" s="84"/>
      <c r="F70" s="84"/>
      <c r="G70" s="80"/>
      <c r="H70" s="80"/>
      <c r="I70" s="109"/>
      <c r="J70" s="110"/>
      <c r="K70" s="107"/>
      <c r="L70" s="84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</row>
    <row r="71" spans="1:33" ht="13.8">
      <c r="A71" s="84">
        <v>18</v>
      </c>
      <c r="B71" s="108"/>
      <c r="C71" s="84"/>
      <c r="D71" s="84"/>
      <c r="E71" s="84"/>
      <c r="F71" s="84"/>
      <c r="G71" s="80"/>
      <c r="H71" s="80"/>
      <c r="I71" s="109"/>
      <c r="J71" s="110"/>
      <c r="K71" s="107"/>
      <c r="L71" s="84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</row>
    <row r="72" spans="1:33" ht="13.8">
      <c r="A72" s="84">
        <v>19</v>
      </c>
      <c r="B72" s="108"/>
      <c r="C72" s="84"/>
      <c r="D72" s="84"/>
      <c r="E72" s="84"/>
      <c r="F72" s="84"/>
      <c r="G72" s="80"/>
      <c r="H72" s="80"/>
      <c r="I72" s="109"/>
      <c r="J72" s="110"/>
      <c r="K72" s="107"/>
      <c r="L72" s="84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</row>
    <row r="73" spans="1:33" ht="13.8">
      <c r="A73" s="84">
        <v>20</v>
      </c>
      <c r="B73" s="108"/>
      <c r="C73" s="84"/>
      <c r="D73" s="84"/>
      <c r="E73" s="84"/>
      <c r="F73" s="84"/>
      <c r="G73" s="80"/>
      <c r="H73" s="80"/>
      <c r="I73" s="109"/>
      <c r="J73" s="110"/>
      <c r="K73" s="107"/>
      <c r="L73" s="84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</row>
    <row r="74" spans="1:33" ht="13.8">
      <c r="A74" s="84">
        <v>21</v>
      </c>
      <c r="B74" s="108"/>
      <c r="C74" s="84"/>
      <c r="D74" s="84"/>
      <c r="E74" s="84"/>
      <c r="F74" s="84"/>
      <c r="G74" s="80"/>
      <c r="H74" s="80"/>
      <c r="I74" s="109"/>
      <c r="J74" s="110"/>
      <c r="K74" s="107"/>
      <c r="L74" s="84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</row>
    <row r="75" spans="1:33" ht="13.8">
      <c r="A75" s="84">
        <v>22</v>
      </c>
      <c r="B75" s="108"/>
      <c r="C75" s="84"/>
      <c r="D75" s="84"/>
      <c r="E75" s="84"/>
      <c r="F75" s="84"/>
      <c r="G75" s="80"/>
      <c r="H75" s="80"/>
      <c r="I75" s="109"/>
      <c r="J75" s="110"/>
      <c r="K75" s="107"/>
      <c r="L75" s="84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</row>
    <row r="76" spans="1:33" ht="13.8">
      <c r="A76" s="84">
        <v>23</v>
      </c>
      <c r="B76" s="108"/>
      <c r="C76" s="84"/>
      <c r="D76" s="84"/>
      <c r="E76" s="84"/>
      <c r="F76" s="84"/>
      <c r="G76" s="80"/>
      <c r="H76" s="80"/>
      <c r="I76" s="109"/>
      <c r="J76" s="110"/>
      <c r="K76" s="107"/>
      <c r="L76" s="84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</row>
    <row r="77" spans="1:33" ht="13.8">
      <c r="A77" s="84">
        <v>24</v>
      </c>
      <c r="B77" s="108"/>
      <c r="C77" s="84"/>
      <c r="D77" s="84"/>
      <c r="E77" s="84"/>
      <c r="F77" s="84"/>
      <c r="G77" s="80"/>
      <c r="H77" s="80"/>
      <c r="I77" s="109"/>
      <c r="J77" s="110"/>
      <c r="K77" s="107"/>
      <c r="L77" s="84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</row>
    <row r="78" spans="1:33" ht="13.8">
      <c r="A78" s="84">
        <v>25</v>
      </c>
      <c r="B78" s="108"/>
      <c r="C78" s="84"/>
      <c r="D78" s="84"/>
      <c r="E78" s="84"/>
      <c r="F78" s="84"/>
      <c r="G78" s="80"/>
      <c r="H78" s="80"/>
      <c r="I78" s="109"/>
      <c r="J78" s="110"/>
      <c r="K78" s="107"/>
      <c r="L78" s="84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</row>
    <row r="79" spans="1:33" ht="13.8">
      <c r="A79" s="84">
        <v>26</v>
      </c>
      <c r="B79" s="108"/>
      <c r="C79" s="84"/>
      <c r="D79" s="84"/>
      <c r="E79" s="84"/>
      <c r="F79" s="84"/>
      <c r="G79" s="80"/>
      <c r="H79" s="80"/>
      <c r="I79" s="109"/>
      <c r="J79" s="110"/>
      <c r="K79" s="107"/>
      <c r="L79" s="84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</row>
    <row r="80" spans="1:33" ht="13.8">
      <c r="A80" s="84">
        <v>27</v>
      </c>
      <c r="B80" s="108"/>
      <c r="C80" s="84"/>
      <c r="D80" s="84"/>
      <c r="E80" s="84"/>
      <c r="F80" s="84"/>
      <c r="G80" s="80"/>
      <c r="H80" s="80"/>
      <c r="I80" s="109"/>
      <c r="J80" s="110"/>
      <c r="K80" s="107"/>
      <c r="L80" s="84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</row>
    <row r="81" spans="1:33" ht="13.8">
      <c r="A81" s="84">
        <v>28</v>
      </c>
      <c r="B81" s="108"/>
      <c r="C81" s="84"/>
      <c r="D81" s="84"/>
      <c r="E81" s="84"/>
      <c r="F81" s="84"/>
      <c r="G81" s="80"/>
      <c r="H81" s="80"/>
      <c r="I81" s="109"/>
      <c r="J81" s="110"/>
      <c r="K81" s="107"/>
      <c r="L81" s="84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</row>
    <row r="82" spans="1:33" ht="13.8">
      <c r="A82" s="84">
        <v>29</v>
      </c>
      <c r="B82" s="108"/>
      <c r="C82" s="84"/>
      <c r="D82" s="84"/>
      <c r="E82" s="84"/>
      <c r="F82" s="84"/>
      <c r="G82" s="80"/>
      <c r="H82" s="80"/>
      <c r="I82" s="109"/>
      <c r="J82" s="110"/>
      <c r="K82" s="107"/>
      <c r="L82" s="84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</row>
    <row r="83" spans="1:33" ht="13.8">
      <c r="A83" s="84">
        <v>30</v>
      </c>
      <c r="B83" s="108"/>
      <c r="C83" s="84"/>
      <c r="D83" s="84"/>
      <c r="E83" s="84"/>
      <c r="F83" s="84"/>
      <c r="G83" s="80"/>
      <c r="H83" s="80"/>
      <c r="I83" s="109"/>
      <c r="J83" s="80"/>
      <c r="K83" s="107"/>
      <c r="L83" s="84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</row>
    <row r="84" spans="1:33" ht="13.8" hidden="1">
      <c r="A84" s="84">
        <v>31</v>
      </c>
      <c r="B84" s="108"/>
      <c r="C84" s="84"/>
      <c r="D84" s="84"/>
      <c r="E84" s="84"/>
      <c r="F84" s="84"/>
      <c r="G84" s="80"/>
      <c r="H84" s="80"/>
      <c r="I84" s="80"/>
      <c r="J84" s="80"/>
      <c r="K84" s="107"/>
      <c r="L84" s="84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</row>
    <row r="85" spans="1:33" ht="13.8" hidden="1">
      <c r="A85" s="84">
        <v>32</v>
      </c>
      <c r="B85" s="108"/>
      <c r="C85" s="84"/>
      <c r="D85" s="84"/>
      <c r="E85" s="84"/>
      <c r="F85" s="84"/>
      <c r="G85" s="80"/>
      <c r="H85" s="80"/>
      <c r="I85" s="80"/>
      <c r="J85" s="80"/>
      <c r="K85" s="107"/>
      <c r="L85" s="84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</row>
    <row r="86" spans="1:33" ht="13.8" hidden="1">
      <c r="A86" s="84">
        <v>33</v>
      </c>
      <c r="B86" s="108"/>
      <c r="C86" s="84"/>
      <c r="D86" s="84"/>
      <c r="E86" s="84"/>
      <c r="F86" s="84"/>
      <c r="G86" s="80"/>
      <c r="H86" s="80"/>
      <c r="I86" s="80"/>
      <c r="J86" s="109"/>
      <c r="K86" s="107"/>
      <c r="L86" s="84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</row>
    <row r="87" spans="1:33" ht="13.8" hidden="1">
      <c r="A87" s="84">
        <v>34</v>
      </c>
      <c r="B87" s="108"/>
      <c r="C87" s="84"/>
      <c r="D87" s="84"/>
      <c r="E87" s="84"/>
      <c r="F87" s="84"/>
      <c r="G87" s="80"/>
      <c r="H87" s="80"/>
      <c r="I87" s="80"/>
      <c r="J87" s="80"/>
      <c r="K87" s="107"/>
      <c r="L87" s="84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</row>
    <row r="88" spans="1:33" ht="13.8" hidden="1">
      <c r="A88" s="84">
        <v>35</v>
      </c>
      <c r="B88" s="108"/>
      <c r="C88" s="84"/>
      <c r="D88" s="84"/>
      <c r="E88" s="84"/>
      <c r="F88" s="84"/>
      <c r="G88" s="80"/>
      <c r="H88" s="80"/>
      <c r="I88" s="80"/>
      <c r="J88" s="80"/>
      <c r="K88" s="107"/>
      <c r="L88" s="84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</row>
    <row r="89" spans="1:33" ht="13.8" hidden="1">
      <c r="A89" s="84"/>
      <c r="B89" s="84"/>
      <c r="C89" s="84"/>
      <c r="D89" s="84"/>
      <c r="E89" s="84"/>
      <c r="F89" s="84"/>
      <c r="G89" s="80"/>
      <c r="H89" s="80"/>
      <c r="I89" s="80"/>
      <c r="J89" s="80"/>
      <c r="K89" s="107"/>
      <c r="L89" s="84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</row>
    <row r="90" spans="1:33" ht="13.8" hidden="1">
      <c r="A90" s="84"/>
      <c r="B90" s="84"/>
      <c r="C90" s="84"/>
      <c r="D90" s="84"/>
      <c r="E90" s="84"/>
      <c r="F90" s="84"/>
      <c r="G90" s="80"/>
      <c r="H90" s="80"/>
      <c r="I90" s="80"/>
      <c r="J90" s="80"/>
      <c r="K90" s="107"/>
      <c r="L90" s="84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</row>
    <row r="91" spans="1:33" ht="13.8" hidden="1">
      <c r="A91" s="84"/>
      <c r="B91" s="84"/>
      <c r="C91" s="84"/>
      <c r="D91" s="84"/>
      <c r="E91" s="84"/>
      <c r="F91" s="84"/>
      <c r="G91" s="80"/>
      <c r="H91" s="80"/>
      <c r="I91" s="80"/>
      <c r="J91" s="80"/>
      <c r="K91" s="107"/>
      <c r="L91" s="84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</row>
    <row r="92" spans="1:33" ht="13.8" hidden="1">
      <c r="A92" s="84"/>
      <c r="B92" s="84"/>
      <c r="C92" s="84"/>
      <c r="D92" s="84"/>
      <c r="E92" s="84"/>
      <c r="F92" s="84"/>
      <c r="G92" s="80"/>
      <c r="H92" s="80"/>
      <c r="I92" s="80"/>
      <c r="J92" s="80"/>
      <c r="K92" s="107"/>
      <c r="L92" s="84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</row>
    <row r="93" spans="1:33" ht="13.8" hidden="1">
      <c r="A93" s="84"/>
      <c r="B93" s="84"/>
      <c r="C93" s="84"/>
      <c r="D93" s="84"/>
      <c r="E93" s="84"/>
      <c r="F93" s="84"/>
      <c r="G93" s="80"/>
      <c r="H93" s="80"/>
      <c r="I93" s="80"/>
      <c r="J93" s="80"/>
      <c r="K93" s="107"/>
      <c r="L93" s="84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</row>
    <row r="94" spans="1:33" ht="13.8" hidden="1">
      <c r="A94" s="84"/>
      <c r="B94" s="84"/>
      <c r="C94" s="84"/>
      <c r="D94" s="84"/>
      <c r="E94" s="84"/>
      <c r="F94" s="84"/>
      <c r="G94" s="80"/>
      <c r="H94" s="80"/>
      <c r="I94" s="80"/>
      <c r="J94" s="80"/>
      <c r="K94" s="107"/>
      <c r="L94" s="84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</row>
    <row r="95" spans="1:33" ht="14.4" thickBot="1">
      <c r="A95" s="111"/>
      <c r="B95" s="111"/>
      <c r="C95" s="111"/>
      <c r="D95" s="111"/>
      <c r="E95" s="111"/>
      <c r="F95" s="111"/>
      <c r="G95" s="112"/>
      <c r="H95" s="112"/>
      <c r="I95" s="112"/>
      <c r="J95" s="112"/>
      <c r="K95" s="769"/>
      <c r="L95" s="111"/>
      <c r="M95" s="112"/>
      <c r="N95" s="113">
        <f>SUM(J54:J95)</f>
        <v>0</v>
      </c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</row>
    <row r="96" spans="1:33" ht="13.8">
      <c r="A96" s="84"/>
      <c r="B96" s="84"/>
      <c r="C96" s="84"/>
      <c r="D96" s="84"/>
      <c r="E96" s="80"/>
      <c r="F96" s="80"/>
      <c r="G96" s="80"/>
      <c r="H96" s="80"/>
      <c r="I96" s="80"/>
      <c r="J96" s="80"/>
      <c r="K96" s="107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</row>
    <row r="97" spans="1:33" ht="13.8">
      <c r="A97" s="84"/>
      <c r="B97" s="84"/>
      <c r="C97" s="84"/>
      <c r="D97" s="84"/>
      <c r="E97" s="80"/>
      <c r="F97" s="80"/>
      <c r="G97" s="80"/>
      <c r="H97" s="80"/>
      <c r="I97" s="80"/>
      <c r="J97" s="110"/>
      <c r="K97" s="107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</row>
    <row r="98" spans="1:33" ht="13.8">
      <c r="A98" s="84"/>
      <c r="B98" s="84"/>
      <c r="C98" s="84"/>
      <c r="D98" s="84"/>
      <c r="E98" s="80"/>
      <c r="F98" s="80"/>
      <c r="G98" s="80"/>
      <c r="H98" s="80"/>
      <c r="I98" s="80"/>
      <c r="J98" s="80"/>
      <c r="K98" s="107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</row>
    <row r="99" spans="1:33" ht="13.8">
      <c r="A99" s="84"/>
      <c r="B99" s="84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</row>
    <row r="110" spans="1:33" ht="13.8">
      <c r="A110" s="84"/>
      <c r="B110" s="84"/>
      <c r="C110" s="84"/>
      <c r="D110" s="84"/>
      <c r="E110" s="108"/>
      <c r="F110" s="84"/>
      <c r="G110" s="80"/>
      <c r="H110" s="80"/>
      <c r="I110" s="80"/>
      <c r="J110" s="80"/>
      <c r="K110" s="107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</row>
    <row r="111" spans="1:33" ht="13.8">
      <c r="A111" s="84"/>
      <c r="B111" s="84"/>
      <c r="C111" s="84"/>
      <c r="D111" s="84"/>
      <c r="E111" s="108"/>
      <c r="F111" s="84"/>
      <c r="G111" s="80"/>
      <c r="H111" s="80"/>
      <c r="I111" s="80"/>
      <c r="J111" s="80"/>
      <c r="K111" s="107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</row>
    <row r="112" spans="1:33" ht="13.8">
      <c r="A112" s="84"/>
      <c r="B112" s="84"/>
      <c r="C112" s="84"/>
      <c r="D112" s="84"/>
      <c r="E112" s="108"/>
      <c r="F112" s="84"/>
      <c r="G112" s="80"/>
      <c r="H112" s="80"/>
      <c r="I112" s="80"/>
      <c r="J112" s="80"/>
      <c r="K112" s="107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</row>
    <row r="113" spans="1:33" ht="13.8">
      <c r="A113" s="84"/>
      <c r="B113" s="84"/>
      <c r="C113" s="84"/>
      <c r="D113" s="84"/>
      <c r="E113" s="108"/>
      <c r="F113" s="84"/>
      <c r="G113" s="80"/>
      <c r="H113" s="80"/>
      <c r="I113" s="80"/>
      <c r="J113" s="80"/>
      <c r="K113" s="107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</row>
    <row r="114" spans="1:33" ht="13.8">
      <c r="A114" s="84"/>
      <c r="B114" s="84"/>
      <c r="C114" s="84"/>
      <c r="D114" s="84"/>
      <c r="E114" s="108"/>
      <c r="F114" s="84"/>
      <c r="G114" s="80"/>
      <c r="H114" s="80"/>
      <c r="I114" s="80"/>
      <c r="J114" s="80"/>
      <c r="K114" s="107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</row>
    <row r="115" spans="1:33" ht="13.8">
      <c r="A115" s="84"/>
      <c r="B115" s="84"/>
      <c r="C115" s="84"/>
      <c r="D115" s="84"/>
      <c r="E115" s="80"/>
      <c r="F115" s="84"/>
      <c r="G115" s="80"/>
      <c r="H115" s="80"/>
      <c r="I115" s="80"/>
      <c r="J115" s="80"/>
      <c r="K115" s="107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</row>
    <row r="116" spans="1:33" ht="13.8">
      <c r="A116" s="84"/>
      <c r="B116" s="84"/>
      <c r="C116" s="84"/>
      <c r="D116" s="84"/>
      <c r="E116" s="80"/>
      <c r="F116" s="84"/>
      <c r="G116" s="80"/>
      <c r="H116" s="80"/>
      <c r="I116" s="80"/>
      <c r="J116" s="80"/>
      <c r="K116" s="107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</row>
    <row r="117" spans="1:33" ht="13.8">
      <c r="A117" s="84"/>
      <c r="B117" s="84"/>
      <c r="C117" s="84"/>
      <c r="D117" s="84"/>
      <c r="E117" s="80"/>
      <c r="F117" s="80"/>
      <c r="G117" s="80"/>
      <c r="H117" s="80"/>
      <c r="I117" s="80"/>
      <c r="J117" s="80"/>
      <c r="K117" s="107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</row>
    <row r="118" spans="1:33" ht="13.8">
      <c r="A118" s="84"/>
      <c r="B118" s="84"/>
      <c r="C118" s="84"/>
      <c r="D118" s="84"/>
      <c r="E118" s="80"/>
      <c r="F118" s="80"/>
      <c r="G118" s="80"/>
      <c r="H118" s="80"/>
      <c r="I118" s="80"/>
      <c r="J118" s="80"/>
      <c r="K118" s="107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</row>
    <row r="119" spans="1:33" ht="13.8">
      <c r="A119" s="84"/>
      <c r="B119" s="84"/>
      <c r="C119" s="84"/>
      <c r="D119" s="84"/>
      <c r="E119" s="80"/>
      <c r="F119" s="80"/>
      <c r="G119" s="80"/>
      <c r="H119" s="80"/>
      <c r="I119" s="80"/>
      <c r="J119" s="80"/>
      <c r="K119" s="107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</row>
    <row r="120" spans="1:33" ht="13.8">
      <c r="A120" s="84"/>
      <c r="B120" s="84"/>
      <c r="C120" s="84"/>
      <c r="D120" s="84"/>
      <c r="E120" s="80"/>
      <c r="F120" s="80"/>
      <c r="G120" s="80"/>
      <c r="H120" s="80"/>
      <c r="I120" s="80"/>
      <c r="J120" s="80"/>
      <c r="K120" s="107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</row>
    <row r="121" spans="1:33" ht="13.8">
      <c r="A121" s="84"/>
      <c r="B121" s="84"/>
      <c r="C121" s="84"/>
      <c r="D121" s="84"/>
      <c r="E121" s="80"/>
      <c r="F121" s="80"/>
      <c r="G121" s="80"/>
      <c r="H121" s="80"/>
      <c r="I121" s="80"/>
      <c r="J121" s="80"/>
      <c r="K121" s="107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</row>
    <row r="122" spans="1:33" ht="13.8">
      <c r="A122" s="84"/>
      <c r="B122" s="84"/>
      <c r="C122" s="84"/>
      <c r="D122" s="84"/>
      <c r="E122" s="80"/>
      <c r="F122" s="80"/>
      <c r="G122" s="80"/>
      <c r="H122" s="80"/>
      <c r="I122" s="80"/>
      <c r="J122" s="80"/>
      <c r="K122" s="107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</row>
    <row r="123" spans="1:33" ht="13.8">
      <c r="A123" s="84"/>
      <c r="B123" s="84"/>
      <c r="C123" s="84"/>
      <c r="D123" s="84"/>
      <c r="E123" s="80"/>
      <c r="F123" s="80"/>
      <c r="G123" s="80"/>
      <c r="H123" s="80"/>
      <c r="I123" s="80"/>
      <c r="J123" s="80"/>
      <c r="K123" s="107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</row>
    <row r="124" spans="1:33" ht="13.8">
      <c r="A124" s="84"/>
      <c r="B124" s="84"/>
      <c r="C124" s="84"/>
      <c r="D124" s="84"/>
      <c r="E124" s="80"/>
      <c r="F124" s="80"/>
      <c r="G124" s="80"/>
      <c r="H124" s="80"/>
      <c r="I124" s="80"/>
      <c r="J124" s="80"/>
      <c r="K124" s="107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</row>
    <row r="125" spans="1:33" ht="13.8">
      <c r="A125" s="84"/>
      <c r="B125" s="84"/>
      <c r="C125" s="84"/>
      <c r="D125" s="84"/>
      <c r="E125" s="80"/>
      <c r="F125" s="80"/>
      <c r="G125" s="80"/>
      <c r="H125" s="80"/>
      <c r="I125" s="80"/>
      <c r="J125" s="80"/>
      <c r="K125" s="107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</row>
    <row r="126" spans="1:33" ht="13.8">
      <c r="A126" s="84"/>
      <c r="B126" s="84"/>
      <c r="C126" s="84"/>
      <c r="D126" s="84"/>
      <c r="E126" s="80"/>
      <c r="F126" s="80"/>
      <c r="G126" s="80"/>
      <c r="H126" s="80"/>
      <c r="I126" s="80"/>
      <c r="J126" s="80"/>
      <c r="K126" s="107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</row>
    <row r="127" spans="1:33" ht="13.8">
      <c r="A127" s="84"/>
      <c r="B127" s="84"/>
      <c r="C127" s="84"/>
      <c r="D127" s="84"/>
      <c r="E127" s="80"/>
      <c r="F127" s="80"/>
      <c r="G127" s="80"/>
      <c r="H127" s="80"/>
      <c r="I127" s="80"/>
      <c r="J127" s="80"/>
      <c r="K127" s="107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</row>
    <row r="128" spans="1:33" ht="13.8">
      <c r="A128" s="84"/>
      <c r="B128" s="84"/>
      <c r="C128" s="84"/>
      <c r="D128" s="84"/>
      <c r="E128" s="80"/>
      <c r="F128" s="80"/>
      <c r="G128" s="80"/>
      <c r="H128" s="80"/>
      <c r="I128" s="80"/>
      <c r="J128" s="80"/>
      <c r="K128" s="107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</row>
    <row r="129" spans="1:33" ht="13.8">
      <c r="A129" s="84"/>
      <c r="B129" s="84"/>
      <c r="C129" s="84"/>
      <c r="D129" s="84"/>
      <c r="E129" s="80"/>
      <c r="F129" s="80"/>
      <c r="G129" s="80"/>
      <c r="H129" s="80"/>
      <c r="I129" s="80"/>
      <c r="J129" s="80"/>
      <c r="K129" s="107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</row>
    <row r="130" spans="1:33" ht="13.8">
      <c r="A130" s="84"/>
      <c r="B130" s="84"/>
      <c r="C130" s="84"/>
      <c r="D130" s="84"/>
      <c r="E130" s="80"/>
      <c r="F130" s="80"/>
      <c r="G130" s="80"/>
      <c r="H130" s="80"/>
      <c r="I130" s="80"/>
      <c r="J130" s="80"/>
      <c r="K130" s="107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</row>
    <row r="131" spans="1:33" ht="13.8">
      <c r="A131" s="84"/>
      <c r="B131" s="84"/>
      <c r="C131" s="84"/>
      <c r="D131" s="84"/>
      <c r="E131" s="80"/>
      <c r="F131" s="80"/>
      <c r="G131" s="80"/>
      <c r="H131" s="80"/>
      <c r="I131" s="80"/>
      <c r="J131" s="80"/>
      <c r="K131" s="107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</row>
    <row r="132" spans="1:33" ht="13.8">
      <c r="A132" s="84"/>
      <c r="B132" s="84"/>
      <c r="C132" s="84"/>
      <c r="D132" s="84"/>
      <c r="E132" s="80"/>
      <c r="F132" s="80"/>
      <c r="G132" s="80"/>
      <c r="H132" s="80"/>
      <c r="I132" s="80"/>
      <c r="J132" s="80"/>
      <c r="K132" s="107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</row>
    <row r="133" spans="1:33" ht="13.8">
      <c r="A133" s="84"/>
      <c r="B133" s="84"/>
      <c r="C133" s="84"/>
      <c r="D133" s="84"/>
      <c r="E133" s="80"/>
      <c r="F133" s="80"/>
      <c r="G133" s="80"/>
      <c r="H133" s="80"/>
      <c r="I133" s="80"/>
      <c r="J133" s="80"/>
      <c r="K133" s="107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</row>
    <row r="134" spans="1:33" ht="13.8">
      <c r="A134" s="84"/>
      <c r="B134" s="84"/>
      <c r="C134" s="84"/>
      <c r="D134" s="84"/>
      <c r="E134" s="80"/>
      <c r="F134" s="80"/>
      <c r="G134" s="80"/>
      <c r="H134" s="80"/>
      <c r="I134" s="80"/>
      <c r="J134" s="80"/>
      <c r="K134" s="107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</row>
    <row r="135" spans="1:33" ht="13.8">
      <c r="A135" s="84"/>
      <c r="B135" s="84"/>
      <c r="C135" s="84"/>
      <c r="D135" s="84"/>
      <c r="E135" s="80"/>
      <c r="F135" s="80"/>
      <c r="G135" s="80"/>
      <c r="H135" s="80"/>
      <c r="I135" s="80"/>
      <c r="J135" s="80"/>
      <c r="K135" s="107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</row>
    <row r="136" spans="1:33" ht="13.8">
      <c r="A136" s="84"/>
      <c r="B136" s="84"/>
      <c r="C136" s="84"/>
      <c r="D136" s="84"/>
      <c r="E136" s="80"/>
      <c r="F136" s="80"/>
      <c r="G136" s="80"/>
      <c r="H136" s="80"/>
      <c r="I136" s="80"/>
      <c r="J136" s="80"/>
      <c r="K136" s="107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</row>
    <row r="137" spans="1:33" ht="13.8">
      <c r="A137" s="84"/>
      <c r="B137" s="84"/>
      <c r="C137" s="84"/>
      <c r="D137" s="84"/>
      <c r="E137" s="80"/>
      <c r="F137" s="80"/>
      <c r="G137" s="80"/>
      <c r="H137" s="80"/>
      <c r="I137" s="80"/>
      <c r="J137" s="80"/>
      <c r="K137" s="107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</row>
    <row r="138" spans="1:33" ht="13.8">
      <c r="A138" s="84"/>
      <c r="B138" s="84"/>
      <c r="C138" s="84"/>
      <c r="D138" s="84"/>
      <c r="E138" s="80"/>
      <c r="F138" s="80"/>
      <c r="G138" s="80"/>
      <c r="H138" s="80"/>
      <c r="I138" s="80"/>
      <c r="J138" s="80"/>
      <c r="K138" s="107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</row>
    <row r="139" spans="1:33" ht="13.8">
      <c r="A139" s="84"/>
      <c r="B139" s="84"/>
      <c r="C139" s="84"/>
      <c r="D139" s="84"/>
      <c r="E139" s="80"/>
      <c r="F139" s="80"/>
      <c r="G139" s="80"/>
      <c r="H139" s="80"/>
      <c r="I139" s="80"/>
      <c r="J139" s="80"/>
      <c r="K139" s="107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</row>
    <row r="140" spans="1:33" ht="13.8">
      <c r="A140" s="84"/>
      <c r="B140" s="84"/>
      <c r="C140" s="84"/>
      <c r="D140" s="84"/>
      <c r="E140" s="80"/>
      <c r="F140" s="80"/>
      <c r="G140" s="80"/>
      <c r="H140" s="80"/>
      <c r="I140" s="80"/>
      <c r="J140" s="80"/>
      <c r="K140" s="107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</row>
    <row r="141" spans="1:33" ht="13.8">
      <c r="A141" s="84"/>
      <c r="B141" s="84"/>
      <c r="C141" s="84"/>
      <c r="D141" s="84"/>
      <c r="E141" s="80"/>
      <c r="F141" s="80"/>
      <c r="G141" s="80"/>
      <c r="H141" s="80"/>
      <c r="I141" s="80"/>
      <c r="J141" s="80"/>
      <c r="K141" s="107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</row>
    <row r="142" spans="1:33" ht="13.8">
      <c r="A142" s="84"/>
      <c r="B142" s="84"/>
      <c r="C142" s="84"/>
      <c r="D142" s="84"/>
      <c r="E142" s="80"/>
      <c r="F142" s="80"/>
      <c r="G142" s="80"/>
      <c r="H142" s="80"/>
      <c r="I142" s="80"/>
      <c r="J142" s="80"/>
      <c r="K142" s="107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</row>
    <row r="143" spans="1:33" ht="13.8">
      <c r="A143" s="84"/>
      <c r="B143" s="84"/>
      <c r="C143" s="84"/>
      <c r="D143" s="84"/>
      <c r="E143" s="80"/>
      <c r="F143" s="80"/>
      <c r="G143" s="80"/>
      <c r="H143" s="80"/>
      <c r="I143" s="80"/>
      <c r="J143" s="80"/>
      <c r="K143" s="107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</row>
    <row r="144" spans="1:33" ht="13.8">
      <c r="A144" s="84"/>
      <c r="B144" s="84"/>
      <c r="C144" s="84"/>
      <c r="D144" s="84"/>
      <c r="E144" s="80"/>
      <c r="F144" s="80"/>
      <c r="G144" s="80"/>
      <c r="H144" s="80"/>
      <c r="I144" s="80"/>
      <c r="J144" s="80"/>
      <c r="K144" s="107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</row>
    <row r="145" spans="1:33" ht="13.8">
      <c r="A145" s="84"/>
      <c r="B145" s="84"/>
      <c r="C145" s="84"/>
      <c r="D145" s="84"/>
      <c r="E145" s="80"/>
      <c r="F145" s="80"/>
      <c r="G145" s="80"/>
      <c r="H145" s="80"/>
      <c r="I145" s="80"/>
      <c r="J145" s="80"/>
      <c r="K145" s="107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</row>
    <row r="146" spans="1:33" ht="13.8">
      <c r="A146" s="84"/>
      <c r="B146" s="84"/>
      <c r="C146" s="84"/>
      <c r="D146" s="84"/>
      <c r="E146" s="80"/>
      <c r="F146" s="80"/>
      <c r="G146" s="80"/>
      <c r="H146" s="80"/>
      <c r="I146" s="80"/>
      <c r="J146" s="80"/>
      <c r="K146" s="107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</row>
    <row r="147" spans="1:33" ht="13.8">
      <c r="A147" s="84"/>
      <c r="B147" s="84"/>
      <c r="C147" s="84"/>
      <c r="D147" s="84"/>
      <c r="E147" s="80"/>
      <c r="F147" s="80"/>
      <c r="G147" s="80"/>
      <c r="H147" s="80"/>
      <c r="I147" s="80"/>
      <c r="J147" s="80"/>
      <c r="K147" s="107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</row>
    <row r="148" spans="1:33" ht="13.8">
      <c r="A148" s="84"/>
      <c r="B148" s="84"/>
      <c r="C148" s="84"/>
      <c r="D148" s="84"/>
      <c r="E148" s="80"/>
      <c r="F148" s="80"/>
      <c r="G148" s="80"/>
      <c r="H148" s="80"/>
      <c r="I148" s="80"/>
      <c r="J148" s="80"/>
      <c r="K148" s="107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</row>
    <row r="149" spans="1:33" ht="13.8">
      <c r="A149" s="84"/>
      <c r="B149" s="84"/>
      <c r="C149" s="84"/>
      <c r="D149" s="84"/>
      <c r="E149" s="80"/>
      <c r="F149" s="80"/>
      <c r="G149" s="80"/>
      <c r="H149" s="80"/>
      <c r="I149" s="80"/>
      <c r="J149" s="80"/>
      <c r="K149" s="107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</row>
    <row r="150" spans="1:33" ht="13.8">
      <c r="A150" s="84"/>
      <c r="B150" s="84"/>
      <c r="C150" s="84"/>
      <c r="D150" s="84"/>
      <c r="E150" s="80"/>
      <c r="F150" s="80"/>
      <c r="G150" s="80"/>
      <c r="H150" s="80"/>
      <c r="I150" s="80"/>
      <c r="J150" s="80"/>
      <c r="K150" s="107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</row>
    <row r="151" spans="1:33" ht="13.8">
      <c r="A151" s="84"/>
      <c r="B151" s="84"/>
      <c r="C151" s="84"/>
      <c r="D151" s="84"/>
      <c r="E151" s="80"/>
      <c r="F151" s="80"/>
      <c r="G151" s="80"/>
      <c r="H151" s="80"/>
      <c r="I151" s="80"/>
      <c r="J151" s="80"/>
      <c r="K151" s="107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</row>
    <row r="152" spans="1:33" ht="13.8">
      <c r="A152" s="84"/>
      <c r="B152" s="84"/>
      <c r="C152" s="84"/>
      <c r="D152" s="84"/>
      <c r="E152" s="80"/>
      <c r="F152" s="80"/>
      <c r="G152" s="80"/>
      <c r="H152" s="80"/>
      <c r="I152" s="80"/>
      <c r="J152" s="80"/>
      <c r="K152" s="107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</row>
    <row r="153" spans="1:33" ht="13.8">
      <c r="A153" s="84"/>
      <c r="B153" s="84"/>
      <c r="C153" s="84"/>
      <c r="D153" s="84"/>
      <c r="E153" s="80"/>
      <c r="F153" s="80"/>
      <c r="G153" s="80"/>
      <c r="H153" s="80"/>
      <c r="I153" s="80"/>
      <c r="J153" s="80"/>
      <c r="K153" s="107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</row>
    <row r="154" spans="1:33" ht="13.8">
      <c r="A154" s="84"/>
      <c r="B154" s="84"/>
      <c r="C154" s="84"/>
      <c r="D154" s="84"/>
      <c r="E154" s="80"/>
      <c r="F154" s="80"/>
      <c r="G154" s="80"/>
      <c r="H154" s="80"/>
      <c r="I154" s="80"/>
      <c r="J154" s="80"/>
      <c r="K154" s="107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</row>
    <row r="155" spans="1:33" ht="13.8">
      <c r="A155" s="84"/>
      <c r="B155" s="84"/>
      <c r="C155" s="84"/>
      <c r="D155" s="84"/>
      <c r="E155" s="80"/>
      <c r="F155" s="80"/>
      <c r="G155" s="80"/>
      <c r="H155" s="80"/>
      <c r="I155" s="80"/>
      <c r="J155" s="80"/>
      <c r="K155" s="107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</row>
    <row r="156" spans="1:33" ht="13.8">
      <c r="A156" s="84"/>
      <c r="B156" s="84"/>
      <c r="C156" s="84"/>
      <c r="D156" s="84"/>
      <c r="E156" s="80"/>
      <c r="F156" s="80"/>
      <c r="G156" s="80"/>
      <c r="H156" s="80"/>
      <c r="I156" s="80"/>
      <c r="J156" s="80"/>
      <c r="K156" s="107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</row>
    <row r="157" spans="1:33" ht="13.8">
      <c r="A157" s="84"/>
      <c r="B157" s="84"/>
      <c r="C157" s="84"/>
      <c r="D157" s="84"/>
      <c r="E157" s="80"/>
      <c r="F157" s="80"/>
      <c r="G157" s="80"/>
      <c r="H157" s="80"/>
      <c r="I157" s="80"/>
      <c r="J157" s="80"/>
      <c r="K157" s="107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</row>
    <row r="158" spans="1:33" ht="13.8">
      <c r="A158" s="84"/>
      <c r="B158" s="84"/>
      <c r="C158" s="84"/>
      <c r="D158" s="84"/>
      <c r="E158" s="80"/>
      <c r="F158" s="80"/>
      <c r="G158" s="80"/>
      <c r="H158" s="80"/>
      <c r="I158" s="80"/>
      <c r="J158" s="80"/>
      <c r="K158" s="107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</row>
    <row r="159" spans="1:33" ht="13.8">
      <c r="A159" s="84"/>
      <c r="B159" s="84"/>
      <c r="C159" s="84"/>
      <c r="D159" s="84"/>
      <c r="E159" s="80"/>
      <c r="F159" s="80"/>
      <c r="G159" s="80"/>
      <c r="H159" s="80"/>
      <c r="I159" s="80"/>
      <c r="J159" s="80"/>
      <c r="K159" s="107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</row>
    <row r="160" spans="1:33" ht="13.8">
      <c r="A160" s="84"/>
      <c r="B160" s="84"/>
      <c r="C160" s="84"/>
      <c r="D160" s="84"/>
      <c r="E160" s="80"/>
      <c r="F160" s="80"/>
      <c r="G160" s="80"/>
      <c r="H160" s="80"/>
      <c r="I160" s="80"/>
      <c r="J160" s="80"/>
      <c r="K160" s="107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</row>
    <row r="161" spans="1:33" ht="13.8">
      <c r="A161" s="84"/>
      <c r="B161" s="84"/>
      <c r="C161" s="84"/>
      <c r="D161" s="84"/>
      <c r="E161" s="80"/>
      <c r="F161" s="80"/>
      <c r="G161" s="80"/>
      <c r="H161" s="80"/>
      <c r="I161" s="80"/>
      <c r="J161" s="80"/>
      <c r="K161" s="107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</row>
    <row r="162" spans="1:33" ht="13.8">
      <c r="A162" s="84"/>
      <c r="B162" s="84"/>
      <c r="C162" s="84"/>
      <c r="D162" s="84"/>
      <c r="E162" s="80"/>
      <c r="F162" s="80"/>
      <c r="G162" s="80"/>
      <c r="H162" s="80"/>
      <c r="I162" s="80"/>
      <c r="J162" s="80"/>
      <c r="K162" s="107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</row>
    <row r="163" spans="1:33" ht="13.8">
      <c r="A163" s="84"/>
      <c r="B163" s="84"/>
      <c r="C163" s="84"/>
      <c r="D163" s="84"/>
      <c r="E163" s="80"/>
      <c r="F163" s="80"/>
      <c r="G163" s="80"/>
      <c r="H163" s="80"/>
      <c r="I163" s="80"/>
      <c r="J163" s="80"/>
      <c r="K163" s="107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</row>
    <row r="164" spans="1:33" ht="13.8">
      <c r="A164" s="84"/>
      <c r="B164" s="84"/>
      <c r="C164" s="84"/>
      <c r="D164" s="84"/>
      <c r="E164" s="80"/>
      <c r="F164" s="80"/>
      <c r="G164" s="80"/>
      <c r="H164" s="80"/>
      <c r="I164" s="80"/>
      <c r="J164" s="80"/>
      <c r="K164" s="107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</row>
    <row r="165" spans="1:33" ht="13.8">
      <c r="A165" s="84"/>
      <c r="B165" s="84"/>
      <c r="C165" s="84"/>
      <c r="D165" s="84"/>
      <c r="E165" s="80"/>
      <c r="F165" s="80"/>
      <c r="G165" s="80"/>
      <c r="H165" s="80"/>
      <c r="I165" s="80"/>
      <c r="J165" s="80"/>
      <c r="K165" s="107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</row>
    <row r="166" spans="1:33" ht="13.8">
      <c r="A166" s="84"/>
      <c r="B166" s="84"/>
      <c r="C166" s="84"/>
      <c r="D166" s="84"/>
      <c r="E166" s="80"/>
      <c r="F166" s="80"/>
      <c r="G166" s="80"/>
      <c r="H166" s="80"/>
      <c r="I166" s="80"/>
      <c r="J166" s="80"/>
      <c r="K166" s="107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</row>
    <row r="167" spans="1:33" ht="13.8">
      <c r="A167" s="84"/>
      <c r="B167" s="84"/>
      <c r="C167" s="84"/>
      <c r="D167" s="84"/>
      <c r="E167" s="80"/>
      <c r="F167" s="80"/>
      <c r="G167" s="80"/>
      <c r="H167" s="80"/>
      <c r="I167" s="80"/>
      <c r="J167" s="80"/>
      <c r="K167" s="107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</row>
    <row r="168" spans="1:33" ht="13.8">
      <c r="A168" s="84"/>
      <c r="B168" s="84"/>
      <c r="C168" s="84"/>
      <c r="D168" s="84"/>
      <c r="E168" s="80"/>
      <c r="F168" s="80"/>
      <c r="G168" s="80"/>
      <c r="H168" s="80"/>
      <c r="I168" s="80"/>
      <c r="J168" s="80"/>
      <c r="K168" s="107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</row>
    <row r="169" spans="1:33" ht="13.8">
      <c r="A169" s="84"/>
      <c r="B169" s="84"/>
      <c r="C169" s="84"/>
      <c r="D169" s="84"/>
      <c r="E169" s="80"/>
      <c r="F169" s="80"/>
      <c r="G169" s="80"/>
      <c r="H169" s="80"/>
      <c r="I169" s="80"/>
      <c r="J169" s="80"/>
      <c r="K169" s="107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</row>
    <row r="170" spans="1:33" ht="13.8">
      <c r="A170" s="84"/>
      <c r="B170" s="84"/>
      <c r="C170" s="84"/>
      <c r="D170" s="84"/>
      <c r="E170" s="80"/>
      <c r="F170" s="80"/>
      <c r="G170" s="80"/>
      <c r="H170" s="80"/>
      <c r="I170" s="80"/>
      <c r="J170" s="80"/>
      <c r="K170" s="107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</row>
    <row r="171" spans="1:33" ht="13.8">
      <c r="A171" s="84"/>
      <c r="B171" s="84"/>
      <c r="C171" s="84"/>
      <c r="D171" s="84"/>
      <c r="E171" s="80"/>
      <c r="F171" s="80"/>
      <c r="G171" s="80"/>
      <c r="H171" s="80"/>
      <c r="I171" s="80"/>
      <c r="J171" s="80"/>
      <c r="K171" s="107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</row>
    <row r="172" spans="1:33" ht="13.8">
      <c r="A172" s="84"/>
      <c r="B172" s="84"/>
      <c r="C172" s="84"/>
      <c r="D172" s="84"/>
      <c r="E172" s="80"/>
      <c r="F172" s="80"/>
      <c r="G172" s="80"/>
      <c r="H172" s="80"/>
      <c r="I172" s="80"/>
      <c r="J172" s="80"/>
      <c r="K172" s="107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</row>
    <row r="173" spans="1:33" ht="13.8">
      <c r="A173" s="84"/>
      <c r="B173" s="84"/>
      <c r="C173" s="84"/>
      <c r="D173" s="84"/>
      <c r="E173" s="80"/>
      <c r="F173" s="80"/>
      <c r="G173" s="80"/>
      <c r="H173" s="80"/>
      <c r="I173" s="80"/>
      <c r="J173" s="80"/>
      <c r="K173" s="107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</row>
    <row r="174" spans="1:33" ht="13.8">
      <c r="A174" s="84"/>
      <c r="B174" s="84"/>
      <c r="C174" s="84"/>
      <c r="D174" s="84"/>
      <c r="E174" s="80"/>
      <c r="F174" s="80"/>
      <c r="G174" s="80"/>
      <c r="H174" s="80"/>
      <c r="I174" s="80"/>
      <c r="J174" s="80"/>
      <c r="K174" s="107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</row>
    <row r="175" spans="1:33" ht="13.8">
      <c r="A175" s="84"/>
      <c r="B175" s="84"/>
      <c r="C175" s="84"/>
      <c r="D175" s="84"/>
      <c r="E175" s="80"/>
      <c r="F175" s="80"/>
      <c r="G175" s="80"/>
      <c r="H175" s="80"/>
      <c r="I175" s="80"/>
      <c r="J175" s="80"/>
      <c r="K175" s="107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</row>
    <row r="176" spans="1:33" ht="13.8">
      <c r="A176" s="84"/>
      <c r="B176" s="84"/>
      <c r="C176" s="84"/>
      <c r="D176" s="84"/>
      <c r="E176" s="80"/>
      <c r="F176" s="80"/>
      <c r="G176" s="80"/>
      <c r="H176" s="80"/>
      <c r="I176" s="80"/>
      <c r="J176" s="80"/>
      <c r="K176" s="107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</row>
    <row r="177" spans="1:33" ht="13.8">
      <c r="A177" s="84"/>
      <c r="B177" s="84"/>
      <c r="C177" s="84"/>
      <c r="D177" s="84"/>
      <c r="E177" s="80"/>
      <c r="F177" s="80"/>
      <c r="G177" s="80"/>
      <c r="H177" s="80"/>
      <c r="I177" s="80"/>
      <c r="J177" s="80"/>
      <c r="K177" s="107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</row>
    <row r="178" spans="1:33" ht="13.8">
      <c r="A178" s="84"/>
      <c r="B178" s="84"/>
      <c r="C178" s="84"/>
      <c r="D178" s="84"/>
      <c r="E178" s="80"/>
      <c r="F178" s="80"/>
      <c r="G178" s="80"/>
      <c r="H178" s="80"/>
      <c r="I178" s="80"/>
      <c r="J178" s="80"/>
      <c r="K178" s="107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</row>
    <row r="179" spans="1:33" ht="13.8">
      <c r="A179" s="84"/>
      <c r="B179" s="84"/>
      <c r="C179" s="84"/>
      <c r="D179" s="84"/>
      <c r="E179" s="80"/>
      <c r="F179" s="80"/>
      <c r="G179" s="80"/>
      <c r="H179" s="80"/>
      <c r="I179" s="80"/>
      <c r="J179" s="80"/>
      <c r="K179" s="107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</row>
    <row r="180" spans="1:33" ht="13.8">
      <c r="A180" s="84"/>
      <c r="B180" s="84"/>
      <c r="C180" s="84"/>
      <c r="D180" s="84"/>
      <c r="E180" s="80"/>
      <c r="F180" s="80"/>
      <c r="G180" s="80"/>
      <c r="H180" s="80"/>
      <c r="I180" s="80"/>
      <c r="J180" s="80"/>
      <c r="K180" s="107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</row>
    <row r="181" spans="1:33" ht="13.8">
      <c r="A181" s="84"/>
      <c r="B181" s="84"/>
      <c r="C181" s="84"/>
      <c r="D181" s="84"/>
      <c r="E181" s="80"/>
      <c r="F181" s="80"/>
      <c r="G181" s="80"/>
      <c r="H181" s="80"/>
      <c r="I181" s="80"/>
      <c r="J181" s="80"/>
      <c r="K181" s="107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</row>
    <row r="182" spans="1:33" ht="13.8">
      <c r="A182" s="84"/>
      <c r="B182" s="84"/>
      <c r="C182" s="84"/>
      <c r="D182" s="84"/>
      <c r="E182" s="80"/>
      <c r="F182" s="80"/>
      <c r="G182" s="80"/>
      <c r="H182" s="80"/>
      <c r="I182" s="80"/>
      <c r="J182" s="80"/>
      <c r="K182" s="107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</row>
    <row r="183" spans="1:33" ht="13.8">
      <c r="A183" s="84"/>
      <c r="B183" s="84"/>
      <c r="C183" s="84"/>
      <c r="D183" s="84"/>
      <c r="E183" s="80"/>
      <c r="F183" s="80"/>
      <c r="G183" s="80"/>
      <c r="H183" s="80"/>
      <c r="I183" s="80"/>
      <c r="J183" s="80"/>
      <c r="K183" s="107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</row>
    <row r="184" spans="1:33" ht="13.8">
      <c r="A184" s="84"/>
      <c r="B184" s="84"/>
      <c r="C184" s="84"/>
      <c r="D184" s="84"/>
      <c r="E184" s="80"/>
      <c r="F184" s="80"/>
      <c r="G184" s="80"/>
      <c r="H184" s="80"/>
      <c r="I184" s="80"/>
      <c r="J184" s="80"/>
      <c r="K184" s="107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</row>
    <row r="185" spans="1:33" ht="13.8">
      <c r="A185" s="84"/>
      <c r="B185" s="84"/>
      <c r="C185" s="84"/>
      <c r="D185" s="84"/>
      <c r="E185" s="80"/>
      <c r="F185" s="80"/>
      <c r="G185" s="80"/>
      <c r="H185" s="80"/>
      <c r="I185" s="80"/>
      <c r="J185" s="80"/>
      <c r="K185" s="107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</row>
    <row r="186" spans="1:33" ht="13.8">
      <c r="A186" s="84"/>
      <c r="B186" s="84"/>
      <c r="C186" s="84"/>
      <c r="D186" s="84"/>
      <c r="E186" s="80"/>
      <c r="F186" s="80"/>
      <c r="G186" s="80"/>
      <c r="H186" s="80"/>
      <c r="I186" s="80"/>
      <c r="J186" s="80"/>
      <c r="K186" s="107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</row>
    <row r="187" spans="1:33" ht="13.8">
      <c r="A187" s="84"/>
      <c r="B187" s="84"/>
      <c r="C187" s="84"/>
      <c r="D187" s="84"/>
      <c r="E187" s="80"/>
      <c r="F187" s="80"/>
      <c r="G187" s="80"/>
      <c r="H187" s="80"/>
      <c r="I187" s="80"/>
      <c r="J187" s="80"/>
      <c r="K187" s="107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</row>
    <row r="188" spans="1:33" ht="13.8">
      <c r="A188" s="84"/>
      <c r="B188" s="84"/>
      <c r="C188" s="84"/>
      <c r="D188" s="84"/>
      <c r="E188" s="80"/>
      <c r="F188" s="80"/>
      <c r="G188" s="80"/>
      <c r="H188" s="80"/>
      <c r="I188" s="80"/>
      <c r="J188" s="80"/>
      <c r="K188" s="107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</row>
    <row r="189" spans="1:33" ht="13.8">
      <c r="A189" s="84"/>
      <c r="B189" s="84"/>
      <c r="C189" s="84"/>
      <c r="D189" s="84"/>
      <c r="E189" s="80"/>
      <c r="F189" s="80"/>
      <c r="G189" s="80"/>
      <c r="H189" s="80"/>
      <c r="I189" s="80"/>
      <c r="J189" s="80"/>
      <c r="K189" s="107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</row>
    <row r="190" spans="1:33" ht="13.8">
      <c r="A190" s="84"/>
      <c r="B190" s="84"/>
      <c r="C190" s="84"/>
      <c r="D190" s="84"/>
      <c r="E190" s="80"/>
      <c r="F190" s="80"/>
      <c r="G190" s="80"/>
      <c r="H190" s="80"/>
      <c r="I190" s="80"/>
      <c r="J190" s="80"/>
      <c r="K190" s="107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</row>
    <row r="191" spans="1:33" ht="13.8">
      <c r="A191" s="84"/>
      <c r="B191" s="84"/>
      <c r="C191" s="84"/>
      <c r="D191" s="84"/>
      <c r="E191" s="80"/>
      <c r="F191" s="80"/>
      <c r="G191" s="80"/>
      <c r="H191" s="80"/>
      <c r="I191" s="80"/>
      <c r="J191" s="80"/>
      <c r="K191" s="107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</row>
    <row r="192" spans="1:33" ht="13.8">
      <c r="A192" s="84"/>
      <c r="B192" s="84"/>
      <c r="C192" s="84"/>
      <c r="D192" s="84"/>
      <c r="E192" s="80"/>
      <c r="F192" s="80"/>
      <c r="G192" s="80"/>
      <c r="H192" s="80"/>
      <c r="I192" s="80"/>
      <c r="J192" s="80"/>
      <c r="K192" s="107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</row>
    <row r="193" spans="1:33" ht="13.8">
      <c r="A193" s="84"/>
      <c r="B193" s="84"/>
      <c r="C193" s="84"/>
      <c r="D193" s="84"/>
      <c r="E193" s="80"/>
      <c r="F193" s="80"/>
      <c r="G193" s="80"/>
      <c r="H193" s="80"/>
      <c r="I193" s="80"/>
      <c r="J193" s="80"/>
      <c r="K193" s="107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</row>
    <row r="194" spans="1:33" ht="13.8">
      <c r="A194" s="84"/>
      <c r="B194" s="84"/>
      <c r="C194" s="84"/>
      <c r="D194" s="84"/>
      <c r="E194" s="80"/>
      <c r="F194" s="80"/>
      <c r="G194" s="80"/>
      <c r="H194" s="80"/>
      <c r="I194" s="80"/>
      <c r="J194" s="80"/>
      <c r="K194" s="107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</row>
    <row r="195" spans="1:33" ht="13.8">
      <c r="A195" s="84"/>
      <c r="B195" s="84"/>
      <c r="C195" s="84"/>
      <c r="D195" s="84"/>
      <c r="E195" s="80"/>
      <c r="F195" s="80"/>
      <c r="G195" s="80"/>
      <c r="H195" s="80"/>
      <c r="I195" s="80"/>
      <c r="J195" s="80"/>
      <c r="K195" s="107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</row>
    <row r="196" spans="1:33" ht="13.8">
      <c r="A196" s="84"/>
      <c r="B196" s="84"/>
      <c r="C196" s="84"/>
      <c r="D196" s="84"/>
      <c r="E196" s="80"/>
      <c r="F196" s="80"/>
      <c r="G196" s="80"/>
      <c r="H196" s="80"/>
      <c r="I196" s="80"/>
      <c r="J196" s="80"/>
      <c r="K196" s="107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</row>
    <row r="197" spans="1:33" ht="13.8">
      <c r="A197" s="84"/>
      <c r="B197" s="84"/>
      <c r="C197" s="84"/>
      <c r="D197" s="84"/>
      <c r="E197" s="80"/>
      <c r="F197" s="80"/>
      <c r="G197" s="80"/>
      <c r="H197" s="80"/>
      <c r="I197" s="80"/>
      <c r="J197" s="80"/>
      <c r="K197" s="107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</row>
    <row r="198" spans="1:33" ht="13.8">
      <c r="A198" s="84"/>
      <c r="B198" s="84"/>
      <c r="C198" s="84"/>
      <c r="D198" s="84"/>
      <c r="E198" s="80"/>
      <c r="F198" s="80"/>
      <c r="G198" s="80"/>
      <c r="H198" s="80"/>
      <c r="I198" s="80"/>
      <c r="J198" s="80"/>
      <c r="K198" s="107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</row>
    <row r="199" spans="1:33" ht="13.8">
      <c r="A199" s="84"/>
      <c r="B199" s="84"/>
      <c r="C199" s="84"/>
      <c r="D199" s="84"/>
      <c r="E199" s="80"/>
      <c r="F199" s="80"/>
      <c r="G199" s="80"/>
      <c r="H199" s="80"/>
      <c r="I199" s="80"/>
      <c r="J199" s="80"/>
      <c r="K199" s="107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</row>
    <row r="200" spans="1:33" ht="13.8">
      <c r="A200" s="84"/>
      <c r="B200" s="84"/>
      <c r="C200" s="84"/>
      <c r="D200" s="84"/>
      <c r="E200" s="80"/>
      <c r="F200" s="80"/>
      <c r="G200" s="80"/>
      <c r="H200" s="80"/>
      <c r="I200" s="80"/>
      <c r="J200" s="80"/>
      <c r="K200" s="107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</row>
    <row r="201" spans="1:33" ht="13.8">
      <c r="A201" s="84"/>
      <c r="B201" s="84"/>
      <c r="C201" s="84"/>
      <c r="D201" s="84"/>
      <c r="E201" s="80"/>
      <c r="F201" s="80"/>
      <c r="G201" s="80"/>
      <c r="H201" s="80"/>
      <c r="I201" s="80"/>
      <c r="J201" s="80"/>
      <c r="K201" s="107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</row>
    <row r="202" spans="1:33" ht="13.8">
      <c r="A202" s="84"/>
      <c r="B202" s="84"/>
      <c r="C202" s="84"/>
      <c r="D202" s="84"/>
      <c r="E202" s="80"/>
      <c r="F202" s="80"/>
      <c r="G202" s="80"/>
      <c r="H202" s="80"/>
      <c r="I202" s="80"/>
      <c r="J202" s="80"/>
      <c r="K202" s="107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</row>
    <row r="203" spans="1:33" ht="13.8">
      <c r="A203" s="84"/>
      <c r="B203" s="84"/>
      <c r="C203" s="84"/>
      <c r="D203" s="84"/>
      <c r="E203" s="80"/>
      <c r="F203" s="80"/>
      <c r="G203" s="80"/>
      <c r="H203" s="80"/>
      <c r="I203" s="80"/>
      <c r="J203" s="80"/>
      <c r="K203" s="107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</row>
    <row r="204" spans="1:33" ht="13.8">
      <c r="A204" s="84"/>
      <c r="B204" s="84"/>
      <c r="C204" s="84"/>
      <c r="D204" s="84"/>
      <c r="E204" s="80"/>
      <c r="F204" s="80"/>
      <c r="G204" s="80"/>
      <c r="H204" s="80"/>
      <c r="I204" s="80"/>
      <c r="J204" s="80"/>
      <c r="K204" s="107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</row>
    <row r="205" spans="1:33" ht="13.8">
      <c r="A205" s="84"/>
      <c r="B205" s="84"/>
      <c r="C205" s="84"/>
      <c r="D205" s="84"/>
      <c r="E205" s="80"/>
      <c r="F205" s="80"/>
      <c r="G205" s="80"/>
      <c r="H205" s="80"/>
      <c r="I205" s="80"/>
      <c r="J205" s="80"/>
      <c r="K205" s="107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</row>
    <row r="206" spans="1:33" ht="13.8">
      <c r="A206" s="84"/>
      <c r="B206" s="84"/>
      <c r="C206" s="84"/>
      <c r="D206" s="84"/>
      <c r="E206" s="80"/>
      <c r="F206" s="80"/>
      <c r="G206" s="80"/>
      <c r="H206" s="80"/>
      <c r="I206" s="80"/>
      <c r="J206" s="80"/>
      <c r="K206" s="107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</row>
    <row r="207" spans="1:33" ht="13.8">
      <c r="A207" s="84"/>
      <c r="B207" s="84"/>
      <c r="C207" s="84"/>
      <c r="D207" s="84"/>
      <c r="E207" s="80"/>
      <c r="F207" s="80"/>
      <c r="G207" s="80"/>
      <c r="H207" s="80"/>
      <c r="I207" s="80"/>
      <c r="J207" s="80"/>
      <c r="K207" s="107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</row>
    <row r="208" spans="1:33" ht="13.8">
      <c r="A208" s="84"/>
      <c r="B208" s="84"/>
      <c r="C208" s="84"/>
      <c r="D208" s="84"/>
      <c r="E208" s="80"/>
      <c r="F208" s="80"/>
      <c r="G208" s="80"/>
      <c r="H208" s="80"/>
      <c r="I208" s="80"/>
      <c r="J208" s="80"/>
      <c r="K208" s="107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</row>
    <row r="209" spans="1:33" ht="13.8">
      <c r="A209" s="84"/>
      <c r="B209" s="84"/>
      <c r="C209" s="84"/>
      <c r="D209" s="84"/>
      <c r="E209" s="80"/>
      <c r="F209" s="80"/>
      <c r="G209" s="80"/>
      <c r="H209" s="80"/>
      <c r="I209" s="80"/>
      <c r="J209" s="80"/>
      <c r="K209" s="107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</row>
    <row r="210" spans="1:33" ht="13.8">
      <c r="A210" s="84"/>
      <c r="B210" s="84"/>
      <c r="C210" s="84"/>
      <c r="D210" s="84"/>
      <c r="E210" s="80"/>
      <c r="F210" s="80"/>
      <c r="G210" s="80"/>
      <c r="H210" s="80"/>
      <c r="I210" s="80"/>
      <c r="J210" s="80"/>
      <c r="K210" s="107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</row>
    <row r="211" spans="1:33" ht="13.8">
      <c r="A211" s="84"/>
      <c r="B211" s="84"/>
      <c r="C211" s="84"/>
      <c r="D211" s="84"/>
      <c r="E211" s="80"/>
      <c r="F211" s="80"/>
      <c r="G211" s="80"/>
      <c r="H211" s="80"/>
      <c r="I211" s="80"/>
      <c r="J211" s="80"/>
      <c r="K211" s="107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</row>
    <row r="212" spans="1:33" ht="13.8">
      <c r="A212" s="84"/>
      <c r="B212" s="84"/>
      <c r="C212" s="84"/>
      <c r="D212" s="84"/>
      <c r="E212" s="80"/>
      <c r="F212" s="80"/>
      <c r="G212" s="80"/>
      <c r="H212" s="80"/>
      <c r="I212" s="80"/>
      <c r="J212" s="80"/>
      <c r="K212" s="107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</row>
    <row r="213" spans="1:33" ht="13.8">
      <c r="A213" s="84"/>
      <c r="B213" s="84"/>
      <c r="C213" s="84"/>
      <c r="D213" s="84"/>
      <c r="E213" s="80"/>
      <c r="F213" s="80"/>
      <c r="G213" s="80"/>
      <c r="H213" s="80"/>
      <c r="I213" s="80"/>
      <c r="J213" s="80"/>
      <c r="K213" s="107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</row>
    <row r="214" spans="1:33" ht="13.8">
      <c r="A214" s="84"/>
      <c r="B214" s="84"/>
      <c r="C214" s="84"/>
      <c r="D214" s="84"/>
      <c r="E214" s="80"/>
      <c r="F214" s="80"/>
      <c r="G214" s="80"/>
      <c r="H214" s="80"/>
      <c r="I214" s="80"/>
      <c r="J214" s="80"/>
      <c r="K214" s="107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</row>
    <row r="215" spans="1:33" ht="13.8">
      <c r="A215" s="84"/>
      <c r="B215" s="84"/>
      <c r="C215" s="84"/>
      <c r="D215" s="84"/>
      <c r="E215" s="80"/>
      <c r="F215" s="80"/>
      <c r="G215" s="80"/>
      <c r="H215" s="80"/>
      <c r="I215" s="80"/>
      <c r="J215" s="80"/>
      <c r="K215" s="107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</row>
    <row r="216" spans="1:33" ht="13.8">
      <c r="A216" s="84"/>
      <c r="B216" s="84"/>
      <c r="C216" s="84"/>
      <c r="D216" s="84"/>
      <c r="E216" s="80"/>
      <c r="F216" s="80"/>
      <c r="G216" s="80"/>
      <c r="H216" s="80"/>
      <c r="I216" s="80"/>
      <c r="J216" s="80"/>
      <c r="K216" s="107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</row>
    <row r="217" spans="1:33" ht="13.8">
      <c r="A217" s="84"/>
      <c r="B217" s="84"/>
      <c r="C217" s="84"/>
      <c r="D217" s="84"/>
      <c r="E217" s="80"/>
      <c r="F217" s="80"/>
      <c r="G217" s="80"/>
      <c r="H217" s="80"/>
      <c r="I217" s="80"/>
      <c r="J217" s="80"/>
      <c r="K217" s="107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</row>
    <row r="218" spans="1:33" ht="13.8">
      <c r="A218" s="84"/>
      <c r="B218" s="84"/>
      <c r="C218" s="84"/>
      <c r="D218" s="84"/>
      <c r="E218" s="80"/>
      <c r="F218" s="80"/>
      <c r="G218" s="80"/>
      <c r="H218" s="80"/>
      <c r="I218" s="80"/>
      <c r="J218" s="80"/>
      <c r="K218" s="107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</row>
    <row r="219" spans="1:33" ht="13.8">
      <c r="A219" s="84"/>
      <c r="B219" s="84"/>
      <c r="C219" s="84"/>
      <c r="D219" s="84"/>
      <c r="E219" s="80"/>
      <c r="F219" s="80"/>
      <c r="G219" s="80"/>
      <c r="H219" s="80"/>
      <c r="I219" s="80"/>
      <c r="J219" s="80"/>
      <c r="K219" s="107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</row>
    <row r="220" spans="1:33" ht="13.8">
      <c r="A220" s="84"/>
      <c r="B220" s="84"/>
      <c r="C220" s="84"/>
      <c r="D220" s="84"/>
      <c r="E220" s="80"/>
      <c r="F220" s="80"/>
      <c r="G220" s="80"/>
      <c r="H220" s="80"/>
      <c r="I220" s="80"/>
      <c r="J220" s="80"/>
      <c r="K220" s="107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</row>
    <row r="221" spans="1:33" ht="13.8">
      <c r="A221" s="84"/>
      <c r="B221" s="84"/>
      <c r="C221" s="84"/>
      <c r="D221" s="84"/>
      <c r="E221" s="80"/>
      <c r="F221" s="80"/>
      <c r="G221" s="80"/>
      <c r="H221" s="80"/>
      <c r="I221" s="80"/>
      <c r="J221" s="80"/>
      <c r="K221" s="107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</row>
    <row r="222" spans="1:33" ht="13.8">
      <c r="A222" s="84"/>
      <c r="B222" s="84"/>
      <c r="C222" s="84"/>
      <c r="D222" s="84"/>
      <c r="E222" s="80"/>
      <c r="F222" s="80"/>
      <c r="G222" s="80"/>
      <c r="H222" s="80"/>
      <c r="I222" s="80"/>
      <c r="J222" s="80"/>
      <c r="K222" s="107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</row>
    <row r="223" spans="1:33" ht="13.8">
      <c r="A223" s="84"/>
      <c r="B223" s="84"/>
      <c r="C223" s="84"/>
      <c r="D223" s="84"/>
      <c r="E223" s="80"/>
      <c r="F223" s="80"/>
      <c r="G223" s="80"/>
      <c r="H223" s="80"/>
      <c r="I223" s="80"/>
      <c r="J223" s="80"/>
      <c r="K223" s="107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80"/>
    </row>
    <row r="224" spans="1:33" ht="13.8">
      <c r="A224" s="84"/>
      <c r="B224" s="84"/>
      <c r="C224" s="84"/>
      <c r="D224" s="84"/>
      <c r="E224" s="80"/>
      <c r="F224" s="80"/>
      <c r="G224" s="80"/>
      <c r="H224" s="80"/>
      <c r="I224" s="80"/>
      <c r="J224" s="80"/>
      <c r="K224" s="107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</row>
    <row r="225" spans="1:33" ht="13.8">
      <c r="A225" s="84"/>
      <c r="B225" s="84"/>
      <c r="C225" s="84"/>
      <c r="D225" s="84"/>
      <c r="E225" s="80"/>
      <c r="F225" s="80"/>
      <c r="G225" s="80"/>
      <c r="H225" s="80"/>
      <c r="I225" s="80"/>
      <c r="J225" s="80"/>
      <c r="K225" s="107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</row>
    <row r="226" spans="1:33" ht="13.8">
      <c r="A226" s="84"/>
      <c r="B226" s="84"/>
      <c r="C226" s="84"/>
      <c r="D226" s="84"/>
      <c r="E226" s="80"/>
      <c r="F226" s="80"/>
      <c r="G226" s="80"/>
      <c r="H226" s="80"/>
      <c r="I226" s="80"/>
      <c r="J226" s="80"/>
      <c r="K226" s="107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80"/>
    </row>
    <row r="227" spans="1:33" ht="13.8">
      <c r="A227" s="84"/>
      <c r="B227" s="84"/>
      <c r="C227" s="84"/>
      <c r="D227" s="84"/>
      <c r="E227" s="80"/>
      <c r="F227" s="80"/>
      <c r="G227" s="80"/>
      <c r="H227" s="80"/>
      <c r="I227" s="80"/>
      <c r="J227" s="80"/>
      <c r="K227" s="107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  <c r="AF227" s="80"/>
      <c r="AG227" s="80"/>
    </row>
    <row r="228" spans="1:33" ht="13.8">
      <c r="A228" s="84"/>
      <c r="B228" s="84"/>
      <c r="C228" s="84"/>
      <c r="D228" s="84"/>
      <c r="E228" s="80"/>
      <c r="F228" s="80"/>
      <c r="G228" s="80"/>
      <c r="H228" s="80"/>
      <c r="I228" s="80"/>
      <c r="J228" s="80"/>
      <c r="K228" s="107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  <c r="AG228" s="80"/>
    </row>
    <row r="229" spans="1:33" ht="13.8">
      <c r="A229" s="84"/>
      <c r="B229" s="84"/>
      <c r="C229" s="84"/>
      <c r="D229" s="84"/>
      <c r="E229" s="80"/>
      <c r="F229" s="80"/>
      <c r="G229" s="80"/>
      <c r="H229" s="80"/>
      <c r="I229" s="80"/>
      <c r="J229" s="80"/>
      <c r="K229" s="107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  <c r="AF229" s="80"/>
      <c r="AG229" s="80"/>
    </row>
    <row r="230" spans="1:33" ht="13.8">
      <c r="A230" s="84"/>
      <c r="B230" s="84"/>
      <c r="C230" s="84"/>
      <c r="D230" s="84"/>
      <c r="E230" s="80"/>
      <c r="F230" s="80"/>
      <c r="G230" s="80"/>
      <c r="H230" s="80"/>
      <c r="I230" s="80"/>
      <c r="J230" s="80"/>
      <c r="K230" s="107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  <c r="AB230" s="80"/>
      <c r="AC230" s="80"/>
      <c r="AD230" s="80"/>
      <c r="AE230" s="80"/>
      <c r="AF230" s="80"/>
      <c r="AG230" s="80"/>
    </row>
    <row r="231" spans="1:33" ht="13.8">
      <c r="A231" s="84"/>
      <c r="B231" s="84"/>
      <c r="C231" s="84"/>
      <c r="D231" s="84"/>
      <c r="E231" s="80"/>
      <c r="F231" s="80"/>
      <c r="G231" s="80"/>
      <c r="H231" s="80"/>
      <c r="I231" s="80"/>
      <c r="J231" s="80"/>
      <c r="K231" s="107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  <c r="AC231" s="80"/>
      <c r="AD231" s="80"/>
      <c r="AE231" s="80"/>
      <c r="AF231" s="80"/>
      <c r="AG231" s="80"/>
    </row>
    <row r="232" spans="1:33" ht="13.8">
      <c r="A232" s="84"/>
      <c r="B232" s="84"/>
      <c r="C232" s="84"/>
      <c r="D232" s="84"/>
      <c r="E232" s="80"/>
      <c r="F232" s="80"/>
      <c r="G232" s="80"/>
      <c r="H232" s="80"/>
      <c r="I232" s="80"/>
      <c r="J232" s="80"/>
      <c r="K232" s="107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  <c r="AG232" s="80"/>
    </row>
    <row r="233" spans="1:33" ht="13.8">
      <c r="A233" s="84"/>
      <c r="B233" s="84"/>
      <c r="C233" s="84"/>
      <c r="D233" s="84"/>
      <c r="E233" s="80"/>
      <c r="F233" s="80"/>
      <c r="G233" s="80"/>
      <c r="H233" s="80"/>
      <c r="I233" s="80"/>
      <c r="J233" s="80"/>
      <c r="K233" s="107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  <c r="AC233" s="80"/>
      <c r="AD233" s="80"/>
      <c r="AE233" s="80"/>
      <c r="AF233" s="80"/>
      <c r="AG233" s="80"/>
    </row>
    <row r="234" spans="1:33" ht="13.8">
      <c r="A234" s="84"/>
      <c r="B234" s="84"/>
      <c r="C234" s="84"/>
      <c r="D234" s="84"/>
      <c r="E234" s="80"/>
      <c r="F234" s="80"/>
      <c r="G234" s="80"/>
      <c r="H234" s="80"/>
      <c r="I234" s="80"/>
      <c r="J234" s="80"/>
      <c r="K234" s="107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  <c r="AF234" s="80"/>
      <c r="AG234" s="80"/>
    </row>
    <row r="235" spans="1:33" ht="13.8">
      <c r="A235" s="84"/>
      <c r="B235" s="84"/>
      <c r="C235" s="84"/>
      <c r="D235" s="84"/>
      <c r="E235" s="80"/>
      <c r="F235" s="80"/>
      <c r="G235" s="80"/>
      <c r="H235" s="80"/>
      <c r="I235" s="80"/>
      <c r="J235" s="80"/>
      <c r="K235" s="107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  <c r="AC235" s="80"/>
      <c r="AD235" s="80"/>
      <c r="AE235" s="80"/>
      <c r="AF235" s="80"/>
      <c r="AG235" s="80"/>
    </row>
    <row r="236" spans="1:33" ht="13.8">
      <c r="A236" s="84"/>
      <c r="B236" s="84"/>
      <c r="C236" s="84"/>
      <c r="D236" s="84"/>
      <c r="E236" s="80"/>
      <c r="F236" s="80"/>
      <c r="G236" s="80"/>
      <c r="H236" s="80"/>
      <c r="I236" s="80"/>
      <c r="J236" s="80"/>
      <c r="K236" s="107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</row>
    <row r="237" spans="1:33" ht="13.8">
      <c r="A237" s="84"/>
      <c r="B237" s="84"/>
      <c r="C237" s="84"/>
      <c r="D237" s="84"/>
      <c r="E237" s="80"/>
      <c r="F237" s="80"/>
      <c r="G237" s="80"/>
      <c r="H237" s="80"/>
      <c r="I237" s="80"/>
      <c r="J237" s="80"/>
      <c r="K237" s="107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  <c r="AC237" s="80"/>
      <c r="AD237" s="80"/>
      <c r="AE237" s="80"/>
      <c r="AF237" s="80"/>
      <c r="AG237" s="80"/>
    </row>
    <row r="238" spans="1:33" ht="13.8">
      <c r="A238" s="84"/>
      <c r="B238" s="84"/>
      <c r="C238" s="84"/>
      <c r="D238" s="84"/>
      <c r="E238" s="80"/>
      <c r="F238" s="80"/>
      <c r="G238" s="80"/>
      <c r="H238" s="80"/>
      <c r="I238" s="80"/>
      <c r="J238" s="80"/>
      <c r="K238" s="107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  <c r="AF238" s="80"/>
      <c r="AG238" s="80"/>
    </row>
    <row r="239" spans="1:33" ht="13.8">
      <c r="A239" s="84"/>
      <c r="B239" s="84"/>
      <c r="C239" s="84"/>
      <c r="D239" s="84"/>
      <c r="E239" s="80"/>
      <c r="F239" s="80"/>
      <c r="G239" s="80"/>
      <c r="H239" s="80"/>
      <c r="I239" s="80"/>
      <c r="J239" s="80"/>
      <c r="K239" s="107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  <c r="AC239" s="80"/>
      <c r="AD239" s="80"/>
      <c r="AE239" s="80"/>
      <c r="AF239" s="80"/>
      <c r="AG239" s="80"/>
    </row>
    <row r="240" spans="1:33" ht="13.8">
      <c r="A240" s="84"/>
      <c r="B240" s="84"/>
      <c r="C240" s="84"/>
      <c r="D240" s="84"/>
      <c r="E240" s="80"/>
      <c r="F240" s="80"/>
      <c r="G240" s="80"/>
      <c r="H240" s="80"/>
      <c r="I240" s="80"/>
      <c r="J240" s="80"/>
      <c r="K240" s="107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  <c r="AF240" s="80"/>
      <c r="AG240" s="80"/>
    </row>
    <row r="241" spans="1:33" ht="13.8">
      <c r="A241" s="84"/>
      <c r="B241" s="84"/>
      <c r="C241" s="84"/>
      <c r="D241" s="84"/>
      <c r="E241" s="80"/>
      <c r="F241" s="80"/>
      <c r="G241" s="80"/>
      <c r="H241" s="80"/>
      <c r="I241" s="80"/>
      <c r="J241" s="80"/>
      <c r="K241" s="107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80"/>
      <c r="AF241" s="80"/>
      <c r="AG241" s="80"/>
    </row>
    <row r="242" spans="1:33" ht="13.8">
      <c r="A242" s="84"/>
      <c r="B242" s="84"/>
      <c r="C242" s="84"/>
      <c r="D242" s="84"/>
      <c r="E242" s="80"/>
      <c r="F242" s="80"/>
      <c r="G242" s="80"/>
      <c r="H242" s="80"/>
      <c r="I242" s="80"/>
      <c r="J242" s="80"/>
      <c r="K242" s="107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  <c r="AC242" s="80"/>
      <c r="AD242" s="80"/>
      <c r="AE242" s="80"/>
      <c r="AF242" s="80"/>
      <c r="AG242" s="80"/>
    </row>
    <row r="243" spans="1:33" ht="13.8">
      <c r="A243" s="84"/>
      <c r="B243" s="84"/>
      <c r="C243" s="84"/>
      <c r="D243" s="84"/>
      <c r="E243" s="80"/>
      <c r="F243" s="80"/>
      <c r="G243" s="80"/>
      <c r="H243" s="80"/>
      <c r="I243" s="80"/>
      <c r="J243" s="80"/>
      <c r="K243" s="107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</row>
    <row r="244" spans="1:33" ht="13.8">
      <c r="A244" s="84"/>
      <c r="B244" s="84"/>
      <c r="C244" s="84"/>
      <c r="D244" s="84"/>
      <c r="E244" s="80"/>
      <c r="F244" s="80"/>
      <c r="G244" s="80"/>
      <c r="H244" s="80"/>
      <c r="I244" s="80"/>
      <c r="J244" s="80"/>
      <c r="K244" s="107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  <c r="AC244" s="80"/>
      <c r="AD244" s="80"/>
      <c r="AE244" s="80"/>
      <c r="AF244" s="80"/>
      <c r="AG244" s="80"/>
    </row>
    <row r="245" spans="1:33" ht="13.8">
      <c r="A245" s="84"/>
      <c r="B245" s="84"/>
      <c r="C245" s="84"/>
      <c r="D245" s="84"/>
      <c r="E245" s="80"/>
      <c r="F245" s="80"/>
      <c r="G245" s="80"/>
      <c r="H245" s="80"/>
      <c r="I245" s="80"/>
      <c r="J245" s="80"/>
      <c r="K245" s="107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  <c r="AB245" s="80"/>
      <c r="AC245" s="80"/>
      <c r="AD245" s="80"/>
      <c r="AE245" s="80"/>
      <c r="AF245" s="80"/>
      <c r="AG245" s="80"/>
    </row>
    <row r="246" spans="1:33" ht="13.8">
      <c r="A246" s="84"/>
      <c r="B246" s="84"/>
      <c r="C246" s="84"/>
      <c r="D246" s="84"/>
      <c r="E246" s="80"/>
      <c r="F246" s="80"/>
      <c r="G246" s="80"/>
      <c r="H246" s="80"/>
      <c r="I246" s="80"/>
      <c r="J246" s="80"/>
      <c r="K246" s="107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  <c r="AF246" s="80"/>
      <c r="AG246" s="80"/>
    </row>
    <row r="247" spans="1:33" ht="13.8">
      <c r="A247" s="84"/>
      <c r="B247" s="84"/>
      <c r="C247" s="84"/>
      <c r="D247" s="84"/>
      <c r="E247" s="80"/>
      <c r="F247" s="80"/>
      <c r="G247" s="80"/>
      <c r="H247" s="80"/>
      <c r="I247" s="80"/>
      <c r="J247" s="80"/>
      <c r="K247" s="107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  <c r="AC247" s="80"/>
      <c r="AD247" s="80"/>
      <c r="AE247" s="80"/>
      <c r="AF247" s="80"/>
      <c r="AG247" s="80"/>
    </row>
    <row r="248" spans="1:33" ht="13.8">
      <c r="A248" s="84"/>
      <c r="B248" s="84"/>
      <c r="C248" s="84"/>
      <c r="D248" s="84"/>
      <c r="E248" s="80"/>
      <c r="F248" s="80"/>
      <c r="G248" s="80"/>
      <c r="H248" s="80"/>
      <c r="I248" s="80"/>
      <c r="J248" s="80"/>
      <c r="K248" s="107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  <c r="AB248" s="80"/>
      <c r="AC248" s="80"/>
      <c r="AD248" s="80"/>
      <c r="AE248" s="80"/>
      <c r="AF248" s="80"/>
      <c r="AG248" s="80"/>
    </row>
    <row r="249" spans="1:33" ht="13.8">
      <c r="A249" s="84"/>
      <c r="B249" s="84"/>
      <c r="C249" s="84"/>
      <c r="D249" s="84"/>
      <c r="E249" s="80"/>
      <c r="F249" s="80"/>
      <c r="G249" s="80"/>
      <c r="H249" s="80"/>
      <c r="I249" s="80"/>
      <c r="J249" s="80"/>
      <c r="K249" s="107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  <c r="AB249" s="80"/>
      <c r="AC249" s="80"/>
      <c r="AD249" s="80"/>
      <c r="AE249" s="80"/>
      <c r="AF249" s="80"/>
      <c r="AG249" s="80"/>
    </row>
    <row r="250" spans="1:33" ht="13.8">
      <c r="A250" s="84"/>
      <c r="B250" s="84"/>
      <c r="C250" s="84"/>
      <c r="D250" s="84"/>
      <c r="E250" s="80"/>
      <c r="F250" s="80"/>
      <c r="G250" s="80"/>
      <c r="H250" s="80"/>
      <c r="I250" s="80"/>
      <c r="J250" s="80"/>
      <c r="K250" s="107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  <c r="AC250" s="80"/>
      <c r="AD250" s="80"/>
      <c r="AE250" s="80"/>
      <c r="AF250" s="80"/>
      <c r="AG250" s="80"/>
    </row>
    <row r="251" spans="1:33" ht="13.8">
      <c r="A251" s="84"/>
      <c r="B251" s="84"/>
      <c r="C251" s="84"/>
      <c r="D251" s="84"/>
      <c r="E251" s="80"/>
      <c r="F251" s="80"/>
      <c r="G251" s="80"/>
      <c r="H251" s="80"/>
      <c r="I251" s="80"/>
      <c r="J251" s="80"/>
      <c r="K251" s="107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  <c r="AB251" s="80"/>
      <c r="AC251" s="80"/>
      <c r="AD251" s="80"/>
      <c r="AE251" s="80"/>
      <c r="AF251" s="80"/>
      <c r="AG251" s="80"/>
    </row>
    <row r="252" spans="1:33" ht="13.8">
      <c r="A252" s="84"/>
      <c r="B252" s="84"/>
      <c r="C252" s="84"/>
      <c r="D252" s="84"/>
      <c r="E252" s="80"/>
      <c r="F252" s="80"/>
      <c r="G252" s="80"/>
      <c r="H252" s="80"/>
      <c r="I252" s="80"/>
      <c r="J252" s="80"/>
      <c r="K252" s="107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  <c r="AB252" s="80"/>
      <c r="AC252" s="80"/>
      <c r="AD252" s="80"/>
      <c r="AE252" s="80"/>
      <c r="AF252" s="80"/>
      <c r="AG252" s="80"/>
    </row>
    <row r="253" spans="1:33" ht="13.8">
      <c r="A253" s="84"/>
      <c r="B253" s="84"/>
      <c r="C253" s="84"/>
      <c r="D253" s="84"/>
      <c r="E253" s="80"/>
      <c r="F253" s="80"/>
      <c r="G253" s="80"/>
      <c r="H253" s="80"/>
      <c r="I253" s="80"/>
      <c r="J253" s="80"/>
      <c r="K253" s="107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  <c r="AB253" s="80"/>
      <c r="AC253" s="80"/>
      <c r="AD253" s="80"/>
      <c r="AE253" s="80"/>
      <c r="AF253" s="80"/>
      <c r="AG253" s="80"/>
    </row>
    <row r="254" spans="1:33" ht="13.8">
      <c r="A254" s="84"/>
      <c r="B254" s="84"/>
      <c r="C254" s="84"/>
      <c r="D254" s="84"/>
      <c r="E254" s="80"/>
      <c r="F254" s="80"/>
      <c r="G254" s="80"/>
      <c r="H254" s="80"/>
      <c r="I254" s="80"/>
      <c r="J254" s="80"/>
      <c r="K254" s="107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  <c r="AB254" s="80"/>
      <c r="AC254" s="80"/>
      <c r="AD254" s="80"/>
      <c r="AE254" s="80"/>
      <c r="AF254" s="80"/>
      <c r="AG254" s="80"/>
    </row>
    <row r="255" spans="1:33" ht="13.8">
      <c r="A255" s="84"/>
      <c r="B255" s="84"/>
      <c r="C255" s="84"/>
      <c r="D255" s="84"/>
      <c r="E255" s="80"/>
      <c r="F255" s="80"/>
      <c r="G255" s="80"/>
      <c r="H255" s="80"/>
      <c r="I255" s="80"/>
      <c r="J255" s="80"/>
      <c r="K255" s="107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  <c r="AB255" s="80"/>
      <c r="AC255" s="80"/>
      <c r="AD255" s="80"/>
      <c r="AE255" s="80"/>
      <c r="AF255" s="80"/>
      <c r="AG255" s="80"/>
    </row>
    <row r="256" spans="1:33" ht="13.8">
      <c r="A256" s="84"/>
      <c r="B256" s="84"/>
      <c r="C256" s="84"/>
      <c r="D256" s="84"/>
      <c r="E256" s="80"/>
      <c r="F256" s="80"/>
      <c r="G256" s="80"/>
      <c r="H256" s="80"/>
      <c r="I256" s="80"/>
      <c r="J256" s="80"/>
      <c r="K256" s="107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  <c r="AB256" s="80"/>
      <c r="AC256" s="80"/>
      <c r="AD256" s="80"/>
      <c r="AE256" s="80"/>
      <c r="AF256" s="80"/>
      <c r="AG256" s="80"/>
    </row>
    <row r="257" spans="1:33" ht="13.8">
      <c r="A257" s="84"/>
      <c r="B257" s="84"/>
      <c r="C257" s="84"/>
      <c r="D257" s="84"/>
      <c r="E257" s="80"/>
      <c r="F257" s="80"/>
      <c r="G257" s="80"/>
      <c r="H257" s="80"/>
      <c r="I257" s="80"/>
      <c r="J257" s="80"/>
      <c r="K257" s="107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  <c r="AB257" s="80"/>
      <c r="AC257" s="80"/>
      <c r="AD257" s="80"/>
      <c r="AE257" s="80"/>
      <c r="AF257" s="80"/>
      <c r="AG257" s="80"/>
    </row>
    <row r="258" spans="1:33" ht="13.8">
      <c r="A258" s="84"/>
      <c r="B258" s="84"/>
      <c r="C258" s="84"/>
      <c r="D258" s="84"/>
      <c r="E258" s="80"/>
      <c r="F258" s="80"/>
      <c r="G258" s="80"/>
      <c r="H258" s="80"/>
      <c r="I258" s="80"/>
      <c r="J258" s="80"/>
      <c r="K258" s="107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  <c r="AC258" s="80"/>
      <c r="AD258" s="80"/>
      <c r="AE258" s="80"/>
      <c r="AF258" s="80"/>
      <c r="AG258" s="80"/>
    </row>
    <row r="259" spans="1:33" ht="13.8">
      <c r="A259" s="84"/>
      <c r="B259" s="84"/>
      <c r="C259" s="84"/>
      <c r="D259" s="84"/>
      <c r="E259" s="80"/>
      <c r="F259" s="80"/>
      <c r="G259" s="80"/>
      <c r="H259" s="80"/>
      <c r="I259" s="80"/>
      <c r="J259" s="80"/>
      <c r="K259" s="107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  <c r="AB259" s="80"/>
      <c r="AC259" s="80"/>
      <c r="AD259" s="80"/>
      <c r="AE259" s="80"/>
      <c r="AF259" s="80"/>
      <c r="AG259" s="80"/>
    </row>
    <row r="260" spans="1:33" ht="13.8">
      <c r="A260" s="84"/>
      <c r="B260" s="84"/>
      <c r="C260" s="84"/>
      <c r="D260" s="84"/>
      <c r="E260" s="80"/>
      <c r="F260" s="80"/>
      <c r="G260" s="80"/>
      <c r="H260" s="80"/>
      <c r="I260" s="80"/>
      <c r="J260" s="80"/>
      <c r="K260" s="107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  <c r="AB260" s="80"/>
      <c r="AC260" s="80"/>
      <c r="AD260" s="80"/>
      <c r="AE260" s="80"/>
      <c r="AF260" s="80"/>
      <c r="AG260" s="80"/>
    </row>
    <row r="261" spans="1:33" ht="13.8">
      <c r="A261" s="84"/>
      <c r="B261" s="84"/>
      <c r="C261" s="84"/>
      <c r="D261" s="84"/>
      <c r="E261" s="80"/>
      <c r="F261" s="80"/>
      <c r="G261" s="80"/>
      <c r="H261" s="80"/>
      <c r="I261" s="80"/>
      <c r="J261" s="80"/>
      <c r="K261" s="107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  <c r="AB261" s="80"/>
      <c r="AC261" s="80"/>
      <c r="AD261" s="80"/>
      <c r="AE261" s="80"/>
      <c r="AF261" s="80"/>
      <c r="AG261" s="80"/>
    </row>
    <row r="262" spans="1:33" ht="13.8">
      <c r="A262" s="84"/>
      <c r="B262" s="84"/>
      <c r="C262" s="84"/>
      <c r="D262" s="84"/>
      <c r="E262" s="80"/>
      <c r="F262" s="80"/>
      <c r="G262" s="80"/>
      <c r="H262" s="80"/>
      <c r="I262" s="80"/>
      <c r="J262" s="80"/>
      <c r="K262" s="107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  <c r="AB262" s="80"/>
      <c r="AC262" s="80"/>
      <c r="AD262" s="80"/>
      <c r="AE262" s="80"/>
      <c r="AF262" s="80"/>
      <c r="AG262" s="80"/>
    </row>
    <row r="263" spans="1:33" ht="13.8">
      <c r="A263" s="84"/>
      <c r="B263" s="84"/>
      <c r="C263" s="84"/>
      <c r="D263" s="84"/>
      <c r="E263" s="80"/>
      <c r="F263" s="80"/>
      <c r="G263" s="80"/>
      <c r="H263" s="80"/>
      <c r="I263" s="80"/>
      <c r="J263" s="80"/>
      <c r="K263" s="107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  <c r="AB263" s="80"/>
      <c r="AC263" s="80"/>
      <c r="AD263" s="80"/>
      <c r="AE263" s="80"/>
      <c r="AF263" s="80"/>
      <c r="AG263" s="80"/>
    </row>
    <row r="264" spans="1:33" ht="13.8">
      <c r="A264" s="84"/>
      <c r="B264" s="84"/>
      <c r="C264" s="84"/>
      <c r="D264" s="84"/>
      <c r="E264" s="80"/>
      <c r="F264" s="80"/>
      <c r="G264" s="80"/>
      <c r="H264" s="80"/>
      <c r="I264" s="80"/>
      <c r="J264" s="80"/>
      <c r="K264" s="107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  <c r="AC264" s="80"/>
      <c r="AD264" s="80"/>
      <c r="AE264" s="80"/>
      <c r="AF264" s="80"/>
      <c r="AG264" s="80"/>
    </row>
    <row r="265" spans="1:33" ht="13.8">
      <c r="A265" s="84"/>
      <c r="B265" s="84"/>
      <c r="C265" s="84"/>
      <c r="D265" s="84"/>
      <c r="E265" s="80"/>
      <c r="F265" s="80"/>
      <c r="G265" s="80"/>
      <c r="H265" s="80"/>
      <c r="I265" s="80"/>
      <c r="J265" s="80"/>
      <c r="K265" s="107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  <c r="AB265" s="80"/>
      <c r="AC265" s="80"/>
      <c r="AD265" s="80"/>
      <c r="AE265" s="80"/>
      <c r="AF265" s="80"/>
      <c r="AG265" s="80"/>
    </row>
    <row r="266" spans="1:33" ht="13.8">
      <c r="A266" s="84"/>
      <c r="B266" s="84"/>
      <c r="C266" s="84"/>
      <c r="D266" s="84"/>
      <c r="E266" s="80"/>
      <c r="F266" s="80"/>
      <c r="G266" s="80"/>
      <c r="H266" s="80"/>
      <c r="I266" s="80"/>
      <c r="J266" s="80"/>
      <c r="K266" s="107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  <c r="AB266" s="80"/>
      <c r="AC266" s="80"/>
      <c r="AD266" s="80"/>
      <c r="AE266" s="80"/>
      <c r="AF266" s="80"/>
      <c r="AG266" s="80"/>
    </row>
    <row r="267" spans="1:33" ht="13.8">
      <c r="A267" s="84"/>
      <c r="B267" s="84"/>
      <c r="C267" s="84"/>
      <c r="D267" s="84"/>
      <c r="E267" s="80"/>
      <c r="F267" s="80"/>
      <c r="G267" s="80"/>
      <c r="H267" s="80"/>
      <c r="I267" s="80"/>
      <c r="J267" s="80"/>
      <c r="K267" s="107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  <c r="AB267" s="80"/>
      <c r="AC267" s="80"/>
      <c r="AD267" s="80"/>
      <c r="AE267" s="80"/>
      <c r="AF267" s="80"/>
      <c r="AG267" s="80"/>
    </row>
    <row r="268" spans="1:33" ht="13.8">
      <c r="A268" s="84"/>
      <c r="B268" s="84"/>
      <c r="C268" s="84"/>
      <c r="D268" s="84"/>
      <c r="E268" s="80"/>
      <c r="F268" s="80"/>
      <c r="G268" s="80"/>
      <c r="H268" s="80"/>
      <c r="I268" s="80"/>
      <c r="J268" s="80"/>
      <c r="K268" s="107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  <c r="AB268" s="80"/>
      <c r="AC268" s="80"/>
      <c r="AD268" s="80"/>
      <c r="AE268" s="80"/>
      <c r="AF268" s="80"/>
      <c r="AG268" s="80"/>
    </row>
    <row r="269" spans="1:33" ht="13.8">
      <c r="A269" s="84"/>
      <c r="B269" s="84"/>
      <c r="C269" s="84"/>
      <c r="D269" s="84"/>
      <c r="E269" s="80"/>
      <c r="F269" s="80"/>
      <c r="G269" s="80"/>
      <c r="H269" s="80"/>
      <c r="I269" s="80"/>
      <c r="J269" s="80"/>
      <c r="K269" s="107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  <c r="AB269" s="80"/>
      <c r="AC269" s="80"/>
      <c r="AD269" s="80"/>
      <c r="AE269" s="80"/>
      <c r="AF269" s="80"/>
      <c r="AG269" s="80"/>
    </row>
    <row r="270" spans="1:33" ht="13.8">
      <c r="A270" s="84"/>
      <c r="B270" s="84"/>
      <c r="C270" s="84"/>
      <c r="D270" s="84"/>
      <c r="E270" s="80"/>
      <c r="F270" s="80"/>
      <c r="G270" s="80"/>
      <c r="H270" s="80"/>
      <c r="I270" s="80"/>
      <c r="J270" s="80"/>
      <c r="K270" s="107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  <c r="AB270" s="80"/>
      <c r="AC270" s="80"/>
      <c r="AD270" s="80"/>
      <c r="AE270" s="80"/>
      <c r="AF270" s="80"/>
      <c r="AG270" s="80"/>
    </row>
    <row r="271" spans="1:33" ht="13.8">
      <c r="A271" s="84"/>
      <c r="B271" s="84"/>
      <c r="C271" s="84"/>
      <c r="D271" s="84"/>
      <c r="E271" s="80"/>
      <c r="F271" s="80"/>
      <c r="G271" s="80"/>
      <c r="H271" s="80"/>
      <c r="I271" s="80"/>
      <c r="J271" s="80"/>
      <c r="K271" s="107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  <c r="AB271" s="80"/>
      <c r="AC271" s="80"/>
      <c r="AD271" s="80"/>
      <c r="AE271" s="80"/>
      <c r="AF271" s="80"/>
      <c r="AG271" s="80"/>
    </row>
    <row r="272" spans="1:33" ht="13.8">
      <c r="A272" s="84"/>
      <c r="B272" s="84"/>
      <c r="C272" s="84"/>
      <c r="D272" s="84"/>
      <c r="E272" s="80"/>
      <c r="F272" s="80"/>
      <c r="G272" s="80"/>
      <c r="H272" s="80"/>
      <c r="I272" s="80"/>
      <c r="J272" s="80"/>
      <c r="K272" s="107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  <c r="AB272" s="80"/>
      <c r="AC272" s="80"/>
      <c r="AD272" s="80"/>
      <c r="AE272" s="80"/>
      <c r="AF272" s="80"/>
      <c r="AG272" s="80"/>
    </row>
    <row r="273" spans="1:33" ht="13.8">
      <c r="A273" s="84"/>
      <c r="B273" s="84"/>
      <c r="C273" s="84"/>
      <c r="D273" s="84"/>
      <c r="E273" s="80"/>
      <c r="F273" s="80"/>
      <c r="G273" s="80"/>
      <c r="H273" s="80"/>
      <c r="I273" s="80"/>
      <c r="J273" s="80"/>
      <c r="K273" s="107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  <c r="AB273" s="80"/>
      <c r="AC273" s="80"/>
      <c r="AD273" s="80"/>
      <c r="AE273" s="80"/>
      <c r="AF273" s="80"/>
      <c r="AG273" s="80"/>
    </row>
    <row r="274" spans="1:33" ht="13.8">
      <c r="A274" s="84"/>
      <c r="B274" s="84"/>
      <c r="C274" s="84"/>
      <c r="D274" s="84"/>
      <c r="E274" s="80"/>
      <c r="F274" s="80"/>
      <c r="G274" s="80"/>
      <c r="H274" s="80"/>
      <c r="I274" s="80"/>
      <c r="J274" s="80"/>
      <c r="K274" s="107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  <c r="AC274" s="80"/>
      <c r="AD274" s="80"/>
      <c r="AE274" s="80"/>
      <c r="AF274" s="80"/>
      <c r="AG274" s="80"/>
    </row>
    <row r="275" spans="1:33" ht="13.8">
      <c r="A275" s="84"/>
      <c r="B275" s="84"/>
      <c r="C275" s="84"/>
      <c r="D275" s="84"/>
      <c r="E275" s="80"/>
      <c r="F275" s="80"/>
      <c r="G275" s="80"/>
      <c r="H275" s="80"/>
      <c r="I275" s="80"/>
      <c r="J275" s="80"/>
      <c r="K275" s="107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  <c r="AD275" s="80"/>
      <c r="AE275" s="80"/>
      <c r="AF275" s="80"/>
      <c r="AG275" s="80"/>
    </row>
    <row r="276" spans="1:33" ht="13.8">
      <c r="A276" s="84"/>
      <c r="B276" s="84"/>
      <c r="C276" s="84"/>
      <c r="D276" s="84"/>
      <c r="E276" s="80"/>
      <c r="F276" s="80"/>
      <c r="G276" s="80"/>
      <c r="H276" s="80"/>
      <c r="I276" s="80"/>
      <c r="J276" s="80"/>
      <c r="K276" s="107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  <c r="AG276" s="80"/>
    </row>
    <row r="277" spans="1:33" ht="13.8">
      <c r="A277" s="84"/>
      <c r="B277" s="84"/>
      <c r="C277" s="84"/>
      <c r="D277" s="84"/>
      <c r="E277" s="80"/>
      <c r="F277" s="80"/>
      <c r="G277" s="80"/>
      <c r="H277" s="80"/>
      <c r="I277" s="80"/>
      <c r="J277" s="80"/>
      <c r="K277" s="107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  <c r="AG277" s="80"/>
    </row>
    <row r="278" spans="1:33" ht="13.8">
      <c r="A278" s="84"/>
      <c r="B278" s="84"/>
      <c r="C278" s="84"/>
      <c r="D278" s="84"/>
      <c r="E278" s="80"/>
      <c r="F278" s="80"/>
      <c r="G278" s="80"/>
      <c r="H278" s="80"/>
      <c r="I278" s="80"/>
      <c r="J278" s="80"/>
      <c r="K278" s="107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80"/>
    </row>
    <row r="279" spans="1:33" ht="13.8">
      <c r="A279" s="84"/>
      <c r="B279" s="84"/>
      <c r="C279" s="84"/>
      <c r="D279" s="84"/>
      <c r="E279" s="80"/>
      <c r="F279" s="80"/>
      <c r="G279" s="80"/>
      <c r="H279" s="80"/>
      <c r="I279" s="80"/>
      <c r="J279" s="80"/>
      <c r="K279" s="107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  <c r="AD279" s="80"/>
      <c r="AE279" s="80"/>
      <c r="AF279" s="80"/>
      <c r="AG279" s="80"/>
    </row>
    <row r="280" spans="1:33" ht="13.8">
      <c r="A280" s="84"/>
      <c r="B280" s="84"/>
      <c r="C280" s="84"/>
      <c r="D280" s="84"/>
      <c r="E280" s="80"/>
      <c r="F280" s="80"/>
      <c r="G280" s="80"/>
      <c r="H280" s="80"/>
      <c r="I280" s="80"/>
      <c r="J280" s="80"/>
      <c r="K280" s="107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  <c r="AD280" s="80"/>
      <c r="AE280" s="80"/>
      <c r="AF280" s="80"/>
      <c r="AG280" s="80"/>
    </row>
    <row r="281" spans="1:33" ht="13.8">
      <c r="A281" s="84"/>
      <c r="B281" s="84"/>
      <c r="C281" s="84"/>
      <c r="D281" s="84"/>
      <c r="E281" s="80"/>
      <c r="F281" s="80"/>
      <c r="G281" s="80"/>
      <c r="H281" s="80"/>
      <c r="I281" s="80"/>
      <c r="J281" s="80"/>
      <c r="K281" s="107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80"/>
    </row>
    <row r="282" spans="1:33" ht="13.8">
      <c r="A282" s="84"/>
      <c r="B282" s="84"/>
      <c r="C282" s="84"/>
      <c r="D282" s="84"/>
      <c r="E282" s="80"/>
      <c r="F282" s="80"/>
      <c r="G282" s="80"/>
      <c r="H282" s="80"/>
      <c r="I282" s="80"/>
      <c r="J282" s="80"/>
      <c r="K282" s="107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80"/>
      <c r="AG282" s="80"/>
    </row>
    <row r="283" spans="1:33" ht="13.8">
      <c r="A283" s="84"/>
      <c r="B283" s="84"/>
      <c r="C283" s="84"/>
      <c r="D283" s="84"/>
      <c r="E283" s="80"/>
      <c r="F283" s="80"/>
      <c r="G283" s="80"/>
      <c r="H283" s="80"/>
      <c r="I283" s="80"/>
      <c r="J283" s="80"/>
      <c r="K283" s="107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</row>
    <row r="284" spans="1:33" ht="13.8">
      <c r="A284" s="84"/>
      <c r="B284" s="84"/>
      <c r="C284" s="84"/>
      <c r="D284" s="84"/>
      <c r="E284" s="80"/>
      <c r="F284" s="80"/>
      <c r="G284" s="80"/>
      <c r="H284" s="80"/>
      <c r="I284" s="80"/>
      <c r="J284" s="80"/>
      <c r="K284" s="107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  <c r="AD284" s="80"/>
      <c r="AE284" s="80"/>
      <c r="AF284" s="80"/>
      <c r="AG284" s="80"/>
    </row>
    <row r="285" spans="1:33" ht="13.8">
      <c r="A285" s="84"/>
      <c r="B285" s="84"/>
      <c r="C285" s="84"/>
      <c r="D285" s="84"/>
      <c r="E285" s="80"/>
      <c r="F285" s="80"/>
      <c r="G285" s="80"/>
      <c r="H285" s="80"/>
      <c r="I285" s="80"/>
      <c r="J285" s="80"/>
      <c r="K285" s="107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  <c r="AD285" s="80"/>
      <c r="AE285" s="80"/>
      <c r="AF285" s="80"/>
      <c r="AG285" s="80"/>
    </row>
    <row r="286" spans="1:33" ht="13.8">
      <c r="A286" s="84"/>
      <c r="B286" s="84"/>
      <c r="C286" s="84"/>
      <c r="D286" s="84"/>
      <c r="E286" s="80"/>
      <c r="F286" s="80"/>
      <c r="G286" s="80"/>
      <c r="H286" s="80"/>
      <c r="I286" s="80"/>
      <c r="J286" s="80"/>
      <c r="K286" s="107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80"/>
    </row>
    <row r="287" spans="1:33" ht="13.8">
      <c r="A287" s="84"/>
      <c r="B287" s="84"/>
      <c r="C287" s="84"/>
      <c r="D287" s="84"/>
      <c r="E287" s="80"/>
      <c r="F287" s="80"/>
      <c r="G287" s="80"/>
      <c r="H287" s="80"/>
      <c r="I287" s="80"/>
      <c r="J287" s="80"/>
      <c r="K287" s="107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  <c r="AF287" s="80"/>
      <c r="AG287" s="80"/>
    </row>
    <row r="288" spans="1:33" ht="13.8">
      <c r="A288" s="84"/>
      <c r="B288" s="84"/>
      <c r="C288" s="84"/>
      <c r="D288" s="84"/>
      <c r="E288" s="80"/>
      <c r="F288" s="80"/>
      <c r="G288" s="80"/>
      <c r="H288" s="80"/>
      <c r="I288" s="80"/>
      <c r="J288" s="80"/>
      <c r="K288" s="107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  <c r="AG288" s="80"/>
    </row>
    <row r="289" spans="1:33" ht="13.8">
      <c r="A289" s="84"/>
      <c r="B289" s="84"/>
      <c r="C289" s="84"/>
      <c r="D289" s="84"/>
      <c r="E289" s="80"/>
      <c r="F289" s="80"/>
      <c r="G289" s="80"/>
      <c r="H289" s="80"/>
      <c r="I289" s="80"/>
      <c r="J289" s="80"/>
      <c r="K289" s="107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</row>
    <row r="290" spans="1:33" ht="13.8">
      <c r="A290" s="84"/>
      <c r="B290" s="84"/>
      <c r="C290" s="84"/>
      <c r="D290" s="84"/>
      <c r="E290" s="80"/>
      <c r="F290" s="80"/>
      <c r="G290" s="80"/>
      <c r="H290" s="80"/>
      <c r="I290" s="80"/>
      <c r="J290" s="80"/>
      <c r="K290" s="107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</row>
    <row r="291" spans="1:33" ht="13.8">
      <c r="A291" s="84"/>
      <c r="B291" s="84"/>
      <c r="C291" s="84"/>
      <c r="D291" s="84"/>
      <c r="E291" s="80"/>
      <c r="F291" s="80"/>
      <c r="G291" s="80"/>
      <c r="H291" s="80"/>
      <c r="I291" s="80"/>
      <c r="J291" s="80"/>
      <c r="K291" s="107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</row>
    <row r="292" spans="1:33" ht="13.8">
      <c r="A292" s="84"/>
      <c r="B292" s="84"/>
      <c r="C292" s="84"/>
      <c r="D292" s="84"/>
      <c r="E292" s="80"/>
      <c r="F292" s="80"/>
      <c r="G292" s="80"/>
      <c r="H292" s="80"/>
      <c r="I292" s="80"/>
      <c r="J292" s="80"/>
      <c r="K292" s="107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</row>
    <row r="293" spans="1:33" ht="13.8">
      <c r="A293" s="84"/>
      <c r="B293" s="84"/>
      <c r="C293" s="84"/>
      <c r="D293" s="84"/>
      <c r="E293" s="80"/>
      <c r="F293" s="80"/>
      <c r="G293" s="80"/>
      <c r="H293" s="80"/>
      <c r="I293" s="80"/>
      <c r="J293" s="80"/>
      <c r="K293" s="107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</row>
    <row r="294" spans="1:33" ht="13.8">
      <c r="A294" s="84"/>
      <c r="B294" s="84"/>
      <c r="C294" s="84"/>
      <c r="D294" s="84"/>
      <c r="E294" s="80"/>
      <c r="F294" s="80"/>
      <c r="G294" s="80"/>
      <c r="H294" s="80"/>
      <c r="I294" s="80"/>
      <c r="J294" s="80"/>
      <c r="K294" s="107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</row>
    <row r="295" spans="1:33" ht="13.8">
      <c r="A295" s="84"/>
      <c r="B295" s="84"/>
      <c r="C295" s="84"/>
      <c r="D295" s="84"/>
      <c r="E295" s="80"/>
      <c r="F295" s="80"/>
      <c r="G295" s="80"/>
      <c r="H295" s="80"/>
      <c r="I295" s="80"/>
      <c r="J295" s="80"/>
      <c r="K295" s="107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</row>
    <row r="296" spans="1:33" ht="13.8">
      <c r="A296" s="84"/>
      <c r="B296" s="84"/>
      <c r="C296" s="84"/>
      <c r="D296" s="84"/>
      <c r="E296" s="80"/>
      <c r="F296" s="80"/>
      <c r="G296" s="80"/>
      <c r="H296" s="80"/>
      <c r="I296" s="80"/>
      <c r="J296" s="80"/>
      <c r="K296" s="107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</row>
    <row r="297" spans="1:33" ht="13.8">
      <c r="A297" s="84"/>
      <c r="B297" s="84"/>
      <c r="C297" s="84"/>
      <c r="D297" s="84"/>
      <c r="E297" s="80"/>
      <c r="F297" s="80"/>
      <c r="G297" s="80"/>
      <c r="H297" s="80"/>
      <c r="I297" s="80"/>
      <c r="J297" s="80"/>
      <c r="K297" s="107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</row>
    <row r="298" spans="1:33" ht="13.8">
      <c r="A298" s="84"/>
      <c r="B298" s="84"/>
      <c r="C298" s="84"/>
      <c r="D298" s="84"/>
      <c r="E298" s="80"/>
      <c r="F298" s="80"/>
      <c r="G298" s="80"/>
      <c r="H298" s="80"/>
      <c r="I298" s="80"/>
      <c r="J298" s="80"/>
      <c r="K298" s="107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  <c r="AG298" s="80"/>
    </row>
    <row r="299" spans="1:33" ht="13.8">
      <c r="A299" s="84"/>
      <c r="B299" s="84"/>
      <c r="C299" s="84"/>
      <c r="D299" s="84"/>
      <c r="E299" s="80"/>
      <c r="F299" s="80"/>
      <c r="G299" s="80"/>
      <c r="H299" s="80"/>
      <c r="I299" s="80"/>
      <c r="J299" s="80"/>
      <c r="K299" s="107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  <c r="AG299" s="80"/>
    </row>
    <row r="300" spans="1:33" ht="13.8">
      <c r="A300" s="84"/>
      <c r="B300" s="84"/>
      <c r="C300" s="84"/>
      <c r="D300" s="84"/>
      <c r="E300" s="80"/>
      <c r="F300" s="80"/>
      <c r="G300" s="80"/>
      <c r="H300" s="80"/>
      <c r="I300" s="80"/>
      <c r="J300" s="80"/>
      <c r="K300" s="107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  <c r="AG300" s="80"/>
    </row>
    <row r="301" spans="1:33" ht="13.8">
      <c r="A301" s="84"/>
      <c r="B301" s="84"/>
      <c r="C301" s="84"/>
      <c r="D301" s="84"/>
      <c r="E301" s="80"/>
      <c r="F301" s="80"/>
      <c r="G301" s="80"/>
      <c r="H301" s="80"/>
      <c r="I301" s="80"/>
      <c r="J301" s="80"/>
      <c r="K301" s="107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80"/>
    </row>
    <row r="302" spans="1:33" ht="13.8">
      <c r="A302" s="84"/>
      <c r="B302" s="84"/>
      <c r="C302" s="84"/>
      <c r="D302" s="84"/>
      <c r="E302" s="80"/>
      <c r="F302" s="80"/>
      <c r="G302" s="80"/>
      <c r="H302" s="80"/>
      <c r="I302" s="80"/>
      <c r="J302" s="80"/>
      <c r="K302" s="107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  <c r="AG302" s="80"/>
    </row>
    <row r="303" spans="1:33" ht="13.8">
      <c r="A303" s="84"/>
      <c r="B303" s="84"/>
      <c r="C303" s="84"/>
      <c r="D303" s="84"/>
      <c r="E303" s="80"/>
      <c r="F303" s="80"/>
      <c r="G303" s="80"/>
      <c r="H303" s="80"/>
      <c r="I303" s="80"/>
      <c r="J303" s="80"/>
      <c r="K303" s="107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</row>
    <row r="304" spans="1:33" ht="13.8">
      <c r="A304" s="84"/>
      <c r="B304" s="84"/>
      <c r="C304" s="84"/>
      <c r="D304" s="84"/>
      <c r="E304" s="80"/>
      <c r="F304" s="80"/>
      <c r="G304" s="80"/>
      <c r="H304" s="80"/>
      <c r="I304" s="80"/>
      <c r="J304" s="80"/>
      <c r="K304" s="107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</row>
    <row r="305" spans="1:33" ht="13.8">
      <c r="A305" s="84"/>
      <c r="B305" s="84"/>
      <c r="C305" s="84"/>
      <c r="D305" s="84"/>
      <c r="E305" s="80"/>
      <c r="F305" s="80"/>
      <c r="G305" s="80"/>
      <c r="H305" s="80"/>
      <c r="I305" s="80"/>
      <c r="J305" s="80"/>
      <c r="K305" s="107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</row>
    <row r="306" spans="1:33" ht="13.8">
      <c r="A306" s="84"/>
      <c r="B306" s="84"/>
      <c r="C306" s="84"/>
      <c r="D306" s="84"/>
      <c r="E306" s="80"/>
      <c r="F306" s="80"/>
      <c r="G306" s="80"/>
      <c r="H306" s="80"/>
      <c r="I306" s="80"/>
      <c r="J306" s="80"/>
      <c r="K306" s="107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</row>
    <row r="307" spans="1:33" ht="13.8">
      <c r="A307" s="84"/>
      <c r="B307" s="84"/>
      <c r="C307" s="84"/>
      <c r="D307" s="84"/>
      <c r="E307" s="80"/>
      <c r="F307" s="80"/>
      <c r="G307" s="80"/>
      <c r="H307" s="80"/>
      <c r="I307" s="80"/>
      <c r="J307" s="80"/>
      <c r="K307" s="107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</row>
    <row r="308" spans="1:33" ht="13.8">
      <c r="A308" s="84"/>
      <c r="B308" s="84"/>
      <c r="C308" s="84"/>
      <c r="D308" s="84"/>
      <c r="E308" s="80"/>
      <c r="F308" s="80"/>
      <c r="G308" s="80"/>
      <c r="H308" s="80"/>
      <c r="I308" s="80"/>
      <c r="J308" s="80"/>
      <c r="K308" s="107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</row>
    <row r="309" spans="1:33" ht="13.8">
      <c r="A309" s="84"/>
      <c r="B309" s="84"/>
      <c r="C309" s="84"/>
      <c r="D309" s="84"/>
      <c r="E309" s="80"/>
      <c r="F309" s="80"/>
      <c r="G309" s="80"/>
      <c r="H309" s="80"/>
      <c r="I309" s="80"/>
      <c r="J309" s="80"/>
      <c r="K309" s="107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  <c r="AG309" s="80"/>
    </row>
    <row r="310" spans="1:33" ht="13.8">
      <c r="A310" s="84"/>
      <c r="B310" s="84"/>
      <c r="C310" s="84"/>
      <c r="D310" s="84"/>
      <c r="E310" s="80"/>
      <c r="F310" s="80"/>
      <c r="G310" s="80"/>
      <c r="H310" s="80"/>
      <c r="I310" s="80"/>
      <c r="J310" s="80"/>
      <c r="K310" s="107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80"/>
    </row>
    <row r="311" spans="1:33" ht="13.8">
      <c r="A311" s="84"/>
      <c r="B311" s="84"/>
      <c r="C311" s="84"/>
      <c r="D311" s="84"/>
      <c r="E311" s="80"/>
      <c r="F311" s="80"/>
      <c r="G311" s="80"/>
      <c r="H311" s="80"/>
      <c r="I311" s="80"/>
      <c r="J311" s="80"/>
      <c r="K311" s="107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  <c r="AF311" s="80"/>
      <c r="AG311" s="80"/>
    </row>
    <row r="312" spans="1:33" ht="13.8">
      <c r="A312" s="84"/>
      <c r="B312" s="84"/>
      <c r="C312" s="84"/>
      <c r="D312" s="84"/>
      <c r="E312" s="80"/>
      <c r="F312" s="80"/>
      <c r="G312" s="80"/>
      <c r="H312" s="80"/>
      <c r="I312" s="80"/>
      <c r="J312" s="80"/>
      <c r="K312" s="107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80"/>
    </row>
    <row r="313" spans="1:33" ht="13.8">
      <c r="A313" s="84"/>
      <c r="B313" s="84"/>
      <c r="C313" s="84"/>
      <c r="D313" s="84"/>
      <c r="E313" s="80"/>
      <c r="F313" s="80"/>
      <c r="G313" s="80"/>
      <c r="H313" s="80"/>
      <c r="I313" s="80"/>
      <c r="J313" s="80"/>
      <c r="K313" s="107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  <c r="AG313" s="80"/>
    </row>
    <row r="314" spans="1:33" ht="13.8">
      <c r="A314" s="84"/>
      <c r="B314" s="84"/>
      <c r="C314" s="84"/>
      <c r="D314" s="84"/>
      <c r="E314" s="80"/>
      <c r="F314" s="80"/>
      <c r="G314" s="80"/>
      <c r="H314" s="80"/>
      <c r="I314" s="80"/>
      <c r="J314" s="80"/>
      <c r="K314" s="107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  <c r="AF314" s="80"/>
      <c r="AG314" s="80"/>
    </row>
    <row r="315" spans="1:33" ht="13.8">
      <c r="A315" s="84"/>
      <c r="B315" s="84"/>
      <c r="C315" s="84"/>
      <c r="D315" s="84"/>
      <c r="E315" s="80"/>
      <c r="F315" s="80"/>
      <c r="G315" s="80"/>
      <c r="H315" s="80"/>
      <c r="I315" s="80"/>
      <c r="J315" s="80"/>
      <c r="K315" s="107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  <c r="AF315" s="80"/>
      <c r="AG315" s="80"/>
    </row>
    <row r="316" spans="1:33" ht="13.8">
      <c r="A316" s="84"/>
      <c r="B316" s="84"/>
      <c r="C316" s="84"/>
      <c r="D316" s="84"/>
      <c r="E316" s="80"/>
      <c r="F316" s="80"/>
      <c r="G316" s="80"/>
      <c r="H316" s="80"/>
      <c r="I316" s="80"/>
      <c r="J316" s="80"/>
      <c r="K316" s="107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  <c r="AG316" s="80"/>
    </row>
    <row r="317" spans="1:33" ht="13.8">
      <c r="A317" s="84"/>
      <c r="B317" s="84"/>
      <c r="C317" s="84"/>
      <c r="D317" s="84"/>
      <c r="E317" s="80"/>
      <c r="F317" s="80"/>
      <c r="G317" s="80"/>
      <c r="H317" s="80"/>
      <c r="I317" s="80"/>
      <c r="J317" s="80"/>
      <c r="K317" s="107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  <c r="AD317" s="80"/>
      <c r="AE317" s="80"/>
      <c r="AF317" s="80"/>
      <c r="AG317" s="80"/>
    </row>
    <row r="318" spans="1:33" ht="13.8">
      <c r="A318" s="84"/>
      <c r="B318" s="84"/>
      <c r="C318" s="84"/>
      <c r="D318" s="84"/>
      <c r="E318" s="80"/>
      <c r="F318" s="80"/>
      <c r="G318" s="80"/>
      <c r="H318" s="80"/>
      <c r="I318" s="80"/>
      <c r="J318" s="80"/>
      <c r="K318" s="107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80"/>
    </row>
    <row r="319" spans="1:33" ht="13.8">
      <c r="A319" s="84"/>
      <c r="B319" s="84"/>
      <c r="C319" s="84"/>
      <c r="D319" s="84"/>
      <c r="E319" s="80"/>
      <c r="F319" s="80"/>
      <c r="G319" s="80"/>
      <c r="H319" s="80"/>
      <c r="I319" s="80"/>
      <c r="J319" s="80"/>
      <c r="K319" s="107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  <c r="AG319" s="80"/>
    </row>
    <row r="320" spans="1:33" ht="13.8">
      <c r="A320" s="84"/>
      <c r="B320" s="84"/>
      <c r="C320" s="84"/>
      <c r="D320" s="84"/>
      <c r="E320" s="80"/>
      <c r="F320" s="80"/>
      <c r="G320" s="80"/>
      <c r="H320" s="80"/>
      <c r="I320" s="80"/>
      <c r="J320" s="80"/>
      <c r="K320" s="107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80"/>
    </row>
    <row r="321" spans="1:33" ht="13.8">
      <c r="A321" s="84"/>
      <c r="B321" s="84"/>
      <c r="C321" s="84"/>
      <c r="D321" s="84"/>
      <c r="E321" s="80"/>
      <c r="F321" s="80"/>
      <c r="G321" s="80"/>
      <c r="H321" s="80"/>
      <c r="I321" s="80"/>
      <c r="J321" s="80"/>
      <c r="K321" s="107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  <c r="AG321" s="80"/>
    </row>
    <row r="322" spans="1:33" ht="13.8">
      <c r="A322" s="84"/>
      <c r="B322" s="84"/>
      <c r="C322" s="84"/>
      <c r="D322" s="84"/>
      <c r="E322" s="80"/>
      <c r="F322" s="80"/>
      <c r="G322" s="80"/>
      <c r="H322" s="80"/>
      <c r="I322" s="80"/>
      <c r="J322" s="80"/>
      <c r="K322" s="107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80"/>
    </row>
    <row r="323" spans="1:33" ht="13.8">
      <c r="A323" s="84"/>
      <c r="B323" s="84"/>
      <c r="C323" s="84"/>
      <c r="D323" s="84"/>
      <c r="E323" s="80"/>
      <c r="F323" s="80"/>
      <c r="G323" s="80"/>
      <c r="H323" s="80"/>
      <c r="I323" s="80"/>
      <c r="J323" s="80"/>
      <c r="K323" s="107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</row>
    <row r="324" spans="1:33" ht="13.8">
      <c r="A324" s="84"/>
      <c r="B324" s="84"/>
      <c r="C324" s="84"/>
      <c r="D324" s="84"/>
      <c r="E324" s="80"/>
      <c r="F324" s="80"/>
      <c r="G324" s="80"/>
      <c r="H324" s="80"/>
      <c r="I324" s="80"/>
      <c r="J324" s="80"/>
      <c r="K324" s="107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80"/>
    </row>
    <row r="325" spans="1:33" ht="13.8">
      <c r="A325" s="84"/>
      <c r="B325" s="84"/>
      <c r="C325" s="84"/>
      <c r="D325" s="84"/>
      <c r="E325" s="80"/>
      <c r="F325" s="80"/>
      <c r="G325" s="80"/>
      <c r="H325" s="80"/>
      <c r="I325" s="80"/>
      <c r="J325" s="80"/>
      <c r="K325" s="107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  <c r="AG325" s="80"/>
    </row>
    <row r="326" spans="1:33" ht="13.8">
      <c r="A326" s="84"/>
      <c r="B326" s="84"/>
      <c r="C326" s="84"/>
      <c r="D326" s="84"/>
      <c r="E326" s="80"/>
      <c r="F326" s="80"/>
      <c r="G326" s="80"/>
      <c r="H326" s="80"/>
      <c r="I326" s="80"/>
      <c r="J326" s="80"/>
      <c r="K326" s="107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80"/>
    </row>
    <row r="327" spans="1:33" ht="13.8">
      <c r="A327" s="84"/>
      <c r="B327" s="84"/>
      <c r="C327" s="84"/>
      <c r="D327" s="84"/>
      <c r="E327" s="80"/>
      <c r="F327" s="80"/>
      <c r="G327" s="80"/>
      <c r="H327" s="80"/>
      <c r="I327" s="80"/>
      <c r="J327" s="80"/>
      <c r="K327" s="107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  <c r="AG327" s="80"/>
    </row>
    <row r="328" spans="1:33" ht="13.8">
      <c r="A328" s="84"/>
      <c r="B328" s="84"/>
      <c r="C328" s="84"/>
      <c r="D328" s="84"/>
      <c r="E328" s="80"/>
      <c r="F328" s="80"/>
      <c r="G328" s="80"/>
      <c r="H328" s="80"/>
      <c r="I328" s="80"/>
      <c r="J328" s="80"/>
      <c r="K328" s="107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80"/>
    </row>
    <row r="329" spans="1:33" ht="13.8">
      <c r="A329" s="84"/>
      <c r="B329" s="84"/>
      <c r="C329" s="84"/>
      <c r="D329" s="84"/>
      <c r="E329" s="80"/>
      <c r="F329" s="80"/>
      <c r="G329" s="80"/>
      <c r="H329" s="80"/>
      <c r="I329" s="80"/>
      <c r="J329" s="80"/>
      <c r="K329" s="107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80"/>
    </row>
    <row r="330" spans="1:33" ht="13.8">
      <c r="A330" s="84"/>
      <c r="B330" s="84"/>
      <c r="C330" s="84"/>
      <c r="D330" s="84"/>
      <c r="E330" s="80"/>
      <c r="F330" s="80"/>
      <c r="G330" s="80"/>
      <c r="H330" s="80"/>
      <c r="I330" s="80"/>
      <c r="J330" s="80"/>
      <c r="K330" s="107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80"/>
    </row>
    <row r="331" spans="1:33" ht="13.8">
      <c r="A331" s="84"/>
      <c r="B331" s="84"/>
      <c r="C331" s="84"/>
      <c r="D331" s="84"/>
      <c r="E331" s="80"/>
      <c r="F331" s="80"/>
      <c r="G331" s="80"/>
      <c r="H331" s="80"/>
      <c r="I331" s="80"/>
      <c r="J331" s="80"/>
      <c r="K331" s="107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80"/>
    </row>
    <row r="332" spans="1:33" ht="13.8">
      <c r="A332" s="84"/>
      <c r="B332" s="84"/>
      <c r="C332" s="84"/>
      <c r="D332" s="84"/>
      <c r="E332" s="80"/>
      <c r="F332" s="80"/>
      <c r="G332" s="80"/>
      <c r="H332" s="80"/>
      <c r="I332" s="80"/>
      <c r="J332" s="80"/>
      <c r="K332" s="107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  <c r="AE332" s="80"/>
      <c r="AF332" s="80"/>
      <c r="AG332" s="80"/>
    </row>
    <row r="333" spans="1:33" ht="13.8">
      <c r="A333" s="84"/>
      <c r="B333" s="84"/>
      <c r="C333" s="84"/>
      <c r="D333" s="84"/>
      <c r="E333" s="80"/>
      <c r="F333" s="80"/>
      <c r="G333" s="80"/>
      <c r="H333" s="80"/>
      <c r="I333" s="80"/>
      <c r="J333" s="80"/>
      <c r="K333" s="107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  <c r="AG333" s="80"/>
    </row>
    <row r="334" spans="1:33" ht="13.8">
      <c r="A334" s="84"/>
      <c r="B334" s="84"/>
      <c r="C334" s="84"/>
      <c r="D334" s="84"/>
      <c r="E334" s="80"/>
      <c r="F334" s="80"/>
      <c r="G334" s="80"/>
      <c r="H334" s="80"/>
      <c r="I334" s="80"/>
      <c r="J334" s="80"/>
      <c r="K334" s="107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  <c r="AF334" s="80"/>
      <c r="AG334" s="80"/>
    </row>
    <row r="335" spans="1:33" ht="13.8">
      <c r="A335" s="84"/>
      <c r="B335" s="84"/>
      <c r="C335" s="84"/>
      <c r="D335" s="84"/>
      <c r="E335" s="80"/>
      <c r="F335" s="80"/>
      <c r="G335" s="80"/>
      <c r="H335" s="80"/>
      <c r="I335" s="80"/>
      <c r="J335" s="80"/>
      <c r="K335" s="107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  <c r="AF335" s="80"/>
      <c r="AG335" s="80"/>
    </row>
    <row r="336" spans="1:33" ht="13.8">
      <c r="A336" s="84"/>
      <c r="B336" s="84"/>
      <c r="C336" s="84"/>
      <c r="D336" s="84"/>
      <c r="E336" s="80"/>
      <c r="F336" s="80"/>
      <c r="G336" s="80"/>
      <c r="H336" s="80"/>
      <c r="I336" s="80"/>
      <c r="J336" s="80"/>
      <c r="K336" s="107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  <c r="AD336" s="80"/>
      <c r="AE336" s="80"/>
      <c r="AF336" s="80"/>
      <c r="AG336" s="80"/>
    </row>
    <row r="337" spans="1:33" ht="13.8">
      <c r="A337" s="84"/>
      <c r="B337" s="84"/>
      <c r="C337" s="84"/>
      <c r="D337" s="84"/>
      <c r="E337" s="80"/>
      <c r="F337" s="80"/>
      <c r="G337" s="80"/>
      <c r="H337" s="80"/>
      <c r="I337" s="80"/>
      <c r="J337" s="80"/>
      <c r="K337" s="107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  <c r="AD337" s="80"/>
      <c r="AE337" s="80"/>
      <c r="AF337" s="80"/>
      <c r="AG337" s="80"/>
    </row>
    <row r="338" spans="1:33" ht="13.8">
      <c r="A338" s="84"/>
      <c r="B338" s="84"/>
      <c r="C338" s="84"/>
      <c r="D338" s="84"/>
      <c r="E338" s="80"/>
      <c r="F338" s="80"/>
      <c r="G338" s="80"/>
      <c r="H338" s="80"/>
      <c r="I338" s="80"/>
      <c r="J338" s="80"/>
      <c r="K338" s="107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  <c r="AD338" s="80"/>
      <c r="AE338" s="80"/>
      <c r="AF338" s="80"/>
      <c r="AG338" s="80"/>
    </row>
    <row r="339" spans="1:33" ht="13.8">
      <c r="A339" s="84"/>
      <c r="B339" s="84"/>
      <c r="C339" s="84"/>
      <c r="D339" s="84"/>
      <c r="E339" s="80"/>
      <c r="F339" s="80"/>
      <c r="G339" s="80"/>
      <c r="H339" s="80"/>
      <c r="I339" s="80"/>
      <c r="J339" s="80"/>
      <c r="K339" s="107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  <c r="AD339" s="80"/>
      <c r="AE339" s="80"/>
      <c r="AF339" s="80"/>
      <c r="AG339" s="80"/>
    </row>
    <row r="340" spans="1:33" ht="13.8">
      <c r="A340" s="84"/>
      <c r="B340" s="84"/>
      <c r="C340" s="84"/>
      <c r="D340" s="84"/>
      <c r="E340" s="80"/>
      <c r="F340" s="80"/>
      <c r="G340" s="80"/>
      <c r="H340" s="80"/>
      <c r="I340" s="80"/>
      <c r="J340" s="80"/>
      <c r="K340" s="107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  <c r="AD340" s="80"/>
      <c r="AE340" s="80"/>
      <c r="AF340" s="80"/>
      <c r="AG340" s="80"/>
    </row>
    <row r="341" spans="1:33" ht="13.8">
      <c r="A341" s="84"/>
      <c r="B341" s="84"/>
      <c r="C341" s="84"/>
      <c r="D341" s="84"/>
      <c r="E341" s="80"/>
      <c r="F341" s="80"/>
      <c r="G341" s="80"/>
      <c r="H341" s="80"/>
      <c r="I341" s="80"/>
      <c r="J341" s="80"/>
      <c r="K341" s="107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  <c r="AD341" s="80"/>
      <c r="AE341" s="80"/>
      <c r="AF341" s="80"/>
      <c r="AG341" s="80"/>
    </row>
    <row r="342" spans="1:33" ht="13.8">
      <c r="A342" s="84"/>
      <c r="B342" s="84"/>
      <c r="C342" s="84"/>
      <c r="D342" s="84"/>
      <c r="E342" s="80"/>
      <c r="F342" s="80"/>
      <c r="G342" s="80"/>
      <c r="H342" s="80"/>
      <c r="I342" s="80"/>
      <c r="J342" s="80"/>
      <c r="K342" s="107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  <c r="AD342" s="80"/>
      <c r="AE342" s="80"/>
      <c r="AF342" s="80"/>
      <c r="AG342" s="80"/>
    </row>
    <row r="343" spans="1:33" ht="13.8">
      <c r="A343" s="84"/>
      <c r="B343" s="84"/>
      <c r="C343" s="84"/>
      <c r="D343" s="84"/>
      <c r="E343" s="80"/>
      <c r="F343" s="80"/>
      <c r="G343" s="80"/>
      <c r="H343" s="80"/>
      <c r="I343" s="80"/>
      <c r="J343" s="80"/>
      <c r="K343" s="107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  <c r="AD343" s="80"/>
      <c r="AE343" s="80"/>
      <c r="AF343" s="80"/>
      <c r="AG343" s="80"/>
    </row>
    <row r="344" spans="1:33" ht="13.8">
      <c r="A344" s="84"/>
      <c r="B344" s="84"/>
      <c r="C344" s="84"/>
      <c r="D344" s="84"/>
      <c r="E344" s="80"/>
      <c r="F344" s="80"/>
      <c r="G344" s="80"/>
      <c r="H344" s="80"/>
      <c r="I344" s="80"/>
      <c r="J344" s="80"/>
      <c r="K344" s="107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  <c r="AD344" s="80"/>
      <c r="AE344" s="80"/>
      <c r="AF344" s="80"/>
      <c r="AG344" s="80"/>
    </row>
    <row r="345" spans="1:33" ht="13.8">
      <c r="A345" s="84"/>
      <c r="B345" s="84"/>
      <c r="C345" s="84"/>
      <c r="D345" s="84"/>
      <c r="E345" s="80"/>
      <c r="F345" s="80"/>
      <c r="G345" s="80"/>
      <c r="H345" s="80"/>
      <c r="I345" s="80"/>
      <c r="J345" s="80"/>
      <c r="K345" s="107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  <c r="AD345" s="80"/>
      <c r="AE345" s="80"/>
      <c r="AF345" s="80"/>
      <c r="AG345" s="80"/>
    </row>
    <row r="346" spans="1:33" ht="13.8">
      <c r="A346" s="84"/>
      <c r="B346" s="84"/>
      <c r="C346" s="84"/>
      <c r="D346" s="84"/>
      <c r="E346" s="80"/>
      <c r="F346" s="80"/>
      <c r="G346" s="80"/>
      <c r="H346" s="80"/>
      <c r="I346" s="80"/>
      <c r="J346" s="80"/>
      <c r="K346" s="107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  <c r="AD346" s="80"/>
      <c r="AE346" s="80"/>
      <c r="AF346" s="80"/>
      <c r="AG346" s="80"/>
    </row>
    <row r="347" spans="1:33" ht="13.8">
      <c r="A347" s="84"/>
      <c r="B347" s="84"/>
      <c r="C347" s="84"/>
      <c r="D347" s="84"/>
      <c r="E347" s="80"/>
      <c r="F347" s="80"/>
      <c r="G347" s="80"/>
      <c r="H347" s="80"/>
      <c r="I347" s="80"/>
      <c r="J347" s="80"/>
      <c r="K347" s="107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  <c r="AD347" s="80"/>
      <c r="AE347" s="80"/>
      <c r="AF347" s="80"/>
      <c r="AG347" s="80"/>
    </row>
    <row r="348" spans="1:33" ht="13.8">
      <c r="A348" s="84"/>
      <c r="B348" s="84"/>
      <c r="C348" s="84"/>
      <c r="D348" s="84"/>
      <c r="E348" s="80"/>
      <c r="F348" s="80"/>
      <c r="G348" s="80"/>
      <c r="H348" s="80"/>
      <c r="I348" s="80"/>
      <c r="J348" s="80"/>
      <c r="K348" s="107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  <c r="AD348" s="80"/>
      <c r="AE348" s="80"/>
      <c r="AF348" s="80"/>
      <c r="AG348" s="80"/>
    </row>
    <row r="349" spans="1:33" ht="13.8">
      <c r="A349" s="84"/>
      <c r="B349" s="84"/>
      <c r="C349" s="84"/>
      <c r="D349" s="84"/>
      <c r="E349" s="80"/>
      <c r="F349" s="80"/>
      <c r="G349" s="80"/>
      <c r="H349" s="80"/>
      <c r="I349" s="80"/>
      <c r="J349" s="80"/>
      <c r="K349" s="107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  <c r="AD349" s="80"/>
      <c r="AE349" s="80"/>
      <c r="AF349" s="80"/>
      <c r="AG349" s="80"/>
    </row>
    <row r="350" spans="1:33" ht="13.8">
      <c r="A350" s="84"/>
      <c r="B350" s="84"/>
      <c r="C350" s="84"/>
      <c r="D350" s="84"/>
      <c r="E350" s="80"/>
      <c r="F350" s="80"/>
      <c r="G350" s="80"/>
      <c r="H350" s="80"/>
      <c r="I350" s="80"/>
      <c r="J350" s="80"/>
      <c r="K350" s="107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  <c r="AD350" s="80"/>
      <c r="AE350" s="80"/>
      <c r="AF350" s="80"/>
      <c r="AG350" s="80"/>
    </row>
    <row r="351" spans="1:33" ht="13.8">
      <c r="A351" s="84"/>
      <c r="B351" s="84"/>
      <c r="C351" s="84"/>
      <c r="D351" s="84"/>
      <c r="E351" s="80"/>
      <c r="F351" s="80"/>
      <c r="G351" s="80"/>
      <c r="H351" s="80"/>
      <c r="I351" s="80"/>
      <c r="J351" s="80"/>
      <c r="K351" s="107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  <c r="AD351" s="80"/>
      <c r="AE351" s="80"/>
      <c r="AF351" s="80"/>
      <c r="AG351" s="80"/>
    </row>
    <row r="352" spans="1:33" ht="13.8">
      <c r="A352" s="84"/>
      <c r="B352" s="84"/>
      <c r="C352" s="84"/>
      <c r="D352" s="84"/>
      <c r="E352" s="80"/>
      <c r="F352" s="80"/>
      <c r="G352" s="80"/>
      <c r="H352" s="80"/>
      <c r="I352" s="80"/>
      <c r="J352" s="80"/>
      <c r="K352" s="107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  <c r="AD352" s="80"/>
      <c r="AE352" s="80"/>
      <c r="AF352" s="80"/>
      <c r="AG352" s="80"/>
    </row>
    <row r="353" spans="1:33" ht="13.8">
      <c r="A353" s="84"/>
      <c r="B353" s="84"/>
      <c r="C353" s="84"/>
      <c r="D353" s="84"/>
      <c r="E353" s="80"/>
      <c r="F353" s="80"/>
      <c r="G353" s="80"/>
      <c r="H353" s="80"/>
      <c r="I353" s="80"/>
      <c r="J353" s="80"/>
      <c r="K353" s="107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  <c r="AD353" s="80"/>
      <c r="AE353" s="80"/>
      <c r="AF353" s="80"/>
      <c r="AG353" s="80"/>
    </row>
    <row r="354" spans="1:33" ht="13.8">
      <c r="A354" s="84"/>
      <c r="B354" s="84"/>
      <c r="C354" s="84"/>
      <c r="D354" s="84"/>
      <c r="E354" s="80"/>
      <c r="F354" s="80"/>
      <c r="G354" s="80"/>
      <c r="H354" s="80"/>
      <c r="I354" s="80"/>
      <c r="J354" s="80"/>
      <c r="K354" s="107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  <c r="AD354" s="80"/>
      <c r="AE354" s="80"/>
      <c r="AF354" s="80"/>
      <c r="AG354" s="80"/>
    </row>
    <row r="355" spans="1:33" ht="13.8">
      <c r="A355" s="84"/>
      <c r="B355" s="84"/>
      <c r="C355" s="84"/>
      <c r="D355" s="84"/>
      <c r="E355" s="80"/>
      <c r="F355" s="80"/>
      <c r="G355" s="80"/>
      <c r="H355" s="80"/>
      <c r="I355" s="80"/>
      <c r="J355" s="80"/>
      <c r="K355" s="107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  <c r="AD355" s="80"/>
      <c r="AE355" s="80"/>
      <c r="AF355" s="80"/>
      <c r="AG355" s="80"/>
    </row>
    <row r="356" spans="1:33" ht="13.8">
      <c r="A356" s="84"/>
      <c r="B356" s="84"/>
      <c r="C356" s="84"/>
      <c r="D356" s="84"/>
      <c r="E356" s="80"/>
      <c r="F356" s="80"/>
      <c r="G356" s="80"/>
      <c r="H356" s="80"/>
      <c r="I356" s="80"/>
      <c r="J356" s="80"/>
      <c r="K356" s="107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  <c r="AD356" s="80"/>
      <c r="AE356" s="80"/>
      <c r="AF356" s="80"/>
      <c r="AG356" s="80"/>
    </row>
    <row r="357" spans="1:33" ht="13.8">
      <c r="A357" s="84"/>
      <c r="B357" s="84"/>
      <c r="C357" s="84"/>
      <c r="D357" s="84"/>
      <c r="E357" s="80"/>
      <c r="F357" s="80"/>
      <c r="G357" s="80"/>
      <c r="H357" s="80"/>
      <c r="I357" s="80"/>
      <c r="J357" s="80"/>
      <c r="K357" s="107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  <c r="AD357" s="80"/>
      <c r="AE357" s="80"/>
      <c r="AF357" s="80"/>
      <c r="AG357" s="80"/>
    </row>
    <row r="358" spans="1:33" ht="13.8">
      <c r="A358" s="84"/>
      <c r="B358" s="84"/>
      <c r="C358" s="84"/>
      <c r="D358" s="84"/>
      <c r="E358" s="80"/>
      <c r="F358" s="80"/>
      <c r="G358" s="80"/>
      <c r="H358" s="80"/>
      <c r="I358" s="80"/>
      <c r="J358" s="80"/>
      <c r="K358" s="107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  <c r="AD358" s="80"/>
      <c r="AE358" s="80"/>
      <c r="AF358" s="80"/>
      <c r="AG358" s="80"/>
    </row>
    <row r="359" spans="1:33" ht="13.8">
      <c r="A359" s="84"/>
      <c r="B359" s="84"/>
      <c r="C359" s="84"/>
      <c r="D359" s="84"/>
      <c r="E359" s="80"/>
      <c r="F359" s="80"/>
      <c r="G359" s="80"/>
      <c r="H359" s="80"/>
      <c r="I359" s="80"/>
      <c r="J359" s="80"/>
      <c r="K359" s="107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  <c r="AD359" s="80"/>
      <c r="AE359" s="80"/>
      <c r="AF359" s="80"/>
      <c r="AG359" s="80"/>
    </row>
    <row r="360" spans="1:33" ht="13.8">
      <c r="A360" s="84"/>
      <c r="B360" s="84"/>
      <c r="C360" s="84"/>
      <c r="D360" s="84"/>
      <c r="E360" s="80"/>
      <c r="F360" s="80"/>
      <c r="G360" s="80"/>
      <c r="H360" s="80"/>
      <c r="I360" s="80"/>
      <c r="J360" s="80"/>
      <c r="K360" s="107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  <c r="AD360" s="80"/>
      <c r="AE360" s="80"/>
      <c r="AF360" s="80"/>
      <c r="AG360" s="80"/>
    </row>
    <row r="361" spans="1:33" ht="13.8">
      <c r="A361" s="84"/>
      <c r="B361" s="84"/>
      <c r="C361" s="84"/>
      <c r="D361" s="84"/>
      <c r="E361" s="80"/>
      <c r="F361" s="80"/>
      <c r="G361" s="80"/>
      <c r="H361" s="80"/>
      <c r="I361" s="80"/>
      <c r="J361" s="80"/>
      <c r="K361" s="107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  <c r="AD361" s="80"/>
      <c r="AE361" s="80"/>
      <c r="AF361" s="80"/>
      <c r="AG361" s="80"/>
    </row>
    <row r="362" spans="1:33" ht="13.8">
      <c r="A362" s="84"/>
      <c r="B362" s="84"/>
      <c r="C362" s="84"/>
      <c r="D362" s="84"/>
      <c r="E362" s="80"/>
      <c r="F362" s="80"/>
      <c r="G362" s="80"/>
      <c r="H362" s="80"/>
      <c r="I362" s="80"/>
      <c r="J362" s="80"/>
      <c r="K362" s="107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  <c r="AD362" s="80"/>
      <c r="AE362" s="80"/>
      <c r="AF362" s="80"/>
      <c r="AG362" s="80"/>
    </row>
    <row r="363" spans="1:33" ht="13.8">
      <c r="A363" s="84"/>
      <c r="B363" s="84"/>
      <c r="C363" s="84"/>
      <c r="D363" s="84"/>
      <c r="E363" s="80"/>
      <c r="F363" s="80"/>
      <c r="G363" s="80"/>
      <c r="H363" s="80"/>
      <c r="I363" s="80"/>
      <c r="J363" s="80"/>
      <c r="K363" s="107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</row>
    <row r="364" spans="1:33" ht="13.8">
      <c r="A364" s="84"/>
      <c r="B364" s="84"/>
      <c r="C364" s="84"/>
      <c r="D364" s="84"/>
      <c r="E364" s="80"/>
      <c r="F364" s="80"/>
      <c r="G364" s="80"/>
      <c r="H364" s="80"/>
      <c r="I364" s="80"/>
      <c r="J364" s="80"/>
      <c r="K364" s="107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  <c r="AD364" s="80"/>
      <c r="AE364" s="80"/>
      <c r="AF364" s="80"/>
      <c r="AG364" s="80"/>
    </row>
    <row r="365" spans="1:33" ht="13.8">
      <c r="A365" s="84"/>
      <c r="B365" s="84"/>
      <c r="C365" s="84"/>
      <c r="D365" s="84"/>
      <c r="E365" s="80"/>
      <c r="F365" s="80"/>
      <c r="G365" s="80"/>
      <c r="H365" s="80"/>
      <c r="I365" s="80"/>
      <c r="J365" s="80"/>
      <c r="K365" s="107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  <c r="AD365" s="80"/>
      <c r="AE365" s="80"/>
      <c r="AF365" s="80"/>
      <c r="AG365" s="80"/>
    </row>
    <row r="366" spans="1:33" ht="13.8">
      <c r="A366" s="84"/>
      <c r="B366" s="84"/>
      <c r="C366" s="84"/>
      <c r="D366" s="84"/>
      <c r="E366" s="80"/>
      <c r="F366" s="80"/>
      <c r="G366" s="80"/>
      <c r="H366" s="80"/>
      <c r="I366" s="80"/>
      <c r="J366" s="80"/>
      <c r="K366" s="107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  <c r="AD366" s="80"/>
      <c r="AE366" s="80"/>
      <c r="AF366" s="80"/>
      <c r="AG366" s="80"/>
    </row>
    <row r="367" spans="1:33" ht="13.8">
      <c r="A367" s="84"/>
      <c r="B367" s="84"/>
      <c r="C367" s="84"/>
      <c r="D367" s="84"/>
      <c r="E367" s="80"/>
      <c r="F367" s="80"/>
      <c r="G367" s="80"/>
      <c r="H367" s="80"/>
      <c r="I367" s="80"/>
      <c r="J367" s="80"/>
      <c r="K367" s="107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  <c r="AD367" s="80"/>
      <c r="AE367" s="80"/>
      <c r="AF367" s="80"/>
      <c r="AG367" s="80"/>
    </row>
    <row r="368" spans="1:33" ht="13.8">
      <c r="A368" s="84"/>
      <c r="B368" s="84"/>
      <c r="C368" s="84"/>
      <c r="D368" s="84"/>
      <c r="E368" s="80"/>
      <c r="F368" s="80"/>
      <c r="G368" s="80"/>
      <c r="H368" s="80"/>
      <c r="I368" s="80"/>
      <c r="J368" s="80"/>
      <c r="K368" s="107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  <c r="AD368" s="80"/>
      <c r="AE368" s="80"/>
      <c r="AF368" s="80"/>
      <c r="AG368" s="80"/>
    </row>
    <row r="369" spans="1:33" ht="13.8">
      <c r="A369" s="84"/>
      <c r="B369" s="84"/>
      <c r="C369" s="84"/>
      <c r="D369" s="84"/>
      <c r="E369" s="80"/>
      <c r="F369" s="80"/>
      <c r="G369" s="80"/>
      <c r="H369" s="80"/>
      <c r="I369" s="80"/>
      <c r="J369" s="80"/>
      <c r="K369" s="107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  <c r="AD369" s="80"/>
      <c r="AE369" s="80"/>
      <c r="AF369" s="80"/>
      <c r="AG369" s="80"/>
    </row>
    <row r="370" spans="1:33" ht="13.8">
      <c r="A370" s="84"/>
      <c r="B370" s="84"/>
      <c r="C370" s="84"/>
      <c r="D370" s="84"/>
      <c r="E370" s="80"/>
      <c r="F370" s="80"/>
      <c r="G370" s="80"/>
      <c r="H370" s="80"/>
      <c r="I370" s="80"/>
      <c r="J370" s="80"/>
      <c r="K370" s="107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  <c r="AD370" s="80"/>
      <c r="AE370" s="80"/>
      <c r="AF370" s="80"/>
      <c r="AG370" s="80"/>
    </row>
    <row r="371" spans="1:33" ht="13.8">
      <c r="A371" s="84"/>
      <c r="B371" s="84"/>
      <c r="C371" s="84"/>
      <c r="D371" s="84"/>
      <c r="E371" s="80"/>
      <c r="F371" s="80"/>
      <c r="G371" s="80"/>
      <c r="H371" s="80"/>
      <c r="I371" s="80"/>
      <c r="J371" s="80"/>
      <c r="K371" s="107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  <c r="AD371" s="80"/>
      <c r="AE371" s="80"/>
      <c r="AF371" s="80"/>
      <c r="AG371" s="80"/>
    </row>
    <row r="372" spans="1:33" ht="13.8">
      <c r="A372" s="84"/>
      <c r="B372" s="84"/>
      <c r="C372" s="84"/>
      <c r="D372" s="84"/>
      <c r="E372" s="80"/>
      <c r="F372" s="80"/>
      <c r="G372" s="80"/>
      <c r="H372" s="80"/>
      <c r="I372" s="80"/>
      <c r="J372" s="80"/>
      <c r="K372" s="107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  <c r="AD372" s="80"/>
      <c r="AE372" s="80"/>
      <c r="AF372" s="80"/>
      <c r="AG372" s="80"/>
    </row>
    <row r="373" spans="1:33" ht="13.8">
      <c r="A373" s="84"/>
      <c r="B373" s="84"/>
      <c r="C373" s="84"/>
      <c r="D373" s="84"/>
      <c r="E373" s="80"/>
      <c r="F373" s="80"/>
      <c r="G373" s="80"/>
      <c r="H373" s="80"/>
      <c r="I373" s="80"/>
      <c r="J373" s="80"/>
      <c r="K373" s="107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  <c r="AD373" s="80"/>
      <c r="AE373" s="80"/>
      <c r="AF373" s="80"/>
      <c r="AG373" s="80"/>
    </row>
    <row r="374" spans="1:33" ht="13.8">
      <c r="A374" s="84"/>
      <c r="B374" s="84"/>
      <c r="C374" s="84"/>
      <c r="D374" s="84"/>
      <c r="E374" s="80"/>
      <c r="F374" s="80"/>
      <c r="G374" s="80"/>
      <c r="H374" s="80"/>
      <c r="I374" s="80"/>
      <c r="J374" s="80"/>
      <c r="K374" s="107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  <c r="AE374" s="80"/>
      <c r="AF374" s="80"/>
      <c r="AG374" s="80"/>
    </row>
    <row r="375" spans="1:33" ht="13.8">
      <c r="A375" s="84"/>
      <c r="B375" s="84"/>
      <c r="C375" s="84"/>
      <c r="D375" s="84"/>
      <c r="E375" s="80"/>
      <c r="F375" s="80"/>
      <c r="G375" s="80"/>
      <c r="H375" s="80"/>
      <c r="I375" s="80"/>
      <c r="J375" s="80"/>
      <c r="K375" s="107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/>
      <c r="AF375" s="80"/>
      <c r="AG375" s="80"/>
    </row>
    <row r="376" spans="1:33" ht="13.8">
      <c r="A376" s="84"/>
      <c r="B376" s="84"/>
      <c r="C376" s="84"/>
      <c r="D376" s="84"/>
      <c r="E376" s="80"/>
      <c r="F376" s="80"/>
      <c r="G376" s="80"/>
      <c r="H376" s="80"/>
      <c r="I376" s="80"/>
      <c r="J376" s="80"/>
      <c r="K376" s="107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  <c r="AD376" s="80"/>
      <c r="AE376" s="80"/>
      <c r="AF376" s="80"/>
      <c r="AG376" s="80"/>
    </row>
    <row r="377" spans="1:33" ht="13.8">
      <c r="A377" s="84"/>
      <c r="B377" s="84"/>
      <c r="C377" s="84"/>
      <c r="D377" s="84"/>
      <c r="E377" s="80"/>
      <c r="F377" s="80"/>
      <c r="G377" s="80"/>
      <c r="H377" s="80"/>
      <c r="I377" s="80"/>
      <c r="J377" s="80"/>
      <c r="K377" s="107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  <c r="AD377" s="80"/>
      <c r="AE377" s="80"/>
      <c r="AF377" s="80"/>
      <c r="AG377" s="80"/>
    </row>
    <row r="378" spans="1:33" ht="13.8">
      <c r="A378" s="84"/>
      <c r="B378" s="84"/>
      <c r="C378" s="84"/>
      <c r="D378" s="84"/>
      <c r="E378" s="80"/>
      <c r="F378" s="80"/>
      <c r="G378" s="80"/>
      <c r="H378" s="80"/>
      <c r="I378" s="80"/>
      <c r="J378" s="80"/>
      <c r="K378" s="107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  <c r="AD378" s="80"/>
      <c r="AE378" s="80"/>
      <c r="AF378" s="80"/>
      <c r="AG378" s="80"/>
    </row>
    <row r="379" spans="1:33" ht="13.8">
      <c r="A379" s="84"/>
      <c r="B379" s="84"/>
      <c r="C379" s="84"/>
      <c r="D379" s="84"/>
      <c r="E379" s="80"/>
      <c r="F379" s="80"/>
      <c r="G379" s="80"/>
      <c r="H379" s="80"/>
      <c r="I379" s="80"/>
      <c r="J379" s="80"/>
      <c r="K379" s="107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  <c r="AD379" s="80"/>
      <c r="AE379" s="80"/>
      <c r="AF379" s="80"/>
      <c r="AG379" s="80"/>
    </row>
    <row r="380" spans="1:33" ht="13.8">
      <c r="A380" s="84"/>
      <c r="B380" s="84"/>
      <c r="C380" s="84"/>
      <c r="D380" s="84"/>
      <c r="E380" s="80"/>
      <c r="F380" s="80"/>
      <c r="G380" s="80"/>
      <c r="H380" s="80"/>
      <c r="I380" s="80"/>
      <c r="J380" s="80"/>
      <c r="K380" s="107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  <c r="AD380" s="80"/>
      <c r="AE380" s="80"/>
      <c r="AF380" s="80"/>
      <c r="AG380" s="80"/>
    </row>
    <row r="381" spans="1:33" ht="13.8">
      <c r="A381" s="84"/>
      <c r="B381" s="84"/>
      <c r="C381" s="84"/>
      <c r="D381" s="84"/>
      <c r="E381" s="80"/>
      <c r="F381" s="80"/>
      <c r="G381" s="80"/>
      <c r="H381" s="80"/>
      <c r="I381" s="80"/>
      <c r="J381" s="80"/>
      <c r="K381" s="107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  <c r="AD381" s="80"/>
      <c r="AE381" s="80"/>
      <c r="AF381" s="80"/>
      <c r="AG381" s="80"/>
    </row>
    <row r="382" spans="1:33" ht="13.8">
      <c r="A382" s="84"/>
      <c r="B382" s="84"/>
      <c r="C382" s="84"/>
      <c r="D382" s="84"/>
      <c r="E382" s="80"/>
      <c r="F382" s="80"/>
      <c r="G382" s="80"/>
      <c r="H382" s="80"/>
      <c r="I382" s="80"/>
      <c r="J382" s="80"/>
      <c r="K382" s="107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  <c r="AD382" s="80"/>
      <c r="AE382" s="80"/>
      <c r="AF382" s="80"/>
      <c r="AG382" s="80"/>
    </row>
    <row r="383" spans="1:33" ht="13.8">
      <c r="A383" s="84"/>
      <c r="B383" s="84"/>
      <c r="C383" s="84"/>
      <c r="D383" s="84"/>
      <c r="E383" s="80"/>
      <c r="F383" s="80"/>
      <c r="G383" s="80"/>
      <c r="H383" s="80"/>
      <c r="I383" s="80"/>
      <c r="J383" s="80"/>
      <c r="K383" s="107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  <c r="AD383" s="80"/>
      <c r="AE383" s="80"/>
      <c r="AF383" s="80"/>
      <c r="AG383" s="80"/>
    </row>
    <row r="384" spans="1:33" ht="13.8">
      <c r="A384" s="84"/>
      <c r="B384" s="84"/>
      <c r="C384" s="84"/>
      <c r="D384" s="84"/>
      <c r="E384" s="80"/>
      <c r="F384" s="80"/>
      <c r="G384" s="80"/>
      <c r="H384" s="80"/>
      <c r="I384" s="80"/>
      <c r="J384" s="80"/>
      <c r="K384" s="107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  <c r="AD384" s="80"/>
      <c r="AE384" s="80"/>
      <c r="AF384" s="80"/>
      <c r="AG384" s="80"/>
    </row>
    <row r="385" spans="1:33" ht="13.8">
      <c r="A385" s="84"/>
      <c r="B385" s="84"/>
      <c r="C385" s="84"/>
      <c r="D385" s="84"/>
      <c r="E385" s="80"/>
      <c r="F385" s="80"/>
      <c r="G385" s="80"/>
      <c r="H385" s="80"/>
      <c r="I385" s="80"/>
      <c r="J385" s="80"/>
      <c r="K385" s="107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  <c r="AD385" s="80"/>
      <c r="AE385" s="80"/>
      <c r="AF385" s="80"/>
      <c r="AG385" s="80"/>
    </row>
    <row r="386" spans="1:33" ht="13.8">
      <c r="A386" s="84"/>
      <c r="B386" s="84"/>
      <c r="C386" s="84"/>
      <c r="D386" s="84"/>
      <c r="E386" s="80"/>
      <c r="F386" s="80"/>
      <c r="G386" s="80"/>
      <c r="H386" s="80"/>
      <c r="I386" s="80"/>
      <c r="J386" s="80"/>
      <c r="K386" s="107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  <c r="AD386" s="80"/>
      <c r="AE386" s="80"/>
      <c r="AF386" s="80"/>
      <c r="AG386" s="80"/>
    </row>
    <row r="387" spans="1:33" ht="13.8">
      <c r="A387" s="84"/>
      <c r="B387" s="84"/>
      <c r="C387" s="84"/>
      <c r="D387" s="84"/>
      <c r="E387" s="80"/>
      <c r="F387" s="80"/>
      <c r="G387" s="80"/>
      <c r="H387" s="80"/>
      <c r="I387" s="80"/>
      <c r="J387" s="80"/>
      <c r="K387" s="107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  <c r="AD387" s="80"/>
      <c r="AE387" s="80"/>
      <c r="AF387" s="80"/>
      <c r="AG387" s="80"/>
    </row>
    <row r="388" spans="1:33" ht="13.8">
      <c r="A388" s="84"/>
      <c r="B388" s="84"/>
      <c r="C388" s="84"/>
      <c r="D388" s="84"/>
      <c r="E388" s="80"/>
      <c r="F388" s="80"/>
      <c r="G388" s="80"/>
      <c r="H388" s="80"/>
      <c r="I388" s="80"/>
      <c r="J388" s="80"/>
      <c r="K388" s="107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  <c r="AE388" s="80"/>
      <c r="AF388" s="80"/>
      <c r="AG388" s="80"/>
    </row>
    <row r="389" spans="1:33" ht="13.8">
      <c r="A389" s="84"/>
      <c r="B389" s="84"/>
      <c r="C389" s="84"/>
      <c r="D389" s="84"/>
      <c r="E389" s="80"/>
      <c r="F389" s="80"/>
      <c r="G389" s="80"/>
      <c r="H389" s="80"/>
      <c r="I389" s="80"/>
      <c r="J389" s="80"/>
      <c r="K389" s="107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  <c r="AD389" s="80"/>
      <c r="AE389" s="80"/>
      <c r="AF389" s="80"/>
      <c r="AG389" s="80"/>
    </row>
    <row r="390" spans="1:33" ht="13.8">
      <c r="A390" s="84"/>
      <c r="B390" s="84"/>
      <c r="C390" s="84"/>
      <c r="D390" s="84"/>
      <c r="E390" s="80"/>
      <c r="F390" s="80"/>
      <c r="G390" s="80"/>
      <c r="H390" s="80"/>
      <c r="I390" s="80"/>
      <c r="J390" s="80"/>
      <c r="K390" s="107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  <c r="AD390" s="80"/>
      <c r="AE390" s="80"/>
      <c r="AF390" s="80"/>
      <c r="AG390" s="80"/>
    </row>
    <row r="391" spans="1:33" ht="13.8">
      <c r="A391" s="84"/>
      <c r="B391" s="84"/>
      <c r="C391" s="84"/>
      <c r="D391" s="84"/>
      <c r="E391" s="80"/>
      <c r="F391" s="80"/>
      <c r="G391" s="80"/>
      <c r="H391" s="80"/>
      <c r="I391" s="80"/>
      <c r="J391" s="80"/>
      <c r="K391" s="107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  <c r="AD391" s="80"/>
      <c r="AE391" s="80"/>
      <c r="AF391" s="80"/>
      <c r="AG391" s="80"/>
    </row>
    <row r="392" spans="1:33" ht="13.8">
      <c r="A392" s="84"/>
      <c r="B392" s="84"/>
      <c r="C392" s="84"/>
      <c r="D392" s="84"/>
      <c r="E392" s="80"/>
      <c r="F392" s="80"/>
      <c r="G392" s="80"/>
      <c r="H392" s="80"/>
      <c r="I392" s="80"/>
      <c r="J392" s="80"/>
      <c r="K392" s="107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  <c r="AD392" s="80"/>
      <c r="AE392" s="80"/>
      <c r="AF392" s="80"/>
      <c r="AG392" s="80"/>
    </row>
    <row r="393" spans="1:33" ht="13.8">
      <c r="A393" s="84"/>
      <c r="B393" s="84"/>
      <c r="C393" s="84"/>
      <c r="D393" s="84"/>
      <c r="E393" s="80"/>
      <c r="F393" s="80"/>
      <c r="G393" s="80"/>
      <c r="H393" s="80"/>
      <c r="I393" s="80"/>
      <c r="J393" s="80"/>
      <c r="K393" s="107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  <c r="AD393" s="80"/>
      <c r="AE393" s="80"/>
      <c r="AF393" s="80"/>
      <c r="AG393" s="80"/>
    </row>
    <row r="394" spans="1:33" ht="13.8">
      <c r="A394" s="84"/>
      <c r="B394" s="84"/>
      <c r="C394" s="84"/>
      <c r="D394" s="84"/>
      <c r="E394" s="80"/>
      <c r="F394" s="80"/>
      <c r="G394" s="80"/>
      <c r="H394" s="80"/>
      <c r="I394" s="80"/>
      <c r="J394" s="80"/>
      <c r="K394" s="107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  <c r="AD394" s="80"/>
      <c r="AE394" s="80"/>
      <c r="AF394" s="80"/>
      <c r="AG394" s="80"/>
    </row>
    <row r="395" spans="1:33" ht="13.8">
      <c r="A395" s="84"/>
      <c r="B395" s="84"/>
      <c r="C395" s="84"/>
      <c r="D395" s="84"/>
      <c r="E395" s="80"/>
      <c r="F395" s="80"/>
      <c r="G395" s="80"/>
      <c r="H395" s="80"/>
      <c r="I395" s="80"/>
      <c r="J395" s="80"/>
      <c r="K395" s="107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  <c r="AD395" s="80"/>
      <c r="AE395" s="80"/>
      <c r="AF395" s="80"/>
      <c r="AG395" s="80"/>
    </row>
    <row r="396" spans="1:33" ht="13.8">
      <c r="A396" s="84"/>
      <c r="B396" s="84"/>
      <c r="C396" s="84"/>
      <c r="D396" s="84"/>
      <c r="E396" s="80"/>
      <c r="F396" s="80"/>
      <c r="G396" s="80"/>
      <c r="H396" s="80"/>
      <c r="I396" s="80"/>
      <c r="J396" s="80"/>
      <c r="K396" s="107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  <c r="AD396" s="80"/>
      <c r="AE396" s="80"/>
      <c r="AF396" s="80"/>
      <c r="AG396" s="80"/>
    </row>
    <row r="397" spans="1:33" ht="13.8">
      <c r="A397" s="84"/>
      <c r="B397" s="84"/>
      <c r="C397" s="84"/>
      <c r="D397" s="84"/>
      <c r="E397" s="80"/>
      <c r="F397" s="80"/>
      <c r="G397" s="80"/>
      <c r="H397" s="80"/>
      <c r="I397" s="80"/>
      <c r="J397" s="80"/>
      <c r="K397" s="107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  <c r="AD397" s="80"/>
      <c r="AE397" s="80"/>
      <c r="AF397" s="80"/>
      <c r="AG397" s="80"/>
    </row>
    <row r="398" spans="1:33" ht="13.8">
      <c r="A398" s="84"/>
      <c r="B398" s="84"/>
      <c r="C398" s="84"/>
      <c r="D398" s="84"/>
      <c r="E398" s="80"/>
      <c r="F398" s="80"/>
      <c r="G398" s="80"/>
      <c r="H398" s="80"/>
      <c r="I398" s="80"/>
      <c r="J398" s="80"/>
      <c r="K398" s="107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  <c r="AD398" s="80"/>
      <c r="AE398" s="80"/>
      <c r="AF398" s="80"/>
      <c r="AG398" s="80"/>
    </row>
    <row r="399" spans="1:33" ht="13.8">
      <c r="A399" s="84"/>
      <c r="B399" s="84"/>
      <c r="C399" s="84"/>
      <c r="D399" s="84"/>
      <c r="E399" s="80"/>
      <c r="F399" s="80"/>
      <c r="G399" s="80"/>
      <c r="H399" s="80"/>
      <c r="I399" s="80"/>
      <c r="J399" s="80"/>
      <c r="K399" s="107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  <c r="AD399" s="80"/>
      <c r="AE399" s="80"/>
      <c r="AF399" s="80"/>
      <c r="AG399" s="80"/>
    </row>
    <row r="400" spans="1:33" ht="13.8">
      <c r="A400" s="84"/>
      <c r="B400" s="84"/>
      <c r="C400" s="84"/>
      <c r="D400" s="84"/>
      <c r="E400" s="80"/>
      <c r="F400" s="80"/>
      <c r="G400" s="80"/>
      <c r="H400" s="80"/>
      <c r="I400" s="80"/>
      <c r="J400" s="80"/>
      <c r="K400" s="107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  <c r="AD400" s="80"/>
      <c r="AE400" s="80"/>
      <c r="AF400" s="80"/>
      <c r="AG400" s="80"/>
    </row>
    <row r="401" spans="1:33" ht="13.8">
      <c r="A401" s="84"/>
      <c r="B401" s="84"/>
      <c r="C401" s="84"/>
      <c r="D401" s="84"/>
      <c r="E401" s="80"/>
      <c r="F401" s="80"/>
      <c r="G401" s="80"/>
      <c r="H401" s="80"/>
      <c r="I401" s="80"/>
      <c r="J401" s="80"/>
      <c r="K401" s="107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  <c r="AE401" s="80"/>
      <c r="AF401" s="80"/>
      <c r="AG401" s="80"/>
    </row>
    <row r="402" spans="1:33" ht="13.8">
      <c r="A402" s="84"/>
      <c r="B402" s="84"/>
      <c r="C402" s="84"/>
      <c r="D402" s="84"/>
      <c r="E402" s="80"/>
      <c r="F402" s="80"/>
      <c r="G402" s="80"/>
      <c r="H402" s="80"/>
      <c r="I402" s="80"/>
      <c r="J402" s="80"/>
      <c r="K402" s="107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  <c r="AD402" s="80"/>
      <c r="AE402" s="80"/>
      <c r="AF402" s="80"/>
      <c r="AG402" s="80"/>
    </row>
    <row r="403" spans="1:33" ht="13.8">
      <c r="A403" s="84"/>
      <c r="B403" s="84"/>
      <c r="C403" s="84"/>
      <c r="D403" s="84"/>
      <c r="E403" s="80"/>
      <c r="F403" s="80"/>
      <c r="G403" s="80"/>
      <c r="H403" s="80"/>
      <c r="I403" s="80"/>
      <c r="J403" s="80"/>
      <c r="K403" s="107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</row>
    <row r="404" spans="1:33" ht="13.8">
      <c r="A404" s="84"/>
      <c r="B404" s="84"/>
      <c r="C404" s="84"/>
      <c r="D404" s="84"/>
      <c r="E404" s="80"/>
      <c r="F404" s="80"/>
      <c r="G404" s="80"/>
      <c r="H404" s="80"/>
      <c r="I404" s="80"/>
      <c r="J404" s="80"/>
      <c r="K404" s="107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  <c r="AD404" s="80"/>
      <c r="AE404" s="80"/>
      <c r="AF404" s="80"/>
      <c r="AG404" s="80"/>
    </row>
    <row r="405" spans="1:33" ht="13.8">
      <c r="A405" s="84"/>
      <c r="B405" s="84"/>
      <c r="C405" s="84"/>
      <c r="D405" s="84"/>
      <c r="E405" s="80"/>
      <c r="F405" s="80"/>
      <c r="G405" s="80"/>
      <c r="H405" s="80"/>
      <c r="I405" s="80"/>
      <c r="J405" s="80"/>
      <c r="K405" s="107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  <c r="AD405" s="80"/>
      <c r="AE405" s="80"/>
      <c r="AF405" s="80"/>
      <c r="AG405" s="80"/>
    </row>
    <row r="406" spans="1:33" ht="13.8">
      <c r="A406" s="84"/>
      <c r="B406" s="84"/>
      <c r="C406" s="84"/>
      <c r="D406" s="84"/>
      <c r="E406" s="80"/>
      <c r="F406" s="80"/>
      <c r="G406" s="80"/>
      <c r="H406" s="80"/>
      <c r="I406" s="80"/>
      <c r="J406" s="80"/>
      <c r="K406" s="107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  <c r="AD406" s="80"/>
      <c r="AE406" s="80"/>
      <c r="AF406" s="80"/>
      <c r="AG406" s="80"/>
    </row>
    <row r="407" spans="1:33" ht="13.8">
      <c r="A407" s="84"/>
      <c r="B407" s="84"/>
      <c r="C407" s="84"/>
      <c r="D407" s="84"/>
      <c r="E407" s="80"/>
      <c r="F407" s="80"/>
      <c r="G407" s="80"/>
      <c r="H407" s="80"/>
      <c r="I407" s="80"/>
      <c r="J407" s="80"/>
      <c r="K407" s="107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  <c r="AD407" s="80"/>
      <c r="AE407" s="80"/>
      <c r="AF407" s="80"/>
      <c r="AG407" s="80"/>
    </row>
    <row r="408" spans="1:33" ht="13.8">
      <c r="A408" s="84"/>
      <c r="B408" s="84"/>
      <c r="C408" s="84"/>
      <c r="D408" s="84"/>
      <c r="E408" s="80"/>
      <c r="F408" s="80"/>
      <c r="G408" s="80"/>
      <c r="H408" s="80"/>
      <c r="I408" s="80"/>
      <c r="J408" s="80"/>
      <c r="K408" s="107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  <c r="AD408" s="80"/>
      <c r="AE408" s="80"/>
      <c r="AF408" s="80"/>
      <c r="AG408" s="80"/>
    </row>
    <row r="409" spans="1:33" ht="13.8">
      <c r="A409" s="84"/>
      <c r="B409" s="84"/>
      <c r="C409" s="84"/>
      <c r="D409" s="84"/>
      <c r="E409" s="80"/>
      <c r="F409" s="80"/>
      <c r="G409" s="80"/>
      <c r="H409" s="80"/>
      <c r="I409" s="80"/>
      <c r="J409" s="80"/>
      <c r="K409" s="107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  <c r="AD409" s="80"/>
      <c r="AE409" s="80"/>
      <c r="AF409" s="80"/>
      <c r="AG409" s="80"/>
    </row>
    <row r="410" spans="1:33" ht="13.8">
      <c r="A410" s="84"/>
      <c r="B410" s="84"/>
      <c r="C410" s="84"/>
      <c r="D410" s="84"/>
      <c r="E410" s="80"/>
      <c r="F410" s="80"/>
      <c r="G410" s="80"/>
      <c r="H410" s="80"/>
      <c r="I410" s="80"/>
      <c r="J410" s="80"/>
      <c r="K410" s="107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  <c r="AD410" s="80"/>
      <c r="AE410" s="80"/>
      <c r="AF410" s="80"/>
      <c r="AG410" s="80"/>
    </row>
    <row r="411" spans="1:33" ht="13.8">
      <c r="A411" s="84"/>
      <c r="B411" s="84"/>
      <c r="C411" s="84"/>
      <c r="D411" s="84"/>
      <c r="E411" s="80"/>
      <c r="F411" s="80"/>
      <c r="G411" s="80"/>
      <c r="H411" s="80"/>
      <c r="I411" s="80"/>
      <c r="J411" s="80"/>
      <c r="K411" s="107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  <c r="AD411" s="80"/>
      <c r="AE411" s="80"/>
      <c r="AF411" s="80"/>
      <c r="AG411" s="80"/>
    </row>
    <row r="412" spans="1:33" ht="13.8">
      <c r="A412" s="84"/>
      <c r="B412" s="84"/>
      <c r="C412" s="84"/>
      <c r="D412" s="84"/>
      <c r="E412" s="80"/>
      <c r="F412" s="80"/>
      <c r="G412" s="80"/>
      <c r="H412" s="80"/>
      <c r="I412" s="80"/>
      <c r="J412" s="80"/>
      <c r="K412" s="107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  <c r="AD412" s="80"/>
      <c r="AE412" s="80"/>
      <c r="AF412" s="80"/>
      <c r="AG412" s="80"/>
    </row>
    <row r="413" spans="1:33" ht="13.8">
      <c r="A413" s="84"/>
      <c r="B413" s="84"/>
      <c r="C413" s="84"/>
      <c r="D413" s="84"/>
      <c r="E413" s="80"/>
      <c r="F413" s="80"/>
      <c r="G413" s="80"/>
      <c r="H413" s="80"/>
      <c r="I413" s="80"/>
      <c r="J413" s="80"/>
      <c r="K413" s="107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  <c r="AD413" s="80"/>
      <c r="AE413" s="80"/>
      <c r="AF413" s="80"/>
      <c r="AG413" s="80"/>
    </row>
    <row r="414" spans="1:33" ht="13.8">
      <c r="A414" s="84"/>
      <c r="B414" s="84"/>
      <c r="C414" s="84"/>
      <c r="D414" s="84"/>
      <c r="E414" s="80"/>
      <c r="F414" s="80"/>
      <c r="G414" s="80"/>
      <c r="H414" s="80"/>
      <c r="I414" s="80"/>
      <c r="J414" s="80"/>
      <c r="K414" s="107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  <c r="AD414" s="80"/>
      <c r="AE414" s="80"/>
      <c r="AF414" s="80"/>
      <c r="AG414" s="80"/>
    </row>
    <row r="415" spans="1:33" ht="13.8">
      <c r="A415" s="84"/>
      <c r="B415" s="84"/>
      <c r="C415" s="84"/>
      <c r="D415" s="84"/>
      <c r="E415" s="80"/>
      <c r="F415" s="80"/>
      <c r="G415" s="80"/>
      <c r="H415" s="80"/>
      <c r="I415" s="80"/>
      <c r="J415" s="80"/>
      <c r="K415" s="107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  <c r="AD415" s="80"/>
      <c r="AE415" s="80"/>
      <c r="AF415" s="80"/>
      <c r="AG415" s="80"/>
    </row>
    <row r="416" spans="1:33" ht="13.8">
      <c r="A416" s="84"/>
      <c r="B416" s="84"/>
      <c r="C416" s="84"/>
      <c r="D416" s="84"/>
      <c r="E416" s="80"/>
      <c r="F416" s="80"/>
      <c r="G416" s="80"/>
      <c r="H416" s="80"/>
      <c r="I416" s="80"/>
      <c r="J416" s="80"/>
      <c r="K416" s="107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  <c r="AD416" s="80"/>
      <c r="AE416" s="80"/>
      <c r="AF416" s="80"/>
      <c r="AG416" s="80"/>
    </row>
    <row r="417" spans="1:33" ht="13.8">
      <c r="A417" s="84"/>
      <c r="B417" s="84"/>
      <c r="C417" s="84"/>
      <c r="D417" s="84"/>
      <c r="E417" s="80"/>
      <c r="F417" s="80"/>
      <c r="G417" s="80"/>
      <c r="H417" s="80"/>
      <c r="I417" s="80"/>
      <c r="J417" s="80"/>
      <c r="K417" s="107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  <c r="AD417" s="80"/>
      <c r="AE417" s="80"/>
      <c r="AF417" s="80"/>
      <c r="AG417" s="80"/>
    </row>
    <row r="418" spans="1:33" ht="13.8">
      <c r="A418" s="84"/>
      <c r="B418" s="84"/>
      <c r="C418" s="84"/>
      <c r="D418" s="84"/>
      <c r="E418" s="80"/>
      <c r="F418" s="80"/>
      <c r="G418" s="80"/>
      <c r="H418" s="80"/>
      <c r="I418" s="80"/>
      <c r="J418" s="80"/>
      <c r="K418" s="107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  <c r="AD418" s="80"/>
      <c r="AE418" s="80"/>
      <c r="AF418" s="80"/>
      <c r="AG418" s="80"/>
    </row>
    <row r="419" spans="1:33" ht="13.8">
      <c r="A419" s="84"/>
      <c r="B419" s="84"/>
      <c r="C419" s="84"/>
      <c r="D419" s="84"/>
      <c r="E419" s="80"/>
      <c r="F419" s="80"/>
      <c r="G419" s="80"/>
      <c r="H419" s="80"/>
      <c r="I419" s="80"/>
      <c r="J419" s="80"/>
      <c r="K419" s="107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  <c r="AD419" s="80"/>
      <c r="AE419" s="80"/>
      <c r="AF419" s="80"/>
      <c r="AG419" s="80"/>
    </row>
    <row r="420" spans="1:33" ht="13.8">
      <c r="A420" s="84"/>
      <c r="B420" s="84"/>
      <c r="C420" s="84"/>
      <c r="D420" s="84"/>
      <c r="E420" s="80"/>
      <c r="F420" s="80"/>
      <c r="G420" s="80"/>
      <c r="H420" s="80"/>
      <c r="I420" s="80"/>
      <c r="J420" s="80"/>
      <c r="K420" s="107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  <c r="AD420" s="80"/>
      <c r="AE420" s="80"/>
      <c r="AF420" s="80"/>
      <c r="AG420" s="80"/>
    </row>
    <row r="421" spans="1:33" ht="13.8">
      <c r="A421" s="84"/>
      <c r="B421" s="84"/>
      <c r="C421" s="84"/>
      <c r="D421" s="84"/>
      <c r="E421" s="80"/>
      <c r="F421" s="80"/>
      <c r="G421" s="80"/>
      <c r="H421" s="80"/>
      <c r="I421" s="80"/>
      <c r="J421" s="80"/>
      <c r="K421" s="107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  <c r="AD421" s="80"/>
      <c r="AE421" s="80"/>
      <c r="AF421" s="80"/>
      <c r="AG421" s="80"/>
    </row>
    <row r="422" spans="1:33" ht="13.8">
      <c r="A422" s="84"/>
      <c r="B422" s="84"/>
      <c r="C422" s="84"/>
      <c r="D422" s="84"/>
      <c r="E422" s="80"/>
      <c r="F422" s="80"/>
      <c r="G422" s="80"/>
      <c r="H422" s="80"/>
      <c r="I422" s="80"/>
      <c r="J422" s="80"/>
      <c r="K422" s="107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  <c r="AD422" s="80"/>
      <c r="AE422" s="80"/>
      <c r="AF422" s="80"/>
      <c r="AG422" s="80"/>
    </row>
    <row r="423" spans="1:33" ht="13.8">
      <c r="A423" s="84"/>
      <c r="B423" s="84"/>
      <c r="C423" s="84"/>
      <c r="D423" s="84"/>
      <c r="E423" s="80"/>
      <c r="F423" s="80"/>
      <c r="G423" s="80"/>
      <c r="H423" s="80"/>
      <c r="I423" s="80"/>
      <c r="J423" s="80"/>
      <c r="K423" s="107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  <c r="AD423" s="80"/>
      <c r="AE423" s="80"/>
      <c r="AF423" s="80"/>
      <c r="AG423" s="80"/>
    </row>
    <row r="424" spans="1:33" ht="13.8">
      <c r="A424" s="84"/>
      <c r="B424" s="84"/>
      <c r="C424" s="84"/>
      <c r="D424" s="84"/>
      <c r="E424" s="80"/>
      <c r="F424" s="80"/>
      <c r="G424" s="80"/>
      <c r="H424" s="80"/>
      <c r="I424" s="80"/>
      <c r="J424" s="80"/>
      <c r="K424" s="107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  <c r="AD424" s="80"/>
      <c r="AE424" s="80"/>
      <c r="AF424" s="80"/>
      <c r="AG424" s="80"/>
    </row>
    <row r="425" spans="1:33" ht="13.8">
      <c r="A425" s="84"/>
      <c r="B425" s="84"/>
      <c r="C425" s="84"/>
      <c r="D425" s="84"/>
      <c r="E425" s="80"/>
      <c r="F425" s="80"/>
      <c r="G425" s="80"/>
      <c r="H425" s="80"/>
      <c r="I425" s="80"/>
      <c r="J425" s="80"/>
      <c r="K425" s="107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  <c r="AE425" s="80"/>
      <c r="AF425" s="80"/>
      <c r="AG425" s="80"/>
    </row>
    <row r="426" spans="1:33" ht="13.8">
      <c r="A426" s="84"/>
      <c r="B426" s="84"/>
      <c r="C426" s="84"/>
      <c r="D426" s="84"/>
      <c r="E426" s="80"/>
      <c r="F426" s="80"/>
      <c r="G426" s="80"/>
      <c r="H426" s="80"/>
      <c r="I426" s="80"/>
      <c r="J426" s="80"/>
      <c r="K426" s="107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</row>
    <row r="427" spans="1:33" ht="13.8">
      <c r="A427" s="84"/>
      <c r="B427" s="84"/>
      <c r="C427" s="84"/>
      <c r="D427" s="84"/>
      <c r="E427" s="80"/>
      <c r="F427" s="80"/>
      <c r="G427" s="80"/>
      <c r="H427" s="80"/>
      <c r="I427" s="80"/>
      <c r="J427" s="80"/>
      <c r="K427" s="107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  <c r="AG427" s="80"/>
    </row>
    <row r="428" spans="1:33" ht="13.8">
      <c r="A428" s="84"/>
      <c r="B428" s="84"/>
      <c r="C428" s="84"/>
      <c r="D428" s="84"/>
      <c r="E428" s="80"/>
      <c r="F428" s="80"/>
      <c r="G428" s="80"/>
      <c r="H428" s="80"/>
      <c r="I428" s="80"/>
      <c r="J428" s="80"/>
      <c r="K428" s="107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  <c r="AD428" s="80"/>
      <c r="AE428" s="80"/>
      <c r="AF428" s="80"/>
      <c r="AG428" s="80"/>
    </row>
    <row r="429" spans="1:33" ht="13.8">
      <c r="A429" s="84"/>
      <c r="B429" s="84"/>
      <c r="C429" s="84"/>
      <c r="D429" s="84"/>
      <c r="E429" s="80"/>
      <c r="F429" s="80"/>
      <c r="G429" s="80"/>
      <c r="H429" s="80"/>
      <c r="I429" s="80"/>
      <c r="J429" s="80"/>
      <c r="K429" s="107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  <c r="AD429" s="80"/>
      <c r="AE429" s="80"/>
      <c r="AF429" s="80"/>
      <c r="AG429" s="80"/>
    </row>
    <row r="430" spans="1:33" ht="13.8">
      <c r="A430" s="84"/>
      <c r="B430" s="84"/>
      <c r="C430" s="84"/>
      <c r="D430" s="84"/>
      <c r="E430" s="80"/>
      <c r="F430" s="80"/>
      <c r="G430" s="80"/>
      <c r="H430" s="80"/>
      <c r="I430" s="80"/>
      <c r="J430" s="80"/>
      <c r="K430" s="107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  <c r="AD430" s="80"/>
      <c r="AE430" s="80"/>
      <c r="AF430" s="80"/>
      <c r="AG430" s="80"/>
    </row>
    <row r="431" spans="1:33" ht="13.8">
      <c r="A431" s="84"/>
      <c r="B431" s="84"/>
      <c r="C431" s="84"/>
      <c r="D431" s="84"/>
      <c r="E431" s="80"/>
      <c r="F431" s="80"/>
      <c r="G431" s="80"/>
      <c r="H431" s="80"/>
      <c r="I431" s="80"/>
      <c r="J431" s="80"/>
      <c r="K431" s="107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  <c r="AD431" s="80"/>
      <c r="AE431" s="80"/>
      <c r="AF431" s="80"/>
      <c r="AG431" s="80"/>
    </row>
    <row r="432" spans="1:33" ht="13.8">
      <c r="A432" s="84"/>
      <c r="B432" s="84"/>
      <c r="C432" s="84"/>
      <c r="D432" s="84"/>
      <c r="E432" s="80"/>
      <c r="F432" s="80"/>
      <c r="G432" s="80"/>
      <c r="H432" s="80"/>
      <c r="I432" s="80"/>
      <c r="J432" s="80"/>
      <c r="K432" s="107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  <c r="AD432" s="80"/>
      <c r="AE432" s="80"/>
      <c r="AF432" s="80"/>
      <c r="AG432" s="80"/>
    </row>
    <row r="433" spans="1:33" ht="13.8">
      <c r="A433" s="84"/>
      <c r="B433" s="84"/>
      <c r="C433" s="84"/>
      <c r="D433" s="84"/>
      <c r="E433" s="80"/>
      <c r="F433" s="80"/>
      <c r="G433" s="80"/>
      <c r="H433" s="80"/>
      <c r="I433" s="80"/>
      <c r="J433" s="80"/>
      <c r="K433" s="107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  <c r="AD433" s="80"/>
      <c r="AE433" s="80"/>
      <c r="AF433" s="80"/>
      <c r="AG433" s="80"/>
    </row>
    <row r="434" spans="1:33" ht="13.8">
      <c r="A434" s="84"/>
      <c r="B434" s="84"/>
      <c r="C434" s="84"/>
      <c r="D434" s="84"/>
      <c r="E434" s="80"/>
      <c r="F434" s="80"/>
      <c r="G434" s="80"/>
      <c r="H434" s="80"/>
      <c r="I434" s="80"/>
      <c r="J434" s="80"/>
      <c r="K434" s="107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  <c r="AD434" s="80"/>
      <c r="AE434" s="80"/>
      <c r="AF434" s="80"/>
      <c r="AG434" s="80"/>
    </row>
    <row r="435" spans="1:33" ht="13.8">
      <c r="A435" s="84"/>
      <c r="B435" s="84"/>
      <c r="C435" s="84"/>
      <c r="D435" s="84"/>
      <c r="E435" s="80"/>
      <c r="F435" s="80"/>
      <c r="G435" s="80"/>
      <c r="H435" s="80"/>
      <c r="I435" s="80"/>
      <c r="J435" s="80"/>
      <c r="K435" s="107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  <c r="AD435" s="80"/>
      <c r="AE435" s="80"/>
      <c r="AF435" s="80"/>
      <c r="AG435" s="80"/>
    </row>
    <row r="436" spans="1:33" ht="13.8">
      <c r="A436" s="84"/>
      <c r="B436" s="84"/>
      <c r="C436" s="84"/>
      <c r="D436" s="84"/>
      <c r="E436" s="80"/>
      <c r="F436" s="80"/>
      <c r="G436" s="80"/>
      <c r="H436" s="80"/>
      <c r="I436" s="80"/>
      <c r="J436" s="80"/>
      <c r="K436" s="107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  <c r="AD436" s="80"/>
      <c r="AE436" s="80"/>
      <c r="AF436" s="80"/>
      <c r="AG436" s="80"/>
    </row>
    <row r="437" spans="1:33" ht="13.8">
      <c r="A437" s="84"/>
      <c r="B437" s="84"/>
      <c r="C437" s="84"/>
      <c r="D437" s="84"/>
      <c r="E437" s="80"/>
      <c r="F437" s="80"/>
      <c r="G437" s="80"/>
      <c r="H437" s="80"/>
      <c r="I437" s="80"/>
      <c r="J437" s="80"/>
      <c r="K437" s="107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  <c r="AD437" s="80"/>
      <c r="AE437" s="80"/>
      <c r="AF437" s="80"/>
      <c r="AG437" s="80"/>
    </row>
    <row r="438" spans="1:33" ht="13.8">
      <c r="A438" s="84"/>
      <c r="B438" s="84"/>
      <c r="C438" s="84"/>
      <c r="D438" s="84"/>
      <c r="E438" s="80"/>
      <c r="F438" s="80"/>
      <c r="G438" s="80"/>
      <c r="H438" s="80"/>
      <c r="I438" s="80"/>
      <c r="J438" s="80"/>
      <c r="K438" s="107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  <c r="AD438" s="80"/>
      <c r="AE438" s="80"/>
      <c r="AF438" s="80"/>
      <c r="AG438" s="80"/>
    </row>
    <row r="439" spans="1:33" ht="13.8">
      <c r="A439" s="84"/>
      <c r="B439" s="84"/>
      <c r="C439" s="84"/>
      <c r="D439" s="84"/>
      <c r="E439" s="80"/>
      <c r="F439" s="80"/>
      <c r="G439" s="80"/>
      <c r="H439" s="80"/>
      <c r="I439" s="80"/>
      <c r="J439" s="80"/>
      <c r="K439" s="107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  <c r="AD439" s="80"/>
      <c r="AE439" s="80"/>
      <c r="AF439" s="80"/>
      <c r="AG439" s="80"/>
    </row>
    <row r="440" spans="1:33" ht="13.8">
      <c r="A440" s="84"/>
      <c r="B440" s="84"/>
      <c r="C440" s="84"/>
      <c r="D440" s="84"/>
      <c r="E440" s="80"/>
      <c r="F440" s="80"/>
      <c r="G440" s="80"/>
      <c r="H440" s="80"/>
      <c r="I440" s="80"/>
      <c r="J440" s="80"/>
      <c r="K440" s="107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  <c r="AD440" s="80"/>
      <c r="AE440" s="80"/>
      <c r="AF440" s="80"/>
      <c r="AG440" s="80"/>
    </row>
    <row r="441" spans="1:33" ht="13.8">
      <c r="A441" s="84"/>
      <c r="B441" s="84"/>
      <c r="C441" s="84"/>
      <c r="D441" s="84"/>
      <c r="E441" s="80"/>
      <c r="F441" s="80"/>
      <c r="G441" s="80"/>
      <c r="H441" s="80"/>
      <c r="I441" s="80"/>
      <c r="J441" s="80"/>
      <c r="K441" s="107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  <c r="AD441" s="80"/>
      <c r="AE441" s="80"/>
      <c r="AF441" s="80"/>
      <c r="AG441" s="80"/>
    </row>
    <row r="442" spans="1:33" ht="13.8">
      <c r="A442" s="84"/>
      <c r="B442" s="84"/>
      <c r="C442" s="84"/>
      <c r="D442" s="84"/>
      <c r="E442" s="80"/>
      <c r="F442" s="80"/>
      <c r="G442" s="80"/>
      <c r="H442" s="80"/>
      <c r="I442" s="80"/>
      <c r="J442" s="80"/>
      <c r="K442" s="107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  <c r="AD442" s="80"/>
      <c r="AE442" s="80"/>
      <c r="AF442" s="80"/>
      <c r="AG442" s="80"/>
    </row>
    <row r="443" spans="1:33" ht="13.8">
      <c r="A443" s="84"/>
      <c r="B443" s="84"/>
      <c r="C443" s="84"/>
      <c r="D443" s="84"/>
      <c r="E443" s="80"/>
      <c r="F443" s="80"/>
      <c r="G443" s="80"/>
      <c r="H443" s="80"/>
      <c r="I443" s="80"/>
      <c r="J443" s="80"/>
      <c r="K443" s="107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</row>
    <row r="444" spans="1:33" ht="13.8">
      <c r="A444" s="84"/>
      <c r="B444" s="84"/>
      <c r="C444" s="84"/>
      <c r="D444" s="84"/>
      <c r="E444" s="80"/>
      <c r="F444" s="80"/>
      <c r="G444" s="80"/>
      <c r="H444" s="80"/>
      <c r="I444" s="80"/>
      <c r="J444" s="80"/>
      <c r="K444" s="107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  <c r="AD444" s="80"/>
      <c r="AE444" s="80"/>
      <c r="AF444" s="80"/>
      <c r="AG444" s="80"/>
    </row>
    <row r="445" spans="1:33" ht="13.8">
      <c r="A445" s="84"/>
      <c r="B445" s="84"/>
      <c r="C445" s="84"/>
      <c r="D445" s="84"/>
      <c r="E445" s="80"/>
      <c r="F445" s="80"/>
      <c r="G445" s="80"/>
      <c r="H445" s="80"/>
      <c r="I445" s="80"/>
      <c r="J445" s="80"/>
      <c r="K445" s="107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  <c r="AD445" s="80"/>
      <c r="AE445" s="80"/>
      <c r="AF445" s="80"/>
      <c r="AG445" s="80"/>
    </row>
    <row r="446" spans="1:33" ht="13.8">
      <c r="A446" s="84"/>
      <c r="B446" s="84"/>
      <c r="C446" s="84"/>
      <c r="D446" s="84"/>
      <c r="E446" s="80"/>
      <c r="F446" s="80"/>
      <c r="G446" s="80"/>
      <c r="H446" s="80"/>
      <c r="I446" s="80"/>
      <c r="J446" s="80"/>
      <c r="K446" s="107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  <c r="AD446" s="80"/>
      <c r="AE446" s="80"/>
      <c r="AF446" s="80"/>
      <c r="AG446" s="80"/>
    </row>
    <row r="447" spans="1:33" ht="13.8">
      <c r="A447" s="84"/>
      <c r="B447" s="84"/>
      <c r="C447" s="84"/>
      <c r="D447" s="84"/>
      <c r="E447" s="80"/>
      <c r="F447" s="80"/>
      <c r="G447" s="80"/>
      <c r="H447" s="80"/>
      <c r="I447" s="80"/>
      <c r="J447" s="80"/>
      <c r="K447" s="107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  <c r="AD447" s="80"/>
      <c r="AE447" s="80"/>
      <c r="AF447" s="80"/>
      <c r="AG447" s="80"/>
    </row>
    <row r="448" spans="1:33" ht="13.8">
      <c r="A448" s="84"/>
      <c r="B448" s="84"/>
      <c r="C448" s="84"/>
      <c r="D448" s="84"/>
      <c r="E448" s="80"/>
      <c r="F448" s="80"/>
      <c r="G448" s="80"/>
      <c r="H448" s="80"/>
      <c r="I448" s="80"/>
      <c r="J448" s="80"/>
      <c r="K448" s="107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  <c r="AD448" s="80"/>
      <c r="AE448" s="80"/>
      <c r="AF448" s="80"/>
      <c r="AG448" s="80"/>
    </row>
    <row r="449" spans="1:33" ht="13.8">
      <c r="A449" s="84"/>
      <c r="B449" s="84"/>
      <c r="C449" s="84"/>
      <c r="D449" s="84"/>
      <c r="E449" s="80"/>
      <c r="F449" s="80"/>
      <c r="G449" s="80"/>
      <c r="H449" s="80"/>
      <c r="I449" s="80"/>
      <c r="J449" s="80"/>
      <c r="K449" s="107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  <c r="AD449" s="80"/>
      <c r="AE449" s="80"/>
      <c r="AF449" s="80"/>
      <c r="AG449" s="80"/>
    </row>
    <row r="450" spans="1:33" ht="13.8">
      <c r="A450" s="84"/>
      <c r="B450" s="84"/>
      <c r="C450" s="84"/>
      <c r="D450" s="84"/>
      <c r="E450" s="80"/>
      <c r="F450" s="80"/>
      <c r="G450" s="80"/>
      <c r="H450" s="80"/>
      <c r="I450" s="80"/>
      <c r="J450" s="80"/>
      <c r="K450" s="107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  <c r="AD450" s="80"/>
      <c r="AE450" s="80"/>
      <c r="AF450" s="80"/>
      <c r="AG450" s="80"/>
    </row>
    <row r="451" spans="1:33" ht="13.8">
      <c r="A451" s="84"/>
      <c r="B451" s="84"/>
      <c r="C451" s="84"/>
      <c r="D451" s="84"/>
      <c r="E451" s="80"/>
      <c r="F451" s="80"/>
      <c r="G451" s="80"/>
      <c r="H451" s="80"/>
      <c r="I451" s="80"/>
      <c r="J451" s="80"/>
      <c r="K451" s="107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  <c r="AD451" s="80"/>
      <c r="AE451" s="80"/>
      <c r="AF451" s="80"/>
      <c r="AG451" s="80"/>
    </row>
    <row r="452" spans="1:33" ht="13.8">
      <c r="A452" s="84"/>
      <c r="B452" s="84"/>
      <c r="C452" s="84"/>
      <c r="D452" s="84"/>
      <c r="E452" s="80"/>
      <c r="F452" s="80"/>
      <c r="G452" s="80"/>
      <c r="H452" s="80"/>
      <c r="I452" s="80"/>
      <c r="J452" s="80"/>
      <c r="K452" s="107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  <c r="AD452" s="80"/>
      <c r="AE452" s="80"/>
      <c r="AF452" s="80"/>
      <c r="AG452" s="80"/>
    </row>
    <row r="453" spans="1:33" ht="13.8">
      <c r="A453" s="84"/>
      <c r="B453" s="84"/>
      <c r="C453" s="84"/>
      <c r="D453" s="84"/>
      <c r="E453" s="80"/>
      <c r="F453" s="80"/>
      <c r="G453" s="80"/>
      <c r="H453" s="80"/>
      <c r="I453" s="80"/>
      <c r="J453" s="80"/>
      <c r="K453" s="107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  <c r="AD453" s="80"/>
      <c r="AE453" s="80"/>
      <c r="AF453" s="80"/>
      <c r="AG453" s="80"/>
    </row>
    <row r="454" spans="1:33" ht="13.8">
      <c r="A454" s="84"/>
      <c r="B454" s="84"/>
      <c r="C454" s="84"/>
      <c r="D454" s="84"/>
      <c r="E454" s="80"/>
      <c r="F454" s="80"/>
      <c r="G454" s="80"/>
      <c r="H454" s="80"/>
      <c r="I454" s="80"/>
      <c r="J454" s="80"/>
      <c r="K454" s="107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  <c r="AD454" s="80"/>
      <c r="AE454" s="80"/>
      <c r="AF454" s="80"/>
      <c r="AG454" s="80"/>
    </row>
    <row r="455" spans="1:33" ht="13.8">
      <c r="A455" s="84"/>
      <c r="B455" s="84"/>
      <c r="C455" s="84"/>
      <c r="D455" s="84"/>
      <c r="E455" s="80"/>
      <c r="F455" s="80"/>
      <c r="G455" s="80"/>
      <c r="H455" s="80"/>
      <c r="I455" s="80"/>
      <c r="J455" s="80"/>
      <c r="K455" s="107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  <c r="AD455" s="80"/>
      <c r="AE455" s="80"/>
      <c r="AF455" s="80"/>
      <c r="AG455" s="80"/>
    </row>
    <row r="456" spans="1:33" ht="13.8">
      <c r="A456" s="84"/>
      <c r="B456" s="84"/>
      <c r="C456" s="84"/>
      <c r="D456" s="84"/>
      <c r="E456" s="80"/>
      <c r="F456" s="80"/>
      <c r="G456" s="80"/>
      <c r="H456" s="80"/>
      <c r="I456" s="80"/>
      <c r="J456" s="80"/>
      <c r="K456" s="107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  <c r="AD456" s="80"/>
      <c r="AE456" s="80"/>
      <c r="AF456" s="80"/>
      <c r="AG456" s="80"/>
    </row>
    <row r="457" spans="1:33" ht="13.8">
      <c r="A457" s="84"/>
      <c r="B457" s="84"/>
      <c r="C457" s="84"/>
      <c r="D457" s="84"/>
      <c r="E457" s="80"/>
      <c r="F457" s="80"/>
      <c r="G457" s="80"/>
      <c r="H457" s="80"/>
      <c r="I457" s="80"/>
      <c r="J457" s="80"/>
      <c r="K457" s="107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  <c r="AD457" s="80"/>
      <c r="AE457" s="80"/>
      <c r="AF457" s="80"/>
      <c r="AG457" s="80"/>
    </row>
    <row r="458" spans="1:33" ht="13.8">
      <c r="A458" s="84"/>
      <c r="B458" s="84"/>
      <c r="C458" s="84"/>
      <c r="D458" s="84"/>
      <c r="E458" s="80"/>
      <c r="F458" s="80"/>
      <c r="G458" s="80"/>
      <c r="H458" s="80"/>
      <c r="I458" s="80"/>
      <c r="J458" s="80"/>
      <c r="K458" s="107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  <c r="AD458" s="80"/>
      <c r="AE458" s="80"/>
      <c r="AF458" s="80"/>
      <c r="AG458" s="80"/>
    </row>
    <row r="459" spans="1:33" ht="13.8">
      <c r="A459" s="84"/>
      <c r="B459" s="84"/>
      <c r="C459" s="84"/>
      <c r="D459" s="84"/>
      <c r="E459" s="80"/>
      <c r="F459" s="80"/>
      <c r="G459" s="80"/>
      <c r="H459" s="80"/>
      <c r="I459" s="80"/>
      <c r="J459" s="80"/>
      <c r="K459" s="107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  <c r="AD459" s="80"/>
      <c r="AE459" s="80"/>
      <c r="AF459" s="80"/>
      <c r="AG459" s="80"/>
    </row>
    <row r="460" spans="1:33" ht="13.8">
      <c r="A460" s="84"/>
      <c r="B460" s="84"/>
      <c r="C460" s="84"/>
      <c r="D460" s="84"/>
      <c r="E460" s="80"/>
      <c r="F460" s="80"/>
      <c r="G460" s="80"/>
      <c r="H460" s="80"/>
      <c r="I460" s="80"/>
      <c r="J460" s="80"/>
      <c r="K460" s="107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  <c r="AD460" s="80"/>
      <c r="AE460" s="80"/>
      <c r="AF460" s="80"/>
      <c r="AG460" s="80"/>
    </row>
    <row r="461" spans="1:33" ht="13.8">
      <c r="A461" s="84"/>
      <c r="B461" s="84"/>
      <c r="C461" s="84"/>
      <c r="D461" s="84"/>
      <c r="E461" s="80"/>
      <c r="F461" s="80"/>
      <c r="G461" s="80"/>
      <c r="H461" s="80"/>
      <c r="I461" s="80"/>
      <c r="J461" s="80"/>
      <c r="K461" s="107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  <c r="AD461" s="80"/>
      <c r="AE461" s="80"/>
      <c r="AF461" s="80"/>
      <c r="AG461" s="80"/>
    </row>
    <row r="462" spans="1:33" ht="13.8">
      <c r="A462" s="84"/>
      <c r="B462" s="84"/>
      <c r="C462" s="84"/>
      <c r="D462" s="84"/>
      <c r="E462" s="80"/>
      <c r="F462" s="80"/>
      <c r="G462" s="80"/>
      <c r="H462" s="80"/>
      <c r="I462" s="80"/>
      <c r="J462" s="80"/>
      <c r="K462" s="107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  <c r="AD462" s="80"/>
      <c r="AE462" s="80"/>
      <c r="AF462" s="80"/>
      <c r="AG462" s="80"/>
    </row>
    <row r="463" spans="1:33" ht="13.8">
      <c r="A463" s="84"/>
      <c r="B463" s="84"/>
      <c r="C463" s="84"/>
      <c r="D463" s="84"/>
      <c r="E463" s="80"/>
      <c r="F463" s="80"/>
      <c r="G463" s="80"/>
      <c r="H463" s="80"/>
      <c r="I463" s="80"/>
      <c r="J463" s="80"/>
      <c r="K463" s="107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  <c r="AD463" s="80"/>
      <c r="AE463" s="80"/>
      <c r="AF463" s="80"/>
      <c r="AG463" s="80"/>
    </row>
    <row r="464" spans="1:33" ht="13.8">
      <c r="A464" s="84"/>
      <c r="B464" s="84"/>
      <c r="C464" s="84"/>
      <c r="D464" s="84"/>
      <c r="E464" s="80"/>
      <c r="F464" s="80"/>
      <c r="G464" s="80"/>
      <c r="H464" s="80"/>
      <c r="I464" s="80"/>
      <c r="J464" s="80"/>
      <c r="K464" s="107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  <c r="AD464" s="80"/>
      <c r="AE464" s="80"/>
      <c r="AF464" s="80"/>
      <c r="AG464" s="80"/>
    </row>
    <row r="465" spans="1:33" ht="13.8">
      <c r="A465" s="84"/>
      <c r="B465" s="84"/>
      <c r="C465" s="84"/>
      <c r="D465" s="84"/>
      <c r="E465" s="80"/>
      <c r="F465" s="80"/>
      <c r="G465" s="80"/>
      <c r="H465" s="80"/>
      <c r="I465" s="80"/>
      <c r="J465" s="80"/>
      <c r="K465" s="107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  <c r="AD465" s="80"/>
      <c r="AE465" s="80"/>
      <c r="AF465" s="80"/>
      <c r="AG465" s="80"/>
    </row>
    <row r="466" spans="1:33" ht="13.8">
      <c r="A466" s="84"/>
      <c r="B466" s="84"/>
      <c r="C466" s="84"/>
      <c r="D466" s="84"/>
      <c r="E466" s="80"/>
      <c r="F466" s="80"/>
      <c r="G466" s="80"/>
      <c r="H466" s="80"/>
      <c r="I466" s="80"/>
      <c r="J466" s="80"/>
      <c r="K466" s="107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  <c r="AD466" s="80"/>
      <c r="AE466" s="80"/>
      <c r="AF466" s="80"/>
      <c r="AG466" s="80"/>
    </row>
    <row r="467" spans="1:33" ht="13.8">
      <c r="A467" s="84"/>
      <c r="B467" s="84"/>
      <c r="C467" s="84"/>
      <c r="D467" s="84"/>
      <c r="E467" s="80"/>
      <c r="F467" s="80"/>
      <c r="G467" s="80"/>
      <c r="H467" s="80"/>
      <c r="I467" s="80"/>
      <c r="J467" s="80"/>
      <c r="K467" s="107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  <c r="AD467" s="80"/>
      <c r="AE467" s="80"/>
      <c r="AF467" s="80"/>
      <c r="AG467" s="80"/>
    </row>
    <row r="468" spans="1:33" ht="13.8">
      <c r="A468" s="84"/>
      <c r="B468" s="84"/>
      <c r="C468" s="84"/>
      <c r="D468" s="84"/>
      <c r="E468" s="80"/>
      <c r="F468" s="80"/>
      <c r="G468" s="80"/>
      <c r="H468" s="80"/>
      <c r="I468" s="80"/>
      <c r="J468" s="80"/>
      <c r="K468" s="107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  <c r="AD468" s="80"/>
      <c r="AE468" s="80"/>
      <c r="AF468" s="80"/>
      <c r="AG468" s="80"/>
    </row>
    <row r="469" spans="1:33" ht="13.8">
      <c r="A469" s="84"/>
      <c r="B469" s="84"/>
      <c r="C469" s="84"/>
      <c r="D469" s="84"/>
      <c r="E469" s="80"/>
      <c r="F469" s="80"/>
      <c r="G469" s="80"/>
      <c r="H469" s="80"/>
      <c r="I469" s="80"/>
      <c r="J469" s="80"/>
      <c r="K469" s="107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  <c r="AD469" s="80"/>
      <c r="AE469" s="80"/>
      <c r="AF469" s="80"/>
      <c r="AG469" s="80"/>
    </row>
    <row r="470" spans="1:33" ht="13.8">
      <c r="A470" s="84"/>
      <c r="B470" s="84"/>
      <c r="C470" s="84"/>
      <c r="D470" s="84"/>
      <c r="E470" s="80"/>
      <c r="F470" s="80"/>
      <c r="G470" s="80"/>
      <c r="H470" s="80"/>
      <c r="I470" s="80"/>
      <c r="J470" s="80"/>
      <c r="K470" s="107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  <c r="AD470" s="80"/>
      <c r="AE470" s="80"/>
      <c r="AF470" s="80"/>
      <c r="AG470" s="80"/>
    </row>
    <row r="471" spans="1:33" ht="13.8">
      <c r="A471" s="84"/>
      <c r="B471" s="84"/>
      <c r="C471" s="84"/>
      <c r="D471" s="84"/>
      <c r="E471" s="80"/>
      <c r="F471" s="80"/>
      <c r="G471" s="80"/>
      <c r="H471" s="80"/>
      <c r="I471" s="80"/>
      <c r="J471" s="80"/>
      <c r="K471" s="107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  <c r="AD471" s="80"/>
      <c r="AE471" s="80"/>
      <c r="AF471" s="80"/>
      <c r="AG471" s="80"/>
    </row>
    <row r="472" spans="1:33" ht="13.8">
      <c r="A472" s="84"/>
      <c r="B472" s="84"/>
      <c r="C472" s="84"/>
      <c r="D472" s="84"/>
      <c r="E472" s="80"/>
      <c r="F472" s="80"/>
      <c r="G472" s="80"/>
      <c r="H472" s="80"/>
      <c r="I472" s="80"/>
      <c r="J472" s="80"/>
      <c r="K472" s="107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  <c r="AD472" s="80"/>
      <c r="AE472" s="80"/>
      <c r="AF472" s="80"/>
      <c r="AG472" s="80"/>
    </row>
    <row r="473" spans="1:33" ht="13.8">
      <c r="A473" s="84"/>
      <c r="B473" s="84"/>
      <c r="C473" s="84"/>
      <c r="D473" s="84"/>
      <c r="E473" s="80"/>
      <c r="F473" s="80"/>
      <c r="G473" s="80"/>
      <c r="H473" s="80"/>
      <c r="I473" s="80"/>
      <c r="J473" s="80"/>
      <c r="K473" s="107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  <c r="AD473" s="80"/>
      <c r="AE473" s="80"/>
      <c r="AF473" s="80"/>
      <c r="AG473" s="80"/>
    </row>
    <row r="474" spans="1:33" ht="13.8">
      <c r="A474" s="84"/>
      <c r="B474" s="84"/>
      <c r="C474" s="84"/>
      <c r="D474" s="84"/>
      <c r="E474" s="80"/>
      <c r="F474" s="80"/>
      <c r="G474" s="80"/>
      <c r="H474" s="80"/>
      <c r="I474" s="80"/>
      <c r="J474" s="80"/>
      <c r="K474" s="107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  <c r="AD474" s="80"/>
      <c r="AE474" s="80"/>
      <c r="AF474" s="80"/>
      <c r="AG474" s="80"/>
    </row>
    <row r="475" spans="1:33" ht="13.8">
      <c r="A475" s="84"/>
      <c r="B475" s="84"/>
      <c r="C475" s="84"/>
      <c r="D475" s="84"/>
      <c r="E475" s="80"/>
      <c r="F475" s="80"/>
      <c r="G475" s="80"/>
      <c r="H475" s="80"/>
      <c r="I475" s="80"/>
      <c r="J475" s="80"/>
      <c r="K475" s="107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  <c r="AD475" s="80"/>
      <c r="AE475" s="80"/>
      <c r="AF475" s="80"/>
      <c r="AG475" s="80"/>
    </row>
    <row r="476" spans="1:33" ht="13.8">
      <c r="A476" s="84"/>
      <c r="B476" s="84"/>
      <c r="C476" s="84"/>
      <c r="D476" s="84"/>
      <c r="E476" s="80"/>
      <c r="F476" s="80"/>
      <c r="G476" s="80"/>
      <c r="H476" s="80"/>
      <c r="I476" s="80"/>
      <c r="J476" s="80"/>
      <c r="K476" s="107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  <c r="AD476" s="80"/>
      <c r="AE476" s="80"/>
      <c r="AF476" s="80"/>
      <c r="AG476" s="80"/>
    </row>
    <row r="477" spans="1:33" ht="13.8">
      <c r="A477" s="84"/>
      <c r="B477" s="84"/>
      <c r="C477" s="84"/>
      <c r="D477" s="84"/>
      <c r="E477" s="80"/>
      <c r="F477" s="80"/>
      <c r="G477" s="80"/>
      <c r="H477" s="80"/>
      <c r="I477" s="80"/>
      <c r="J477" s="80"/>
      <c r="K477" s="107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  <c r="AD477" s="80"/>
      <c r="AE477" s="80"/>
      <c r="AF477" s="80"/>
      <c r="AG477" s="80"/>
    </row>
    <row r="478" spans="1:33" ht="13.8">
      <c r="A478" s="84"/>
      <c r="B478" s="84"/>
      <c r="C478" s="84"/>
      <c r="D478" s="84"/>
      <c r="E478" s="80"/>
      <c r="F478" s="80"/>
      <c r="G478" s="80"/>
      <c r="H478" s="80"/>
      <c r="I478" s="80"/>
      <c r="J478" s="80"/>
      <c r="K478" s="107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  <c r="AD478" s="80"/>
      <c r="AE478" s="80"/>
      <c r="AF478" s="80"/>
      <c r="AG478" s="80"/>
    </row>
    <row r="479" spans="1:33" ht="13.8">
      <c r="A479" s="84"/>
      <c r="B479" s="84"/>
      <c r="C479" s="84"/>
      <c r="D479" s="84"/>
      <c r="E479" s="80"/>
      <c r="F479" s="80"/>
      <c r="G479" s="80"/>
      <c r="H479" s="80"/>
      <c r="I479" s="80"/>
      <c r="J479" s="80"/>
      <c r="K479" s="107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  <c r="AD479" s="80"/>
      <c r="AE479" s="80"/>
      <c r="AF479" s="80"/>
      <c r="AG479" s="80"/>
    </row>
    <row r="480" spans="1:33" ht="13.8">
      <c r="A480" s="84"/>
      <c r="B480" s="84"/>
      <c r="C480" s="84"/>
      <c r="D480" s="84"/>
      <c r="E480" s="80"/>
      <c r="F480" s="80"/>
      <c r="G480" s="80"/>
      <c r="H480" s="80"/>
      <c r="I480" s="80"/>
      <c r="J480" s="80"/>
      <c r="K480" s="107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  <c r="AD480" s="80"/>
      <c r="AE480" s="80"/>
      <c r="AF480" s="80"/>
      <c r="AG480" s="80"/>
    </row>
    <row r="481" spans="1:33" ht="13.8">
      <c r="A481" s="84"/>
      <c r="B481" s="84"/>
      <c r="C481" s="84"/>
      <c r="D481" s="84"/>
      <c r="E481" s="80"/>
      <c r="F481" s="80"/>
      <c r="G481" s="80"/>
      <c r="H481" s="80"/>
      <c r="I481" s="80"/>
      <c r="J481" s="80"/>
      <c r="K481" s="107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  <c r="AD481" s="80"/>
      <c r="AE481" s="80"/>
      <c r="AF481" s="80"/>
      <c r="AG481" s="80"/>
    </row>
    <row r="482" spans="1:33" ht="13.8">
      <c r="A482" s="84"/>
      <c r="B482" s="84"/>
      <c r="C482" s="84"/>
      <c r="D482" s="84"/>
      <c r="E482" s="80"/>
      <c r="F482" s="80"/>
      <c r="G482" s="80"/>
      <c r="H482" s="80"/>
      <c r="I482" s="80"/>
      <c r="J482" s="80"/>
      <c r="K482" s="107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  <c r="AD482" s="80"/>
      <c r="AE482" s="80"/>
      <c r="AF482" s="80"/>
      <c r="AG482" s="80"/>
    </row>
    <row r="483" spans="1:33" ht="13.8">
      <c r="A483" s="84"/>
      <c r="B483" s="84"/>
      <c r="C483" s="84"/>
      <c r="D483" s="84"/>
      <c r="E483" s="80"/>
      <c r="F483" s="80"/>
      <c r="G483" s="80"/>
      <c r="H483" s="80"/>
      <c r="I483" s="80"/>
      <c r="J483" s="80"/>
      <c r="K483" s="107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</row>
    <row r="484" spans="1:33" ht="13.8">
      <c r="A484" s="84"/>
      <c r="B484" s="84"/>
      <c r="C484" s="84"/>
      <c r="D484" s="84"/>
      <c r="E484" s="80"/>
      <c r="F484" s="80"/>
      <c r="G484" s="80"/>
      <c r="H484" s="80"/>
      <c r="I484" s="80"/>
      <c r="J484" s="80"/>
      <c r="K484" s="107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  <c r="AD484" s="80"/>
      <c r="AE484" s="80"/>
      <c r="AF484" s="80"/>
      <c r="AG484" s="80"/>
    </row>
    <row r="485" spans="1:33" ht="13.8">
      <c r="A485" s="84"/>
      <c r="B485" s="84"/>
      <c r="C485" s="84"/>
      <c r="D485" s="84"/>
      <c r="E485" s="80"/>
      <c r="F485" s="80"/>
      <c r="G485" s="80"/>
      <c r="H485" s="80"/>
      <c r="I485" s="80"/>
      <c r="J485" s="80"/>
      <c r="K485" s="107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  <c r="AD485" s="80"/>
      <c r="AE485" s="80"/>
      <c r="AF485" s="80"/>
      <c r="AG485" s="80"/>
    </row>
    <row r="486" spans="1:33" ht="13.8">
      <c r="A486" s="84"/>
      <c r="B486" s="84"/>
      <c r="C486" s="84"/>
      <c r="D486" s="84"/>
      <c r="E486" s="80"/>
      <c r="F486" s="80"/>
      <c r="G486" s="80"/>
      <c r="H486" s="80"/>
      <c r="I486" s="80"/>
      <c r="J486" s="80"/>
      <c r="K486" s="107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  <c r="AD486" s="80"/>
      <c r="AE486" s="80"/>
      <c r="AF486" s="80"/>
      <c r="AG486" s="80"/>
    </row>
    <row r="487" spans="1:33" ht="13.8">
      <c r="A487" s="84"/>
      <c r="B487" s="84"/>
      <c r="C487" s="84"/>
      <c r="D487" s="84"/>
      <c r="E487" s="80"/>
      <c r="F487" s="80"/>
      <c r="G487" s="80"/>
      <c r="H487" s="80"/>
      <c r="I487" s="80"/>
      <c r="J487" s="80"/>
      <c r="K487" s="107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  <c r="AD487" s="80"/>
      <c r="AE487" s="80"/>
      <c r="AF487" s="80"/>
      <c r="AG487" s="80"/>
    </row>
    <row r="488" spans="1:33" ht="13.8">
      <c r="A488" s="84"/>
      <c r="B488" s="84"/>
      <c r="C488" s="84"/>
      <c r="D488" s="84"/>
      <c r="E488" s="80"/>
      <c r="F488" s="80"/>
      <c r="G488" s="80"/>
      <c r="H488" s="80"/>
      <c r="I488" s="80"/>
      <c r="J488" s="80"/>
      <c r="K488" s="107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  <c r="AE488" s="80"/>
      <c r="AF488" s="80"/>
      <c r="AG488" s="80"/>
    </row>
    <row r="489" spans="1:33" ht="13.8">
      <c r="A489" s="84"/>
      <c r="B489" s="84"/>
      <c r="C489" s="84"/>
      <c r="D489" s="84"/>
      <c r="E489" s="80"/>
      <c r="F489" s="80"/>
      <c r="G489" s="80"/>
      <c r="H489" s="80"/>
      <c r="I489" s="80"/>
      <c r="J489" s="80"/>
      <c r="K489" s="107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  <c r="AD489" s="80"/>
      <c r="AE489" s="80"/>
      <c r="AF489" s="80"/>
      <c r="AG489" s="80"/>
    </row>
    <row r="490" spans="1:33" ht="13.8">
      <c r="A490" s="84"/>
      <c r="B490" s="84"/>
      <c r="C490" s="84"/>
      <c r="D490" s="84"/>
      <c r="E490" s="80"/>
      <c r="F490" s="80"/>
      <c r="G490" s="80"/>
      <c r="H490" s="80"/>
      <c r="I490" s="80"/>
      <c r="J490" s="80"/>
      <c r="K490" s="107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  <c r="AD490" s="80"/>
      <c r="AE490" s="80"/>
      <c r="AF490" s="80"/>
      <c r="AG490" s="80"/>
    </row>
    <row r="491" spans="1:33" ht="13.8">
      <c r="A491" s="84"/>
      <c r="B491" s="84"/>
      <c r="C491" s="84"/>
      <c r="D491" s="84"/>
      <c r="E491" s="80"/>
      <c r="F491" s="80"/>
      <c r="G491" s="80"/>
      <c r="H491" s="80"/>
      <c r="I491" s="80"/>
      <c r="J491" s="80"/>
      <c r="K491" s="107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  <c r="AD491" s="80"/>
      <c r="AE491" s="80"/>
      <c r="AF491" s="80"/>
      <c r="AG491" s="80"/>
    </row>
    <row r="492" spans="1:33" ht="13.8">
      <c r="A492" s="84"/>
      <c r="B492" s="84"/>
      <c r="C492" s="84"/>
      <c r="D492" s="84"/>
      <c r="E492" s="80"/>
      <c r="F492" s="80"/>
      <c r="G492" s="80"/>
      <c r="H492" s="80"/>
      <c r="I492" s="80"/>
      <c r="J492" s="80"/>
      <c r="K492" s="107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  <c r="AD492" s="80"/>
      <c r="AE492" s="80"/>
      <c r="AF492" s="80"/>
      <c r="AG492" s="80"/>
    </row>
    <row r="493" spans="1:33" ht="13.8">
      <c r="A493" s="84"/>
      <c r="B493" s="84"/>
      <c r="C493" s="84"/>
      <c r="D493" s="84"/>
      <c r="E493" s="80"/>
      <c r="F493" s="80"/>
      <c r="G493" s="80"/>
      <c r="H493" s="80"/>
      <c r="I493" s="80"/>
      <c r="J493" s="80"/>
      <c r="K493" s="107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  <c r="AD493" s="80"/>
      <c r="AE493" s="80"/>
      <c r="AF493" s="80"/>
      <c r="AG493" s="80"/>
    </row>
    <row r="494" spans="1:33" ht="13.8">
      <c r="A494" s="84"/>
      <c r="B494" s="84"/>
      <c r="C494" s="84"/>
      <c r="D494" s="84"/>
      <c r="E494" s="80"/>
      <c r="F494" s="80"/>
      <c r="G494" s="80"/>
      <c r="H494" s="80"/>
      <c r="I494" s="80"/>
      <c r="J494" s="80"/>
      <c r="K494" s="107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  <c r="AD494" s="80"/>
      <c r="AE494" s="80"/>
      <c r="AF494" s="80"/>
      <c r="AG494" s="80"/>
    </row>
    <row r="495" spans="1:33" ht="13.8">
      <c r="A495" s="84"/>
      <c r="B495" s="84"/>
      <c r="C495" s="84"/>
      <c r="D495" s="84"/>
      <c r="E495" s="80"/>
      <c r="F495" s="80"/>
      <c r="G495" s="80"/>
      <c r="H495" s="80"/>
      <c r="I495" s="80"/>
      <c r="J495" s="80"/>
      <c r="K495" s="107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  <c r="AD495" s="80"/>
      <c r="AE495" s="80"/>
      <c r="AF495" s="80"/>
      <c r="AG495" s="80"/>
    </row>
    <row r="496" spans="1:33" ht="13.8">
      <c r="A496" s="84"/>
      <c r="B496" s="84"/>
      <c r="C496" s="84"/>
      <c r="D496" s="84"/>
      <c r="E496" s="80"/>
      <c r="F496" s="80"/>
      <c r="G496" s="80"/>
      <c r="H496" s="80"/>
      <c r="I496" s="80"/>
      <c r="J496" s="80"/>
      <c r="K496" s="107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  <c r="AD496" s="80"/>
      <c r="AE496" s="80"/>
      <c r="AF496" s="80"/>
      <c r="AG496" s="80"/>
    </row>
    <row r="497" spans="1:33" ht="13.8">
      <c r="A497" s="84"/>
      <c r="B497" s="84"/>
      <c r="C497" s="84"/>
      <c r="D497" s="84"/>
      <c r="E497" s="80"/>
      <c r="F497" s="80"/>
      <c r="G497" s="80"/>
      <c r="H497" s="80"/>
      <c r="I497" s="80"/>
      <c r="J497" s="80"/>
      <c r="K497" s="107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  <c r="AD497" s="80"/>
      <c r="AE497" s="80"/>
      <c r="AF497" s="80"/>
      <c r="AG497" s="80"/>
    </row>
    <row r="498" spans="1:33" ht="13.8">
      <c r="A498" s="84"/>
      <c r="B498" s="84"/>
      <c r="C498" s="84"/>
      <c r="D498" s="84"/>
      <c r="E498" s="80"/>
      <c r="F498" s="80"/>
      <c r="G498" s="80"/>
      <c r="H498" s="80"/>
      <c r="I498" s="80"/>
      <c r="J498" s="80"/>
      <c r="K498" s="107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  <c r="AD498" s="80"/>
      <c r="AE498" s="80"/>
      <c r="AF498" s="80"/>
      <c r="AG498" s="80"/>
    </row>
    <row r="499" spans="1:33" ht="13.8">
      <c r="A499" s="84"/>
      <c r="B499" s="84"/>
      <c r="C499" s="84"/>
      <c r="D499" s="84"/>
      <c r="E499" s="80"/>
      <c r="F499" s="80"/>
      <c r="G499" s="80"/>
      <c r="H499" s="80"/>
      <c r="I499" s="80"/>
      <c r="J499" s="80"/>
      <c r="K499" s="107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  <c r="AD499" s="80"/>
      <c r="AE499" s="80"/>
      <c r="AF499" s="80"/>
      <c r="AG499" s="80"/>
    </row>
    <row r="500" spans="1:33" ht="13.8">
      <c r="A500" s="84"/>
      <c r="B500" s="84"/>
      <c r="C500" s="84"/>
      <c r="D500" s="84"/>
      <c r="E500" s="80"/>
      <c r="F500" s="80"/>
      <c r="G500" s="80"/>
      <c r="H500" s="80"/>
      <c r="I500" s="80"/>
      <c r="J500" s="80"/>
      <c r="K500" s="107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  <c r="AD500" s="80"/>
      <c r="AE500" s="80"/>
      <c r="AF500" s="80"/>
      <c r="AG500" s="80"/>
    </row>
    <row r="501" spans="1:33" ht="13.8">
      <c r="A501" s="84"/>
      <c r="B501" s="84"/>
      <c r="C501" s="84"/>
      <c r="D501" s="84"/>
      <c r="E501" s="80"/>
      <c r="F501" s="80"/>
      <c r="G501" s="80"/>
      <c r="H501" s="80"/>
      <c r="I501" s="80"/>
      <c r="J501" s="80"/>
      <c r="K501" s="107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  <c r="AD501" s="80"/>
      <c r="AE501" s="80"/>
      <c r="AF501" s="80"/>
      <c r="AG501" s="80"/>
    </row>
    <row r="502" spans="1:33" ht="13.8">
      <c r="A502" s="84"/>
      <c r="B502" s="84"/>
      <c r="C502" s="84"/>
      <c r="D502" s="84"/>
      <c r="E502" s="80"/>
      <c r="F502" s="80"/>
      <c r="G502" s="80"/>
      <c r="H502" s="80"/>
      <c r="I502" s="80"/>
      <c r="J502" s="80"/>
      <c r="K502" s="107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  <c r="AD502" s="80"/>
      <c r="AE502" s="80"/>
      <c r="AF502" s="80"/>
      <c r="AG502" s="80"/>
    </row>
    <row r="503" spans="1:33" ht="13.8">
      <c r="A503" s="84"/>
      <c r="B503" s="84"/>
      <c r="C503" s="84"/>
      <c r="D503" s="84"/>
      <c r="E503" s="80"/>
      <c r="F503" s="80"/>
      <c r="G503" s="80"/>
      <c r="H503" s="80"/>
      <c r="I503" s="80"/>
      <c r="J503" s="80"/>
      <c r="K503" s="107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  <c r="AD503" s="80"/>
      <c r="AE503" s="80"/>
      <c r="AF503" s="80"/>
      <c r="AG503" s="80"/>
    </row>
    <row r="504" spans="1:33" ht="13.8">
      <c r="A504" s="84"/>
      <c r="B504" s="84"/>
      <c r="C504" s="84"/>
      <c r="D504" s="84"/>
      <c r="E504" s="80"/>
      <c r="F504" s="80"/>
      <c r="G504" s="80"/>
      <c r="H504" s="80"/>
      <c r="I504" s="80"/>
      <c r="J504" s="80"/>
      <c r="K504" s="107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  <c r="AD504" s="80"/>
      <c r="AE504" s="80"/>
      <c r="AF504" s="80"/>
      <c r="AG504" s="80"/>
    </row>
    <row r="505" spans="1:33" ht="13.8">
      <c r="A505" s="84"/>
      <c r="B505" s="84"/>
      <c r="C505" s="84"/>
      <c r="D505" s="84"/>
      <c r="E505" s="80"/>
      <c r="F505" s="80"/>
      <c r="G505" s="80"/>
      <c r="H505" s="80"/>
      <c r="I505" s="80"/>
      <c r="J505" s="80"/>
      <c r="K505" s="107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  <c r="AD505" s="80"/>
      <c r="AE505" s="80"/>
      <c r="AF505" s="80"/>
      <c r="AG505" s="80"/>
    </row>
    <row r="506" spans="1:33" ht="13.8">
      <c r="A506" s="84"/>
      <c r="B506" s="84"/>
      <c r="C506" s="84"/>
      <c r="D506" s="84"/>
      <c r="E506" s="80"/>
      <c r="F506" s="80"/>
      <c r="G506" s="80"/>
      <c r="H506" s="80"/>
      <c r="I506" s="80"/>
      <c r="J506" s="80"/>
      <c r="K506" s="107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  <c r="AD506" s="80"/>
      <c r="AE506" s="80"/>
      <c r="AF506" s="80"/>
      <c r="AG506" s="80"/>
    </row>
    <row r="507" spans="1:33" ht="13.8">
      <c r="A507" s="84"/>
      <c r="B507" s="84"/>
      <c r="C507" s="84"/>
      <c r="D507" s="84"/>
      <c r="E507" s="80"/>
      <c r="F507" s="80"/>
      <c r="G507" s="80"/>
      <c r="H507" s="80"/>
      <c r="I507" s="80"/>
      <c r="J507" s="80"/>
      <c r="K507" s="107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  <c r="AD507" s="80"/>
      <c r="AE507" s="80"/>
      <c r="AF507" s="80"/>
      <c r="AG507" s="80"/>
    </row>
    <row r="508" spans="1:33" ht="13.8">
      <c r="A508" s="84"/>
      <c r="B508" s="84"/>
      <c r="C508" s="84"/>
      <c r="D508" s="84"/>
      <c r="E508" s="80"/>
      <c r="F508" s="80"/>
      <c r="G508" s="80"/>
      <c r="H508" s="80"/>
      <c r="I508" s="80"/>
      <c r="J508" s="80"/>
      <c r="K508" s="107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  <c r="AD508" s="80"/>
      <c r="AE508" s="80"/>
      <c r="AF508" s="80"/>
      <c r="AG508" s="80"/>
    </row>
    <row r="509" spans="1:33" ht="13.8">
      <c r="A509" s="84"/>
      <c r="B509" s="84"/>
      <c r="C509" s="84"/>
      <c r="D509" s="84"/>
      <c r="E509" s="80"/>
      <c r="F509" s="80"/>
      <c r="G509" s="80"/>
      <c r="H509" s="80"/>
      <c r="I509" s="80"/>
      <c r="J509" s="80"/>
      <c r="K509" s="107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  <c r="AD509" s="80"/>
      <c r="AE509" s="80"/>
      <c r="AF509" s="80"/>
      <c r="AG509" s="80"/>
    </row>
    <row r="510" spans="1:33" ht="13.8">
      <c r="A510" s="84"/>
      <c r="B510" s="84"/>
      <c r="C510" s="84"/>
      <c r="D510" s="84"/>
      <c r="E510" s="80"/>
      <c r="F510" s="80"/>
      <c r="G510" s="80"/>
      <c r="H510" s="80"/>
      <c r="I510" s="80"/>
      <c r="J510" s="80"/>
      <c r="K510" s="107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  <c r="AD510" s="80"/>
      <c r="AE510" s="80"/>
      <c r="AF510" s="80"/>
      <c r="AG510" s="80"/>
    </row>
    <row r="511" spans="1:33" ht="13.8">
      <c r="A511" s="84"/>
      <c r="B511" s="84"/>
      <c r="C511" s="84"/>
      <c r="D511" s="84"/>
      <c r="E511" s="80"/>
      <c r="F511" s="80"/>
      <c r="G511" s="80"/>
      <c r="H511" s="80"/>
      <c r="I511" s="80"/>
      <c r="J511" s="80"/>
      <c r="K511" s="107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  <c r="AD511" s="80"/>
      <c r="AE511" s="80"/>
      <c r="AF511" s="80"/>
      <c r="AG511" s="80"/>
    </row>
    <row r="512" spans="1:33" ht="13.8">
      <c r="A512" s="84"/>
      <c r="B512" s="84"/>
      <c r="C512" s="84"/>
      <c r="D512" s="84"/>
      <c r="E512" s="80"/>
      <c r="F512" s="80"/>
      <c r="G512" s="80"/>
      <c r="H512" s="80"/>
      <c r="I512" s="80"/>
      <c r="J512" s="80"/>
      <c r="K512" s="107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  <c r="AD512" s="80"/>
      <c r="AE512" s="80"/>
      <c r="AF512" s="80"/>
      <c r="AG512" s="80"/>
    </row>
    <row r="513" spans="1:33" ht="13.8">
      <c r="A513" s="84"/>
      <c r="B513" s="84"/>
      <c r="C513" s="84"/>
      <c r="D513" s="84"/>
      <c r="E513" s="80"/>
      <c r="F513" s="80"/>
      <c r="G513" s="80"/>
      <c r="H513" s="80"/>
      <c r="I513" s="80"/>
      <c r="J513" s="80"/>
      <c r="K513" s="107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  <c r="AD513" s="80"/>
      <c r="AE513" s="80"/>
      <c r="AF513" s="80"/>
      <c r="AG513" s="80"/>
    </row>
    <row r="514" spans="1:33" ht="13.8">
      <c r="A514" s="84"/>
      <c r="B514" s="84"/>
      <c r="C514" s="84"/>
      <c r="D514" s="84"/>
      <c r="E514" s="80"/>
      <c r="F514" s="80"/>
      <c r="G514" s="80"/>
      <c r="H514" s="80"/>
      <c r="I514" s="80"/>
      <c r="J514" s="80"/>
      <c r="K514" s="107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  <c r="AD514" s="80"/>
      <c r="AE514" s="80"/>
      <c r="AF514" s="80"/>
      <c r="AG514" s="80"/>
    </row>
    <row r="515" spans="1:33" ht="13.8">
      <c r="A515" s="84"/>
      <c r="B515" s="84"/>
      <c r="C515" s="84"/>
      <c r="D515" s="84"/>
      <c r="E515" s="80"/>
      <c r="F515" s="80"/>
      <c r="G515" s="80"/>
      <c r="H515" s="80"/>
      <c r="I515" s="80"/>
      <c r="J515" s="80"/>
      <c r="K515" s="107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  <c r="AD515" s="80"/>
      <c r="AE515" s="80"/>
      <c r="AF515" s="80"/>
      <c r="AG515" s="80"/>
    </row>
    <row r="516" spans="1:33" ht="13.8">
      <c r="A516" s="84"/>
      <c r="B516" s="84"/>
      <c r="C516" s="84"/>
      <c r="D516" s="84"/>
      <c r="E516" s="80"/>
      <c r="F516" s="80"/>
      <c r="G516" s="80"/>
      <c r="H516" s="80"/>
      <c r="I516" s="80"/>
      <c r="J516" s="80"/>
      <c r="K516" s="107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  <c r="AD516" s="80"/>
      <c r="AE516" s="80"/>
      <c r="AF516" s="80"/>
      <c r="AG516" s="80"/>
    </row>
    <row r="517" spans="1:33" ht="13.8">
      <c r="A517" s="84"/>
      <c r="B517" s="84"/>
      <c r="C517" s="84"/>
      <c r="D517" s="84"/>
      <c r="E517" s="80"/>
      <c r="F517" s="80"/>
      <c r="G517" s="80"/>
      <c r="H517" s="80"/>
      <c r="I517" s="80"/>
      <c r="J517" s="80"/>
      <c r="K517" s="107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  <c r="AD517" s="80"/>
      <c r="AE517" s="80"/>
      <c r="AF517" s="80"/>
      <c r="AG517" s="80"/>
    </row>
    <row r="518" spans="1:33" ht="13.8">
      <c r="A518" s="84"/>
      <c r="B518" s="84"/>
      <c r="C518" s="84"/>
      <c r="D518" s="84"/>
      <c r="E518" s="80"/>
      <c r="F518" s="80"/>
      <c r="G518" s="80"/>
      <c r="H518" s="80"/>
      <c r="I518" s="80"/>
      <c r="J518" s="80"/>
      <c r="K518" s="107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  <c r="AE518" s="80"/>
      <c r="AF518" s="80"/>
      <c r="AG518" s="80"/>
    </row>
    <row r="519" spans="1:33" ht="13.8">
      <c r="A519" s="84"/>
      <c r="B519" s="84"/>
      <c r="C519" s="84"/>
      <c r="D519" s="84"/>
      <c r="E519" s="80"/>
      <c r="F519" s="80"/>
      <c r="G519" s="80"/>
      <c r="H519" s="80"/>
      <c r="I519" s="80"/>
      <c r="J519" s="80"/>
      <c r="K519" s="107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  <c r="AD519" s="80"/>
      <c r="AE519" s="80"/>
      <c r="AF519" s="80"/>
      <c r="AG519" s="80"/>
    </row>
    <row r="520" spans="1:33" ht="13.8">
      <c r="A520" s="84"/>
      <c r="B520" s="84"/>
      <c r="C520" s="84"/>
      <c r="D520" s="84"/>
      <c r="E520" s="80"/>
      <c r="F520" s="80"/>
      <c r="G520" s="80"/>
      <c r="H520" s="80"/>
      <c r="I520" s="80"/>
      <c r="J520" s="80"/>
      <c r="K520" s="107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  <c r="AD520" s="80"/>
      <c r="AE520" s="80"/>
      <c r="AF520" s="80"/>
      <c r="AG520" s="80"/>
    </row>
    <row r="521" spans="1:33" ht="13.8">
      <c r="A521" s="84"/>
      <c r="B521" s="84"/>
      <c r="C521" s="84"/>
      <c r="D521" s="84"/>
      <c r="E521" s="80"/>
      <c r="F521" s="80"/>
      <c r="G521" s="80"/>
      <c r="H521" s="80"/>
      <c r="I521" s="80"/>
      <c r="J521" s="80"/>
      <c r="K521" s="107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  <c r="AD521" s="80"/>
      <c r="AE521" s="80"/>
      <c r="AF521" s="80"/>
      <c r="AG521" s="80"/>
    </row>
    <row r="522" spans="1:33" ht="13.8">
      <c r="A522" s="84"/>
      <c r="B522" s="84"/>
      <c r="C522" s="84"/>
      <c r="D522" s="84"/>
      <c r="E522" s="80"/>
      <c r="F522" s="80"/>
      <c r="G522" s="80"/>
      <c r="H522" s="80"/>
      <c r="I522" s="80"/>
      <c r="J522" s="80"/>
      <c r="K522" s="107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  <c r="AD522" s="80"/>
      <c r="AE522" s="80"/>
      <c r="AF522" s="80"/>
      <c r="AG522" s="80"/>
    </row>
    <row r="523" spans="1:33" ht="13.8">
      <c r="A523" s="84"/>
      <c r="B523" s="84"/>
      <c r="C523" s="84"/>
      <c r="D523" s="84"/>
      <c r="E523" s="80"/>
      <c r="F523" s="80"/>
      <c r="G523" s="80"/>
      <c r="H523" s="80"/>
      <c r="I523" s="80"/>
      <c r="J523" s="80"/>
      <c r="K523" s="107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</row>
    <row r="524" spans="1:33" ht="13.8">
      <c r="A524" s="84"/>
      <c r="B524" s="84"/>
      <c r="C524" s="84"/>
      <c r="D524" s="84"/>
      <c r="E524" s="80"/>
      <c r="F524" s="80"/>
      <c r="G524" s="80"/>
      <c r="H524" s="80"/>
      <c r="I524" s="80"/>
      <c r="J524" s="80"/>
      <c r="K524" s="107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  <c r="AD524" s="80"/>
      <c r="AE524" s="80"/>
      <c r="AF524" s="80"/>
      <c r="AG524" s="80"/>
    </row>
    <row r="525" spans="1:33" ht="13.8">
      <c r="A525" s="84"/>
      <c r="B525" s="84"/>
      <c r="C525" s="84"/>
      <c r="D525" s="84"/>
      <c r="E525" s="80"/>
      <c r="F525" s="80"/>
      <c r="G525" s="80"/>
      <c r="H525" s="80"/>
      <c r="I525" s="80"/>
      <c r="J525" s="80"/>
      <c r="K525" s="107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  <c r="AD525" s="80"/>
      <c r="AE525" s="80"/>
      <c r="AF525" s="80"/>
      <c r="AG525" s="80"/>
    </row>
    <row r="526" spans="1:33" ht="13.8">
      <c r="A526" s="84"/>
      <c r="B526" s="84"/>
      <c r="C526" s="84"/>
      <c r="D526" s="84"/>
      <c r="E526" s="80"/>
      <c r="F526" s="80"/>
      <c r="G526" s="80"/>
      <c r="H526" s="80"/>
      <c r="I526" s="80"/>
      <c r="J526" s="80"/>
      <c r="K526" s="107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  <c r="AD526" s="80"/>
      <c r="AE526" s="80"/>
      <c r="AF526" s="80"/>
      <c r="AG526" s="80"/>
    </row>
    <row r="527" spans="1:33" ht="13.8">
      <c r="A527" s="84"/>
      <c r="B527" s="84"/>
      <c r="C527" s="84"/>
      <c r="D527" s="84"/>
      <c r="E527" s="80"/>
      <c r="F527" s="80"/>
      <c r="G527" s="80"/>
      <c r="H527" s="80"/>
      <c r="I527" s="80"/>
      <c r="J527" s="80"/>
      <c r="K527" s="107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  <c r="AD527" s="80"/>
      <c r="AE527" s="80"/>
      <c r="AF527" s="80"/>
      <c r="AG527" s="80"/>
    </row>
    <row r="528" spans="1:33" ht="13.8">
      <c r="A528" s="84"/>
      <c r="B528" s="84"/>
      <c r="C528" s="84"/>
      <c r="D528" s="84"/>
      <c r="E528" s="80"/>
      <c r="F528" s="80"/>
      <c r="G528" s="80"/>
      <c r="H528" s="80"/>
      <c r="I528" s="80"/>
      <c r="J528" s="80"/>
      <c r="K528" s="107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  <c r="AD528" s="80"/>
      <c r="AE528" s="80"/>
      <c r="AF528" s="80"/>
      <c r="AG528" s="80"/>
    </row>
    <row r="529" spans="1:33" ht="13.8">
      <c r="A529" s="84"/>
      <c r="B529" s="84"/>
      <c r="C529" s="84"/>
      <c r="D529" s="84"/>
      <c r="E529" s="80"/>
      <c r="F529" s="80"/>
      <c r="G529" s="80"/>
      <c r="H529" s="80"/>
      <c r="I529" s="80"/>
      <c r="J529" s="80"/>
      <c r="K529" s="107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  <c r="AD529" s="80"/>
      <c r="AE529" s="80"/>
      <c r="AF529" s="80"/>
      <c r="AG529" s="80"/>
    </row>
    <row r="530" spans="1:33" ht="13.8">
      <c r="A530" s="84"/>
      <c r="B530" s="84"/>
      <c r="C530" s="84"/>
      <c r="D530" s="84"/>
      <c r="E530" s="80"/>
      <c r="F530" s="80"/>
      <c r="G530" s="80"/>
      <c r="H530" s="80"/>
      <c r="I530" s="80"/>
      <c r="J530" s="80"/>
      <c r="K530" s="107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  <c r="AD530" s="80"/>
      <c r="AE530" s="80"/>
      <c r="AF530" s="80"/>
      <c r="AG530" s="80"/>
    </row>
    <row r="531" spans="1:33" ht="13.8">
      <c r="A531" s="84"/>
      <c r="B531" s="84"/>
      <c r="C531" s="84"/>
      <c r="D531" s="84"/>
      <c r="E531" s="80"/>
      <c r="F531" s="80"/>
      <c r="G531" s="80"/>
      <c r="H531" s="80"/>
      <c r="I531" s="80"/>
      <c r="J531" s="80"/>
      <c r="K531" s="107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  <c r="AD531" s="80"/>
      <c r="AE531" s="80"/>
      <c r="AF531" s="80"/>
      <c r="AG531" s="80"/>
    </row>
    <row r="532" spans="1:33" ht="13.8">
      <c r="A532" s="84"/>
      <c r="B532" s="84"/>
      <c r="C532" s="84"/>
      <c r="D532" s="84"/>
      <c r="E532" s="80"/>
      <c r="F532" s="80"/>
      <c r="G532" s="80"/>
      <c r="H532" s="80"/>
      <c r="I532" s="80"/>
      <c r="J532" s="80"/>
      <c r="K532" s="107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  <c r="AD532" s="80"/>
      <c r="AE532" s="80"/>
      <c r="AF532" s="80"/>
      <c r="AG532" s="80"/>
    </row>
    <row r="533" spans="1:33" ht="13.8">
      <c r="A533" s="84"/>
      <c r="B533" s="84"/>
      <c r="C533" s="84"/>
      <c r="D533" s="84"/>
      <c r="E533" s="80"/>
      <c r="F533" s="80"/>
      <c r="G533" s="80"/>
      <c r="H533" s="80"/>
      <c r="I533" s="80"/>
      <c r="J533" s="80"/>
      <c r="K533" s="107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  <c r="AD533" s="80"/>
      <c r="AE533" s="80"/>
      <c r="AF533" s="80"/>
      <c r="AG533" s="80"/>
    </row>
    <row r="534" spans="1:33" ht="13.8">
      <c r="A534" s="84"/>
      <c r="B534" s="84"/>
      <c r="C534" s="84"/>
      <c r="D534" s="84"/>
      <c r="E534" s="80"/>
      <c r="F534" s="80"/>
      <c r="G534" s="80"/>
      <c r="H534" s="80"/>
      <c r="I534" s="80"/>
      <c r="J534" s="80"/>
      <c r="K534" s="107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  <c r="AE534" s="80"/>
      <c r="AF534" s="80"/>
      <c r="AG534" s="80"/>
    </row>
    <row r="535" spans="1:33" ht="13.8">
      <c r="A535" s="84"/>
      <c r="B535" s="84"/>
      <c r="C535" s="84"/>
      <c r="D535" s="84"/>
      <c r="E535" s="80"/>
      <c r="F535" s="80"/>
      <c r="G535" s="80"/>
      <c r="H535" s="80"/>
      <c r="I535" s="80"/>
      <c r="J535" s="80"/>
      <c r="K535" s="107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  <c r="AE535" s="80"/>
      <c r="AF535" s="80"/>
      <c r="AG535" s="80"/>
    </row>
    <row r="536" spans="1:33" ht="13.8">
      <c r="A536" s="84"/>
      <c r="B536" s="84"/>
      <c r="C536" s="84"/>
      <c r="D536" s="84"/>
      <c r="E536" s="80"/>
      <c r="F536" s="80"/>
      <c r="G536" s="80"/>
      <c r="H536" s="80"/>
      <c r="I536" s="80"/>
      <c r="J536" s="80"/>
      <c r="K536" s="107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  <c r="AD536" s="80"/>
      <c r="AE536" s="80"/>
      <c r="AF536" s="80"/>
      <c r="AG536" s="80"/>
    </row>
    <row r="537" spans="1:33" ht="13.8">
      <c r="A537" s="84"/>
      <c r="B537" s="84"/>
      <c r="C537" s="84"/>
      <c r="D537" s="84"/>
      <c r="E537" s="80"/>
      <c r="F537" s="80"/>
      <c r="G537" s="80"/>
      <c r="H537" s="80"/>
      <c r="I537" s="80"/>
      <c r="J537" s="80"/>
      <c r="K537" s="107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  <c r="AD537" s="80"/>
      <c r="AE537" s="80"/>
      <c r="AF537" s="80"/>
      <c r="AG537" s="80"/>
    </row>
    <row r="538" spans="1:33" ht="13.8">
      <c r="A538" s="84"/>
      <c r="B538" s="84"/>
      <c r="C538" s="84"/>
      <c r="D538" s="84"/>
      <c r="E538" s="80"/>
      <c r="F538" s="80"/>
      <c r="G538" s="80"/>
      <c r="H538" s="80"/>
      <c r="I538" s="80"/>
      <c r="J538" s="80"/>
      <c r="K538" s="107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  <c r="AD538" s="80"/>
      <c r="AE538" s="80"/>
      <c r="AF538" s="80"/>
      <c r="AG538" s="80"/>
    </row>
    <row r="539" spans="1:33" ht="13.8">
      <c r="A539" s="84"/>
      <c r="B539" s="84"/>
      <c r="C539" s="84"/>
      <c r="D539" s="84"/>
      <c r="E539" s="80"/>
      <c r="F539" s="80"/>
      <c r="G539" s="80"/>
      <c r="H539" s="80"/>
      <c r="I539" s="80"/>
      <c r="J539" s="80"/>
      <c r="K539" s="107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  <c r="AD539" s="80"/>
      <c r="AE539" s="80"/>
      <c r="AF539" s="80"/>
      <c r="AG539" s="80"/>
    </row>
    <row r="540" spans="1:33" ht="13.8">
      <c r="A540" s="84"/>
      <c r="B540" s="84"/>
      <c r="C540" s="84"/>
      <c r="D540" s="84"/>
      <c r="E540" s="80"/>
      <c r="F540" s="80"/>
      <c r="G540" s="80"/>
      <c r="H540" s="80"/>
      <c r="I540" s="80"/>
      <c r="J540" s="80"/>
      <c r="K540" s="107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  <c r="AD540" s="80"/>
      <c r="AE540" s="80"/>
      <c r="AF540" s="80"/>
      <c r="AG540" s="80"/>
    </row>
    <row r="541" spans="1:33" ht="13.8">
      <c r="A541" s="84"/>
      <c r="B541" s="84"/>
      <c r="C541" s="84"/>
      <c r="D541" s="84"/>
      <c r="E541" s="80"/>
      <c r="F541" s="80"/>
      <c r="G541" s="80"/>
      <c r="H541" s="80"/>
      <c r="I541" s="80"/>
      <c r="J541" s="80"/>
      <c r="K541" s="107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  <c r="AD541" s="80"/>
      <c r="AE541" s="80"/>
      <c r="AF541" s="80"/>
      <c r="AG541" s="80"/>
    </row>
    <row r="542" spans="1:33" ht="13.8">
      <c r="A542" s="84"/>
      <c r="B542" s="84"/>
      <c r="C542" s="84"/>
      <c r="D542" s="84"/>
      <c r="E542" s="80"/>
      <c r="F542" s="80"/>
      <c r="G542" s="80"/>
      <c r="H542" s="80"/>
      <c r="I542" s="80"/>
      <c r="J542" s="80"/>
      <c r="K542" s="107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  <c r="AD542" s="80"/>
      <c r="AE542" s="80"/>
      <c r="AF542" s="80"/>
      <c r="AG542" s="80"/>
    </row>
    <row r="543" spans="1:33" ht="13.8">
      <c r="A543" s="84"/>
      <c r="B543" s="84"/>
      <c r="C543" s="84"/>
      <c r="D543" s="84"/>
      <c r="E543" s="80"/>
      <c r="F543" s="80"/>
      <c r="G543" s="80"/>
      <c r="H543" s="80"/>
      <c r="I543" s="80"/>
      <c r="J543" s="80"/>
      <c r="K543" s="107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  <c r="AD543" s="80"/>
      <c r="AE543" s="80"/>
      <c r="AF543" s="80"/>
      <c r="AG543" s="80"/>
    </row>
    <row r="544" spans="1:33" ht="13.8">
      <c r="A544" s="84"/>
      <c r="B544" s="84"/>
      <c r="C544" s="84"/>
      <c r="D544" s="84"/>
      <c r="E544" s="80"/>
      <c r="F544" s="80"/>
      <c r="G544" s="80"/>
      <c r="H544" s="80"/>
      <c r="I544" s="80"/>
      <c r="J544" s="80"/>
      <c r="K544" s="107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  <c r="AD544" s="80"/>
      <c r="AE544" s="80"/>
      <c r="AF544" s="80"/>
      <c r="AG544" s="80"/>
    </row>
    <row r="545" spans="1:33" ht="13.8">
      <c r="A545" s="84"/>
      <c r="B545" s="84"/>
      <c r="C545" s="84"/>
      <c r="D545" s="84"/>
      <c r="E545" s="80"/>
      <c r="F545" s="80"/>
      <c r="G545" s="80"/>
      <c r="H545" s="80"/>
      <c r="I545" s="80"/>
      <c r="J545" s="80"/>
      <c r="K545" s="107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  <c r="AD545" s="80"/>
      <c r="AE545" s="80"/>
      <c r="AF545" s="80"/>
      <c r="AG545" s="80"/>
    </row>
    <row r="546" spans="1:33" ht="13.8">
      <c r="A546" s="84"/>
      <c r="B546" s="84"/>
      <c r="C546" s="84"/>
      <c r="D546" s="84"/>
      <c r="E546" s="80"/>
      <c r="F546" s="80"/>
      <c r="G546" s="80"/>
      <c r="H546" s="80"/>
      <c r="I546" s="80"/>
      <c r="J546" s="80"/>
      <c r="K546" s="107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  <c r="AD546" s="80"/>
      <c r="AE546" s="80"/>
      <c r="AF546" s="80"/>
      <c r="AG546" s="80"/>
    </row>
    <row r="547" spans="1:33" ht="13.8">
      <c r="A547" s="84"/>
      <c r="B547" s="84"/>
      <c r="C547" s="84"/>
      <c r="D547" s="84"/>
      <c r="E547" s="80"/>
      <c r="F547" s="80"/>
      <c r="G547" s="80"/>
      <c r="H547" s="80"/>
      <c r="I547" s="80"/>
      <c r="J547" s="80"/>
      <c r="K547" s="107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  <c r="AD547" s="80"/>
      <c r="AE547" s="80"/>
      <c r="AF547" s="80"/>
      <c r="AG547" s="80"/>
    </row>
    <row r="548" spans="1:33" ht="13.8">
      <c r="A548" s="84"/>
      <c r="B548" s="84"/>
      <c r="C548" s="84"/>
      <c r="D548" s="84"/>
      <c r="E548" s="80"/>
      <c r="F548" s="80"/>
      <c r="G548" s="80"/>
      <c r="H548" s="80"/>
      <c r="I548" s="80"/>
      <c r="J548" s="80"/>
      <c r="K548" s="107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  <c r="AD548" s="80"/>
      <c r="AE548" s="80"/>
      <c r="AF548" s="80"/>
      <c r="AG548" s="80"/>
    </row>
    <row r="549" spans="1:33" ht="13.8">
      <c r="A549" s="84"/>
      <c r="B549" s="84"/>
      <c r="C549" s="84"/>
      <c r="D549" s="84"/>
      <c r="E549" s="80"/>
      <c r="F549" s="80"/>
      <c r="G549" s="80"/>
      <c r="H549" s="80"/>
      <c r="I549" s="80"/>
      <c r="J549" s="80"/>
      <c r="K549" s="107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</row>
    <row r="550" spans="1:33" ht="13.8">
      <c r="A550" s="84"/>
      <c r="B550" s="84"/>
      <c r="C550" s="84"/>
      <c r="D550" s="84"/>
      <c r="E550" s="80"/>
      <c r="F550" s="80"/>
      <c r="G550" s="80"/>
      <c r="H550" s="80"/>
      <c r="I550" s="80"/>
      <c r="J550" s="80"/>
      <c r="K550" s="107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  <c r="AD550" s="80"/>
      <c r="AE550" s="80"/>
      <c r="AF550" s="80"/>
      <c r="AG550" s="80"/>
    </row>
    <row r="551" spans="1:33" ht="13.8">
      <c r="A551" s="84"/>
      <c r="B551" s="84"/>
      <c r="C551" s="84"/>
      <c r="D551" s="84"/>
      <c r="E551" s="80"/>
      <c r="F551" s="80"/>
      <c r="G551" s="80"/>
      <c r="H551" s="80"/>
      <c r="I551" s="80"/>
      <c r="J551" s="80"/>
      <c r="K551" s="107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  <c r="AD551" s="80"/>
      <c r="AE551" s="80"/>
      <c r="AF551" s="80"/>
      <c r="AG551" s="80"/>
    </row>
    <row r="552" spans="1:33" ht="13.8">
      <c r="A552" s="84"/>
      <c r="B552" s="84"/>
      <c r="C552" s="84"/>
      <c r="D552" s="84"/>
      <c r="E552" s="80"/>
      <c r="F552" s="80"/>
      <c r="G552" s="80"/>
      <c r="H552" s="80"/>
      <c r="I552" s="80"/>
      <c r="J552" s="80"/>
      <c r="K552" s="107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  <c r="AD552" s="80"/>
      <c r="AE552" s="80"/>
      <c r="AF552" s="80"/>
      <c r="AG552" s="80"/>
    </row>
    <row r="553" spans="1:33" ht="13.8">
      <c r="A553" s="84"/>
      <c r="B553" s="84"/>
      <c r="C553" s="84"/>
      <c r="D553" s="84"/>
      <c r="E553" s="80"/>
      <c r="F553" s="80"/>
      <c r="G553" s="80"/>
      <c r="H553" s="80"/>
      <c r="I553" s="80"/>
      <c r="J553" s="80"/>
      <c r="K553" s="107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  <c r="AD553" s="80"/>
      <c r="AE553" s="80"/>
      <c r="AF553" s="80"/>
      <c r="AG553" s="80"/>
    </row>
    <row r="554" spans="1:33" ht="13.8">
      <c r="A554" s="84"/>
      <c r="B554" s="84"/>
      <c r="C554" s="84"/>
      <c r="D554" s="84"/>
      <c r="E554" s="80"/>
      <c r="F554" s="80"/>
      <c r="G554" s="80"/>
      <c r="H554" s="80"/>
      <c r="I554" s="80"/>
      <c r="J554" s="80"/>
      <c r="K554" s="107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  <c r="AD554" s="80"/>
      <c r="AE554" s="80"/>
      <c r="AF554" s="80"/>
      <c r="AG554" s="80"/>
    </row>
    <row r="555" spans="1:33" ht="13.8">
      <c r="A555" s="84"/>
      <c r="B555" s="84"/>
      <c r="C555" s="84"/>
      <c r="D555" s="84"/>
      <c r="E555" s="80"/>
      <c r="F555" s="80"/>
      <c r="G555" s="80"/>
      <c r="H555" s="80"/>
      <c r="I555" s="80"/>
      <c r="J555" s="80"/>
      <c r="K555" s="107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  <c r="AD555" s="80"/>
      <c r="AE555" s="80"/>
      <c r="AF555" s="80"/>
      <c r="AG555" s="80"/>
    </row>
    <row r="556" spans="1:33" ht="13.8">
      <c r="A556" s="84"/>
      <c r="B556" s="84"/>
      <c r="C556" s="84"/>
      <c r="D556" s="84"/>
      <c r="E556" s="80"/>
      <c r="F556" s="80"/>
      <c r="G556" s="80"/>
      <c r="H556" s="80"/>
      <c r="I556" s="80"/>
      <c r="J556" s="80"/>
      <c r="K556" s="107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  <c r="AD556" s="80"/>
      <c r="AE556" s="80"/>
      <c r="AF556" s="80"/>
      <c r="AG556" s="80"/>
    </row>
    <row r="557" spans="1:33" ht="13.8">
      <c r="A557" s="84"/>
      <c r="B557" s="84"/>
      <c r="C557" s="84"/>
      <c r="D557" s="84"/>
      <c r="E557" s="80"/>
      <c r="F557" s="80"/>
      <c r="G557" s="80"/>
      <c r="H557" s="80"/>
      <c r="I557" s="80"/>
      <c r="J557" s="80"/>
      <c r="K557" s="107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  <c r="AE557" s="80"/>
      <c r="AF557" s="80"/>
      <c r="AG557" s="80"/>
    </row>
    <row r="558" spans="1:33" ht="13.8">
      <c r="A558" s="84"/>
      <c r="B558" s="84"/>
      <c r="C558" s="84"/>
      <c r="D558" s="84"/>
      <c r="E558" s="80"/>
      <c r="F558" s="80"/>
      <c r="G558" s="80"/>
      <c r="H558" s="80"/>
      <c r="I558" s="80"/>
      <c r="J558" s="80"/>
      <c r="K558" s="107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  <c r="AE558" s="80"/>
      <c r="AF558" s="80"/>
      <c r="AG558" s="80"/>
    </row>
    <row r="559" spans="1:33" ht="13.8">
      <c r="A559" s="84"/>
      <c r="B559" s="84"/>
      <c r="C559" s="84"/>
      <c r="D559" s="84"/>
      <c r="E559" s="80"/>
      <c r="F559" s="80"/>
      <c r="G559" s="80"/>
      <c r="H559" s="80"/>
      <c r="I559" s="80"/>
      <c r="J559" s="80"/>
      <c r="K559" s="107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  <c r="AD559" s="80"/>
      <c r="AE559" s="80"/>
      <c r="AF559" s="80"/>
      <c r="AG559" s="80"/>
    </row>
    <row r="560" spans="1:33" ht="13.8">
      <c r="A560" s="84"/>
      <c r="B560" s="84"/>
      <c r="C560" s="84"/>
      <c r="D560" s="84"/>
      <c r="E560" s="80"/>
      <c r="F560" s="80"/>
      <c r="G560" s="80"/>
      <c r="H560" s="80"/>
      <c r="I560" s="80"/>
      <c r="J560" s="80"/>
      <c r="K560" s="107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  <c r="AD560" s="80"/>
      <c r="AE560" s="80"/>
      <c r="AF560" s="80"/>
      <c r="AG560" s="80"/>
    </row>
    <row r="561" spans="1:33" ht="13.8">
      <c r="A561" s="84"/>
      <c r="B561" s="84"/>
      <c r="C561" s="84"/>
      <c r="D561" s="84"/>
      <c r="E561" s="80"/>
      <c r="F561" s="80"/>
      <c r="G561" s="80"/>
      <c r="H561" s="80"/>
      <c r="I561" s="80"/>
      <c r="J561" s="80"/>
      <c r="K561" s="107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  <c r="AE561" s="80"/>
      <c r="AF561" s="80"/>
      <c r="AG561" s="80"/>
    </row>
    <row r="562" spans="1:33" ht="13.8">
      <c r="A562" s="84"/>
      <c r="B562" s="84"/>
      <c r="C562" s="84"/>
      <c r="D562" s="84"/>
      <c r="E562" s="80"/>
      <c r="F562" s="80"/>
      <c r="G562" s="80"/>
      <c r="H562" s="80"/>
      <c r="I562" s="80"/>
      <c r="J562" s="80"/>
      <c r="K562" s="107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  <c r="AD562" s="80"/>
      <c r="AE562" s="80"/>
      <c r="AF562" s="80"/>
      <c r="AG562" s="80"/>
    </row>
    <row r="563" spans="1:33" ht="13.8">
      <c r="A563" s="84"/>
      <c r="B563" s="84"/>
      <c r="C563" s="84"/>
      <c r="D563" s="84"/>
      <c r="E563" s="80"/>
      <c r="F563" s="80"/>
      <c r="G563" s="80"/>
      <c r="H563" s="80"/>
      <c r="I563" s="80"/>
      <c r="J563" s="80"/>
      <c r="K563" s="107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</row>
    <row r="564" spans="1:33" ht="13.8">
      <c r="A564" s="84"/>
      <c r="B564" s="84"/>
      <c r="C564" s="84"/>
      <c r="D564" s="84"/>
      <c r="E564" s="80"/>
      <c r="F564" s="80"/>
      <c r="G564" s="80"/>
      <c r="H564" s="80"/>
      <c r="I564" s="80"/>
      <c r="J564" s="80"/>
      <c r="K564" s="107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  <c r="AD564" s="80"/>
      <c r="AE564" s="80"/>
      <c r="AF564" s="80"/>
      <c r="AG564" s="80"/>
    </row>
    <row r="565" spans="1:33" ht="13.8">
      <c r="A565" s="84"/>
      <c r="B565" s="84"/>
      <c r="C565" s="84"/>
      <c r="D565" s="84"/>
      <c r="E565" s="80"/>
      <c r="F565" s="80"/>
      <c r="G565" s="80"/>
      <c r="H565" s="80"/>
      <c r="I565" s="80"/>
      <c r="J565" s="80"/>
      <c r="K565" s="107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  <c r="AD565" s="80"/>
      <c r="AE565" s="80"/>
      <c r="AF565" s="80"/>
      <c r="AG565" s="80"/>
    </row>
    <row r="566" spans="1:33" ht="13.8">
      <c r="A566" s="84"/>
      <c r="B566" s="84"/>
      <c r="C566" s="84"/>
      <c r="D566" s="84"/>
      <c r="E566" s="80"/>
      <c r="F566" s="80"/>
      <c r="G566" s="80"/>
      <c r="H566" s="80"/>
      <c r="I566" s="80"/>
      <c r="J566" s="80"/>
      <c r="K566" s="107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  <c r="AD566" s="80"/>
      <c r="AE566" s="80"/>
      <c r="AF566" s="80"/>
      <c r="AG566" s="80"/>
    </row>
    <row r="567" spans="1:33" ht="13.8">
      <c r="A567" s="84"/>
      <c r="B567" s="84"/>
      <c r="C567" s="84"/>
      <c r="D567" s="84"/>
      <c r="E567" s="80"/>
      <c r="F567" s="80"/>
      <c r="G567" s="80"/>
      <c r="H567" s="80"/>
      <c r="I567" s="80"/>
      <c r="J567" s="80"/>
      <c r="K567" s="107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  <c r="AD567" s="80"/>
      <c r="AE567" s="80"/>
      <c r="AF567" s="80"/>
      <c r="AG567" s="80"/>
    </row>
    <row r="568" spans="1:33" ht="13.8">
      <c r="A568" s="84"/>
      <c r="B568" s="84"/>
      <c r="C568" s="84"/>
      <c r="D568" s="84"/>
      <c r="E568" s="80"/>
      <c r="F568" s="80"/>
      <c r="G568" s="80"/>
      <c r="H568" s="80"/>
      <c r="I568" s="80"/>
      <c r="J568" s="80"/>
      <c r="K568" s="107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  <c r="AD568" s="80"/>
      <c r="AE568" s="80"/>
      <c r="AF568" s="80"/>
      <c r="AG568" s="80"/>
    </row>
    <row r="569" spans="1:33" ht="13.8">
      <c r="A569" s="84"/>
      <c r="B569" s="84"/>
      <c r="C569" s="84"/>
      <c r="D569" s="84"/>
      <c r="E569" s="80"/>
      <c r="F569" s="80"/>
      <c r="G569" s="80"/>
      <c r="H569" s="80"/>
      <c r="I569" s="80"/>
      <c r="J569" s="80"/>
      <c r="K569" s="107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  <c r="AD569" s="80"/>
      <c r="AE569" s="80"/>
      <c r="AF569" s="80"/>
      <c r="AG569" s="80"/>
    </row>
    <row r="570" spans="1:33" ht="13.8">
      <c r="A570" s="84"/>
      <c r="B570" s="84"/>
      <c r="C570" s="84"/>
      <c r="D570" s="84"/>
      <c r="E570" s="80"/>
      <c r="F570" s="80"/>
      <c r="G570" s="80"/>
      <c r="H570" s="80"/>
      <c r="I570" s="80"/>
      <c r="J570" s="80"/>
      <c r="K570" s="107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  <c r="AD570" s="80"/>
      <c r="AE570" s="80"/>
      <c r="AF570" s="80"/>
      <c r="AG570" s="80"/>
    </row>
    <row r="571" spans="1:33" ht="13.8">
      <c r="A571" s="84"/>
      <c r="B571" s="84"/>
      <c r="C571" s="84"/>
      <c r="D571" s="84"/>
      <c r="E571" s="80"/>
      <c r="F571" s="80"/>
      <c r="G571" s="80"/>
      <c r="H571" s="80"/>
      <c r="I571" s="80"/>
      <c r="J571" s="80"/>
      <c r="K571" s="107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  <c r="AD571" s="80"/>
      <c r="AE571" s="80"/>
      <c r="AF571" s="80"/>
      <c r="AG571" s="80"/>
    </row>
    <row r="572" spans="1:33" ht="13.8">
      <c r="A572" s="84"/>
      <c r="B572" s="84"/>
      <c r="C572" s="84"/>
      <c r="D572" s="84"/>
      <c r="E572" s="80"/>
      <c r="F572" s="80"/>
      <c r="G572" s="80"/>
      <c r="H572" s="80"/>
      <c r="I572" s="80"/>
      <c r="J572" s="80"/>
      <c r="K572" s="107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  <c r="AD572" s="80"/>
      <c r="AE572" s="80"/>
      <c r="AF572" s="80"/>
      <c r="AG572" s="80"/>
    </row>
    <row r="573" spans="1:33" ht="13.8">
      <c r="A573" s="84"/>
      <c r="B573" s="84"/>
      <c r="C573" s="84"/>
      <c r="D573" s="84"/>
      <c r="E573" s="80"/>
      <c r="F573" s="80"/>
      <c r="G573" s="80"/>
      <c r="H573" s="80"/>
      <c r="I573" s="80"/>
      <c r="J573" s="80"/>
      <c r="K573" s="107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  <c r="AD573" s="80"/>
      <c r="AE573" s="80"/>
      <c r="AF573" s="80"/>
      <c r="AG573" s="80"/>
    </row>
    <row r="574" spans="1:33" ht="13.8">
      <c r="A574" s="84"/>
      <c r="B574" s="84"/>
      <c r="C574" s="84"/>
      <c r="D574" s="84"/>
      <c r="E574" s="80"/>
      <c r="F574" s="80"/>
      <c r="G574" s="80"/>
      <c r="H574" s="80"/>
      <c r="I574" s="80"/>
      <c r="J574" s="80"/>
      <c r="K574" s="107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  <c r="AD574" s="80"/>
      <c r="AE574" s="80"/>
      <c r="AF574" s="80"/>
      <c r="AG574" s="80"/>
    </row>
    <row r="575" spans="1:33" ht="13.8">
      <c r="A575" s="84"/>
      <c r="B575" s="84"/>
      <c r="C575" s="84"/>
      <c r="D575" s="84"/>
      <c r="E575" s="80"/>
      <c r="F575" s="80"/>
      <c r="G575" s="80"/>
      <c r="H575" s="80"/>
      <c r="I575" s="80"/>
      <c r="J575" s="80"/>
      <c r="K575" s="107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  <c r="AD575" s="80"/>
      <c r="AE575" s="80"/>
      <c r="AF575" s="80"/>
      <c r="AG575" s="80"/>
    </row>
    <row r="576" spans="1:33" ht="13.8">
      <c r="A576" s="84"/>
      <c r="B576" s="84"/>
      <c r="C576" s="84"/>
      <c r="D576" s="84"/>
      <c r="E576" s="80"/>
      <c r="F576" s="80"/>
      <c r="G576" s="80"/>
      <c r="H576" s="80"/>
      <c r="I576" s="80"/>
      <c r="J576" s="80"/>
      <c r="K576" s="107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  <c r="AD576" s="80"/>
      <c r="AE576" s="80"/>
      <c r="AF576" s="80"/>
      <c r="AG576" s="80"/>
    </row>
    <row r="577" spans="1:33" ht="13.8">
      <c r="A577" s="84"/>
      <c r="B577" s="84"/>
      <c r="C577" s="84"/>
      <c r="D577" s="84"/>
      <c r="E577" s="80"/>
      <c r="F577" s="80"/>
      <c r="G577" s="80"/>
      <c r="H577" s="80"/>
      <c r="I577" s="80"/>
      <c r="J577" s="80"/>
      <c r="K577" s="107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  <c r="AD577" s="80"/>
      <c r="AE577" s="80"/>
      <c r="AF577" s="80"/>
      <c r="AG577" s="80"/>
    </row>
    <row r="578" spans="1:33" ht="13.8">
      <c r="A578" s="84"/>
      <c r="B578" s="84"/>
      <c r="C578" s="84"/>
      <c r="D578" s="84"/>
      <c r="E578" s="80"/>
      <c r="F578" s="80"/>
      <c r="G578" s="80"/>
      <c r="H578" s="80"/>
      <c r="I578" s="80"/>
      <c r="J578" s="80"/>
      <c r="K578" s="107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  <c r="AD578" s="80"/>
      <c r="AE578" s="80"/>
      <c r="AF578" s="80"/>
      <c r="AG578" s="80"/>
    </row>
    <row r="579" spans="1:33" ht="13.8">
      <c r="A579" s="84"/>
      <c r="B579" s="84"/>
      <c r="C579" s="84"/>
      <c r="D579" s="84"/>
      <c r="E579" s="80"/>
      <c r="F579" s="80"/>
      <c r="G579" s="80"/>
      <c r="H579" s="80"/>
      <c r="I579" s="80"/>
      <c r="J579" s="80"/>
      <c r="K579" s="107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  <c r="AD579" s="80"/>
      <c r="AE579" s="80"/>
      <c r="AF579" s="80"/>
      <c r="AG579" s="80"/>
    </row>
    <row r="580" spans="1:33" ht="13.8">
      <c r="A580" s="84"/>
      <c r="B580" s="84"/>
      <c r="C580" s="84"/>
      <c r="D580" s="84"/>
      <c r="E580" s="80"/>
      <c r="F580" s="80"/>
      <c r="G580" s="80"/>
      <c r="H580" s="80"/>
      <c r="I580" s="80"/>
      <c r="J580" s="80"/>
      <c r="K580" s="107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  <c r="AD580" s="80"/>
      <c r="AE580" s="80"/>
      <c r="AF580" s="80"/>
      <c r="AG580" s="80"/>
    </row>
    <row r="581" spans="1:33" ht="13.8">
      <c r="A581" s="84"/>
      <c r="B581" s="84"/>
      <c r="C581" s="84"/>
      <c r="D581" s="84"/>
      <c r="E581" s="80"/>
      <c r="F581" s="80"/>
      <c r="G581" s="80"/>
      <c r="H581" s="80"/>
      <c r="I581" s="80"/>
      <c r="J581" s="80"/>
      <c r="K581" s="107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  <c r="AD581" s="80"/>
      <c r="AE581" s="80"/>
      <c r="AF581" s="80"/>
      <c r="AG581" s="80"/>
    </row>
    <row r="582" spans="1:33" ht="13.8">
      <c r="A582" s="84"/>
      <c r="B582" s="84"/>
      <c r="C582" s="84"/>
      <c r="D582" s="84"/>
      <c r="E582" s="80"/>
      <c r="F582" s="80"/>
      <c r="G582" s="80"/>
      <c r="H582" s="80"/>
      <c r="I582" s="80"/>
      <c r="J582" s="80"/>
      <c r="K582" s="107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  <c r="AD582" s="80"/>
      <c r="AE582" s="80"/>
      <c r="AF582" s="80"/>
      <c r="AG582" s="80"/>
    </row>
    <row r="583" spans="1:33" ht="13.8">
      <c r="A583" s="84"/>
      <c r="B583" s="84"/>
      <c r="C583" s="84"/>
      <c r="D583" s="84"/>
      <c r="E583" s="80"/>
      <c r="F583" s="80"/>
      <c r="G583" s="80"/>
      <c r="H583" s="80"/>
      <c r="I583" s="80"/>
      <c r="J583" s="80"/>
      <c r="K583" s="107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  <c r="AD583" s="80"/>
      <c r="AE583" s="80"/>
      <c r="AF583" s="80"/>
      <c r="AG583" s="80"/>
    </row>
    <row r="584" spans="1:33" ht="13.8">
      <c r="A584" s="84"/>
      <c r="B584" s="84"/>
      <c r="C584" s="84"/>
      <c r="D584" s="84"/>
      <c r="E584" s="80"/>
      <c r="F584" s="80"/>
      <c r="G584" s="80"/>
      <c r="H584" s="80"/>
      <c r="I584" s="80"/>
      <c r="J584" s="80"/>
      <c r="K584" s="107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  <c r="AD584" s="80"/>
      <c r="AE584" s="80"/>
      <c r="AF584" s="80"/>
      <c r="AG584" s="80"/>
    </row>
    <row r="585" spans="1:33" ht="13.8">
      <c r="A585" s="84"/>
      <c r="B585" s="84"/>
      <c r="C585" s="84"/>
      <c r="D585" s="84"/>
      <c r="E585" s="80"/>
      <c r="F585" s="80"/>
      <c r="G585" s="80"/>
      <c r="H585" s="80"/>
      <c r="I585" s="80"/>
      <c r="J585" s="80"/>
      <c r="K585" s="107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  <c r="AD585" s="80"/>
      <c r="AE585" s="80"/>
      <c r="AF585" s="80"/>
      <c r="AG585" s="80"/>
    </row>
    <row r="586" spans="1:33" ht="13.8">
      <c r="A586" s="84"/>
      <c r="B586" s="84"/>
      <c r="C586" s="84"/>
      <c r="D586" s="84"/>
      <c r="E586" s="80"/>
      <c r="F586" s="80"/>
      <c r="G586" s="80"/>
      <c r="H586" s="80"/>
      <c r="I586" s="80"/>
      <c r="J586" s="80"/>
      <c r="K586" s="107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  <c r="AD586" s="80"/>
      <c r="AE586" s="80"/>
      <c r="AF586" s="80"/>
      <c r="AG586" s="80"/>
    </row>
    <row r="587" spans="1:33" ht="13.8">
      <c r="A587" s="84"/>
      <c r="B587" s="84"/>
      <c r="C587" s="84"/>
      <c r="D587" s="84"/>
      <c r="E587" s="80"/>
      <c r="F587" s="80"/>
      <c r="G587" s="80"/>
      <c r="H587" s="80"/>
      <c r="I587" s="80"/>
      <c r="J587" s="80"/>
      <c r="K587" s="107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  <c r="AD587" s="80"/>
      <c r="AE587" s="80"/>
      <c r="AF587" s="80"/>
      <c r="AG587" s="80"/>
    </row>
    <row r="588" spans="1:33" ht="13.8">
      <c r="A588" s="84"/>
      <c r="B588" s="84"/>
      <c r="C588" s="84"/>
      <c r="D588" s="84"/>
      <c r="E588" s="80"/>
      <c r="F588" s="80"/>
      <c r="G588" s="80"/>
      <c r="H588" s="80"/>
      <c r="I588" s="80"/>
      <c r="J588" s="80"/>
      <c r="K588" s="107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  <c r="AD588" s="80"/>
      <c r="AE588" s="80"/>
      <c r="AF588" s="80"/>
      <c r="AG588" s="80"/>
    </row>
    <row r="589" spans="1:33" ht="13.8">
      <c r="A589" s="84"/>
      <c r="B589" s="84"/>
      <c r="C589" s="84"/>
      <c r="D589" s="84"/>
      <c r="E589" s="80"/>
      <c r="F589" s="80"/>
      <c r="G589" s="80"/>
      <c r="H589" s="80"/>
      <c r="I589" s="80"/>
      <c r="J589" s="80"/>
      <c r="K589" s="107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  <c r="AD589" s="80"/>
      <c r="AE589" s="80"/>
      <c r="AF589" s="80"/>
      <c r="AG589" s="80"/>
    </row>
    <row r="590" spans="1:33" ht="13.8">
      <c r="A590" s="84"/>
      <c r="B590" s="84"/>
      <c r="C590" s="84"/>
      <c r="D590" s="84"/>
      <c r="E590" s="80"/>
      <c r="F590" s="80"/>
      <c r="G590" s="80"/>
      <c r="H590" s="80"/>
      <c r="I590" s="80"/>
      <c r="J590" s="80"/>
      <c r="K590" s="107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  <c r="AD590" s="80"/>
      <c r="AE590" s="80"/>
      <c r="AF590" s="80"/>
      <c r="AG590" s="80"/>
    </row>
    <row r="591" spans="1:33" ht="13.8">
      <c r="A591" s="84"/>
      <c r="B591" s="84"/>
      <c r="C591" s="84"/>
      <c r="D591" s="84"/>
      <c r="E591" s="80"/>
      <c r="F591" s="80"/>
      <c r="G591" s="80"/>
      <c r="H591" s="80"/>
      <c r="I591" s="80"/>
      <c r="J591" s="80"/>
      <c r="K591" s="107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  <c r="AD591" s="80"/>
      <c r="AE591" s="80"/>
      <c r="AF591" s="80"/>
      <c r="AG591" s="80"/>
    </row>
    <row r="592" spans="1:33" ht="13.8">
      <c r="A592" s="84"/>
      <c r="B592" s="84"/>
      <c r="C592" s="84"/>
      <c r="D592" s="84"/>
      <c r="E592" s="80"/>
      <c r="F592" s="80"/>
      <c r="G592" s="80"/>
      <c r="H592" s="80"/>
      <c r="I592" s="80"/>
      <c r="J592" s="80"/>
      <c r="K592" s="107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  <c r="AD592" s="80"/>
      <c r="AE592" s="80"/>
      <c r="AF592" s="80"/>
      <c r="AG592" s="80"/>
    </row>
    <row r="593" spans="1:33" ht="13.8">
      <c r="A593" s="84"/>
      <c r="B593" s="84"/>
      <c r="C593" s="84"/>
      <c r="D593" s="84"/>
      <c r="E593" s="80"/>
      <c r="F593" s="80"/>
      <c r="G593" s="80"/>
      <c r="H593" s="80"/>
      <c r="I593" s="80"/>
      <c r="J593" s="80"/>
      <c r="K593" s="107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  <c r="AD593" s="80"/>
      <c r="AE593" s="80"/>
      <c r="AF593" s="80"/>
      <c r="AG593" s="80"/>
    </row>
    <row r="594" spans="1:33" ht="13.8">
      <c r="A594" s="84"/>
      <c r="B594" s="84"/>
      <c r="C594" s="84"/>
      <c r="D594" s="84"/>
      <c r="E594" s="80"/>
      <c r="F594" s="80"/>
      <c r="G594" s="80"/>
      <c r="H594" s="80"/>
      <c r="I594" s="80"/>
      <c r="J594" s="80"/>
      <c r="K594" s="107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  <c r="AE594" s="80"/>
      <c r="AF594" s="80"/>
      <c r="AG594" s="80"/>
    </row>
    <row r="595" spans="1:33" ht="13.8">
      <c r="A595" s="84"/>
      <c r="B595" s="84"/>
      <c r="C595" s="84"/>
      <c r="D595" s="84"/>
      <c r="E595" s="80"/>
      <c r="F595" s="80"/>
      <c r="G595" s="80"/>
      <c r="H595" s="80"/>
      <c r="I595" s="80"/>
      <c r="J595" s="80"/>
      <c r="K595" s="107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  <c r="AD595" s="80"/>
      <c r="AE595" s="80"/>
      <c r="AF595" s="80"/>
      <c r="AG595" s="80"/>
    </row>
    <row r="596" spans="1:33" ht="13.8">
      <c r="A596" s="84"/>
      <c r="B596" s="84"/>
      <c r="C596" s="84"/>
      <c r="D596" s="84"/>
      <c r="E596" s="80"/>
      <c r="F596" s="80"/>
      <c r="G596" s="80"/>
      <c r="H596" s="80"/>
      <c r="I596" s="80"/>
      <c r="J596" s="80"/>
      <c r="K596" s="107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  <c r="AD596" s="80"/>
      <c r="AE596" s="80"/>
      <c r="AF596" s="80"/>
      <c r="AG596" s="80"/>
    </row>
    <row r="597" spans="1:33" ht="13.8">
      <c r="A597" s="84"/>
      <c r="B597" s="84"/>
      <c r="C597" s="84"/>
      <c r="D597" s="84"/>
      <c r="E597" s="80"/>
      <c r="F597" s="80"/>
      <c r="G597" s="80"/>
      <c r="H597" s="80"/>
      <c r="I597" s="80"/>
      <c r="J597" s="80"/>
      <c r="K597" s="107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  <c r="AD597" s="80"/>
      <c r="AE597" s="80"/>
      <c r="AF597" s="80"/>
      <c r="AG597" s="80"/>
    </row>
    <row r="598" spans="1:33" ht="13.8">
      <c r="A598" s="84"/>
      <c r="B598" s="84"/>
      <c r="C598" s="84"/>
      <c r="D598" s="84"/>
      <c r="E598" s="80"/>
      <c r="F598" s="80"/>
      <c r="G598" s="80"/>
      <c r="H598" s="80"/>
      <c r="I598" s="80"/>
      <c r="J598" s="80"/>
      <c r="K598" s="107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  <c r="AE598" s="80"/>
      <c r="AF598" s="80"/>
      <c r="AG598" s="80"/>
    </row>
    <row r="599" spans="1:33" ht="13.8">
      <c r="A599" s="84"/>
      <c r="B599" s="84"/>
      <c r="C599" s="84"/>
      <c r="D599" s="84"/>
      <c r="E599" s="80"/>
      <c r="F599" s="80"/>
      <c r="G599" s="80"/>
      <c r="H599" s="80"/>
      <c r="I599" s="80"/>
      <c r="J599" s="80"/>
      <c r="K599" s="107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  <c r="AD599" s="80"/>
      <c r="AE599" s="80"/>
      <c r="AF599" s="80"/>
      <c r="AG599" s="80"/>
    </row>
    <row r="600" spans="1:33" ht="13.8">
      <c r="A600" s="84"/>
      <c r="B600" s="84"/>
      <c r="C600" s="84"/>
      <c r="D600" s="84"/>
      <c r="E600" s="80"/>
      <c r="F600" s="80"/>
      <c r="G600" s="80"/>
      <c r="H600" s="80"/>
      <c r="I600" s="80"/>
      <c r="J600" s="80"/>
      <c r="K600" s="107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  <c r="AD600" s="80"/>
      <c r="AE600" s="80"/>
      <c r="AF600" s="80"/>
      <c r="AG600" s="80"/>
    </row>
    <row r="601" spans="1:33" ht="13.8">
      <c r="A601" s="84"/>
      <c r="B601" s="84"/>
      <c r="C601" s="84"/>
      <c r="D601" s="84"/>
      <c r="E601" s="80"/>
      <c r="F601" s="80"/>
      <c r="G601" s="80"/>
      <c r="H601" s="80"/>
      <c r="I601" s="80"/>
      <c r="J601" s="80"/>
      <c r="K601" s="107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  <c r="AD601" s="80"/>
      <c r="AE601" s="80"/>
      <c r="AF601" s="80"/>
      <c r="AG601" s="80"/>
    </row>
    <row r="602" spans="1:33" ht="13.8">
      <c r="A602" s="84"/>
      <c r="B602" s="84"/>
      <c r="C602" s="84"/>
      <c r="D602" s="84"/>
      <c r="E602" s="80"/>
      <c r="F602" s="80"/>
      <c r="G602" s="80"/>
      <c r="H602" s="80"/>
      <c r="I602" s="80"/>
      <c r="J602" s="80"/>
      <c r="K602" s="107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  <c r="AD602" s="80"/>
      <c r="AE602" s="80"/>
      <c r="AF602" s="80"/>
      <c r="AG602" s="80"/>
    </row>
    <row r="603" spans="1:33" ht="13.8">
      <c r="A603" s="84"/>
      <c r="B603" s="84"/>
      <c r="C603" s="84"/>
      <c r="D603" s="84"/>
      <c r="E603" s="80"/>
      <c r="F603" s="80"/>
      <c r="G603" s="80"/>
      <c r="H603" s="80"/>
      <c r="I603" s="80"/>
      <c r="J603" s="80"/>
      <c r="K603" s="107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</row>
    <row r="604" spans="1:33" ht="13.8">
      <c r="A604" s="84"/>
      <c r="B604" s="84"/>
      <c r="C604" s="84"/>
      <c r="D604" s="84"/>
      <c r="E604" s="80"/>
      <c r="F604" s="80"/>
      <c r="G604" s="80"/>
      <c r="H604" s="80"/>
      <c r="I604" s="80"/>
      <c r="J604" s="80"/>
      <c r="K604" s="107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  <c r="AD604" s="80"/>
      <c r="AE604" s="80"/>
      <c r="AF604" s="80"/>
      <c r="AG604" s="80"/>
    </row>
    <row r="605" spans="1:33" ht="13.8">
      <c r="A605" s="84"/>
      <c r="B605" s="84"/>
      <c r="C605" s="84"/>
      <c r="D605" s="84"/>
      <c r="E605" s="80"/>
      <c r="F605" s="80"/>
      <c r="G605" s="80"/>
      <c r="H605" s="80"/>
      <c r="I605" s="80"/>
      <c r="J605" s="80"/>
      <c r="K605" s="107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  <c r="AD605" s="80"/>
      <c r="AE605" s="80"/>
      <c r="AF605" s="80"/>
      <c r="AG605" s="80"/>
    </row>
    <row r="606" spans="1:33" ht="13.8">
      <c r="A606" s="84"/>
      <c r="B606" s="84"/>
      <c r="C606" s="84"/>
      <c r="D606" s="84"/>
      <c r="E606" s="80"/>
      <c r="F606" s="80"/>
      <c r="G606" s="80"/>
      <c r="H606" s="80"/>
      <c r="I606" s="80"/>
      <c r="J606" s="80"/>
      <c r="K606" s="107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  <c r="AD606" s="80"/>
      <c r="AE606" s="80"/>
      <c r="AF606" s="80"/>
      <c r="AG606" s="80"/>
    </row>
    <row r="607" spans="1:33" ht="13.8">
      <c r="A607" s="84"/>
      <c r="B607" s="84"/>
      <c r="C607" s="84"/>
      <c r="D607" s="84"/>
      <c r="E607" s="80"/>
      <c r="F607" s="80"/>
      <c r="G607" s="80"/>
      <c r="H607" s="80"/>
      <c r="I607" s="80"/>
      <c r="J607" s="80"/>
      <c r="K607" s="107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  <c r="AD607" s="80"/>
      <c r="AE607" s="80"/>
      <c r="AF607" s="80"/>
      <c r="AG607" s="80"/>
    </row>
    <row r="608" spans="1:33" ht="13.8">
      <c r="A608" s="84"/>
      <c r="B608" s="84"/>
      <c r="C608" s="84"/>
      <c r="D608" s="84"/>
      <c r="E608" s="80"/>
      <c r="F608" s="80"/>
      <c r="G608" s="80"/>
      <c r="H608" s="80"/>
      <c r="I608" s="80"/>
      <c r="J608" s="80"/>
      <c r="K608" s="107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  <c r="AD608" s="80"/>
      <c r="AE608" s="80"/>
      <c r="AF608" s="80"/>
      <c r="AG608" s="80"/>
    </row>
    <row r="609" spans="1:33" ht="13.8">
      <c r="A609" s="84"/>
      <c r="B609" s="84"/>
      <c r="C609" s="84"/>
      <c r="D609" s="84"/>
      <c r="E609" s="80"/>
      <c r="F609" s="80"/>
      <c r="G609" s="80"/>
      <c r="H609" s="80"/>
      <c r="I609" s="80"/>
      <c r="J609" s="80"/>
      <c r="K609" s="107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  <c r="AD609" s="80"/>
      <c r="AE609" s="80"/>
      <c r="AF609" s="80"/>
      <c r="AG609" s="80"/>
    </row>
    <row r="610" spans="1:33" ht="13.8">
      <c r="A610" s="84"/>
      <c r="B610" s="84"/>
      <c r="C610" s="84"/>
      <c r="D610" s="84"/>
      <c r="E610" s="80"/>
      <c r="F610" s="80"/>
      <c r="G610" s="80"/>
      <c r="H610" s="80"/>
      <c r="I610" s="80"/>
      <c r="J610" s="80"/>
      <c r="K610" s="107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  <c r="AD610" s="80"/>
      <c r="AE610" s="80"/>
      <c r="AF610" s="80"/>
      <c r="AG610" s="80"/>
    </row>
    <row r="611" spans="1:33" ht="13.8">
      <c r="A611" s="84"/>
      <c r="B611" s="84"/>
      <c r="C611" s="84"/>
      <c r="D611" s="84"/>
      <c r="E611" s="80"/>
      <c r="F611" s="80"/>
      <c r="G611" s="80"/>
      <c r="H611" s="80"/>
      <c r="I611" s="80"/>
      <c r="J611" s="80"/>
      <c r="K611" s="107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  <c r="AD611" s="80"/>
      <c r="AE611" s="80"/>
      <c r="AF611" s="80"/>
      <c r="AG611" s="80"/>
    </row>
    <row r="612" spans="1:33" ht="13.8">
      <c r="A612" s="84"/>
      <c r="B612" s="84"/>
      <c r="C612" s="84"/>
      <c r="D612" s="84"/>
      <c r="E612" s="80"/>
      <c r="F612" s="80"/>
      <c r="G612" s="80"/>
      <c r="H612" s="80"/>
      <c r="I612" s="80"/>
      <c r="J612" s="80"/>
      <c r="K612" s="107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  <c r="AD612" s="80"/>
      <c r="AE612" s="80"/>
      <c r="AF612" s="80"/>
      <c r="AG612" s="80"/>
    </row>
    <row r="613" spans="1:33" ht="13.8">
      <c r="A613" s="84"/>
      <c r="B613" s="84"/>
      <c r="C613" s="84"/>
      <c r="D613" s="84"/>
      <c r="E613" s="80"/>
      <c r="F613" s="80"/>
      <c r="G613" s="80"/>
      <c r="H613" s="80"/>
      <c r="I613" s="80"/>
      <c r="J613" s="80"/>
      <c r="K613" s="107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  <c r="AD613" s="80"/>
      <c r="AE613" s="80"/>
      <c r="AF613" s="80"/>
      <c r="AG613" s="80"/>
    </row>
    <row r="614" spans="1:33" ht="13.8">
      <c r="A614" s="84"/>
      <c r="B614" s="84"/>
      <c r="C614" s="84"/>
      <c r="D614" s="84"/>
      <c r="E614" s="80"/>
      <c r="F614" s="80"/>
      <c r="G614" s="80"/>
      <c r="H614" s="80"/>
      <c r="I614" s="80"/>
      <c r="J614" s="80"/>
      <c r="K614" s="107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  <c r="AD614" s="80"/>
      <c r="AE614" s="80"/>
      <c r="AF614" s="80"/>
      <c r="AG614" s="80"/>
    </row>
    <row r="615" spans="1:33" ht="13.8">
      <c r="A615" s="84"/>
      <c r="B615" s="84"/>
      <c r="C615" s="84"/>
      <c r="D615" s="84"/>
      <c r="E615" s="80"/>
      <c r="F615" s="80"/>
      <c r="G615" s="80"/>
      <c r="H615" s="80"/>
      <c r="I615" s="80"/>
      <c r="J615" s="80"/>
      <c r="K615" s="107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  <c r="AD615" s="80"/>
      <c r="AE615" s="80"/>
      <c r="AF615" s="80"/>
      <c r="AG615" s="80"/>
    </row>
    <row r="616" spans="1:33" ht="13.8">
      <c r="A616" s="84"/>
      <c r="B616" s="84"/>
      <c r="C616" s="84"/>
      <c r="D616" s="84"/>
      <c r="E616" s="80"/>
      <c r="F616" s="80"/>
      <c r="G616" s="80"/>
      <c r="H616" s="80"/>
      <c r="I616" s="80"/>
      <c r="J616" s="80"/>
      <c r="K616" s="107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  <c r="AD616" s="80"/>
      <c r="AE616" s="80"/>
      <c r="AF616" s="80"/>
      <c r="AG616" s="80"/>
    </row>
    <row r="617" spans="1:33" ht="13.8">
      <c r="A617" s="84"/>
      <c r="B617" s="84"/>
      <c r="C617" s="84"/>
      <c r="D617" s="84"/>
      <c r="E617" s="80"/>
      <c r="F617" s="80"/>
      <c r="G617" s="80"/>
      <c r="H617" s="80"/>
      <c r="I617" s="80"/>
      <c r="J617" s="80"/>
      <c r="K617" s="107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  <c r="AD617" s="80"/>
      <c r="AE617" s="80"/>
      <c r="AF617" s="80"/>
      <c r="AG617" s="80"/>
    </row>
    <row r="618" spans="1:33" ht="13.8">
      <c r="A618" s="84"/>
      <c r="B618" s="84"/>
      <c r="C618" s="84"/>
      <c r="D618" s="84"/>
      <c r="E618" s="80"/>
      <c r="F618" s="80"/>
      <c r="G618" s="80"/>
      <c r="H618" s="80"/>
      <c r="I618" s="80"/>
      <c r="J618" s="80"/>
      <c r="K618" s="107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  <c r="AD618" s="80"/>
      <c r="AE618" s="80"/>
      <c r="AF618" s="80"/>
      <c r="AG618" s="80"/>
    </row>
    <row r="619" spans="1:33" ht="13.8">
      <c r="A619" s="84"/>
      <c r="B619" s="84"/>
      <c r="C619" s="84"/>
      <c r="D619" s="84"/>
      <c r="E619" s="80"/>
      <c r="F619" s="80"/>
      <c r="G619" s="80"/>
      <c r="H619" s="80"/>
      <c r="I619" s="80"/>
      <c r="J619" s="80"/>
      <c r="K619" s="107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  <c r="AD619" s="80"/>
      <c r="AE619" s="80"/>
      <c r="AF619" s="80"/>
      <c r="AG619" s="80"/>
    </row>
    <row r="620" spans="1:33" ht="13.8">
      <c r="A620" s="84"/>
      <c r="B620" s="84"/>
      <c r="C620" s="84"/>
      <c r="D620" s="84"/>
      <c r="E620" s="80"/>
      <c r="F620" s="80"/>
      <c r="G620" s="80"/>
      <c r="H620" s="80"/>
      <c r="I620" s="80"/>
      <c r="J620" s="80"/>
      <c r="K620" s="107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  <c r="AE620" s="80"/>
      <c r="AF620" s="80"/>
      <c r="AG620" s="80"/>
    </row>
    <row r="621" spans="1:33" ht="13.8">
      <c r="A621" s="84"/>
      <c r="B621" s="84"/>
      <c r="C621" s="84"/>
      <c r="D621" s="84"/>
      <c r="E621" s="80"/>
      <c r="F621" s="80"/>
      <c r="G621" s="80"/>
      <c r="H621" s="80"/>
      <c r="I621" s="80"/>
      <c r="J621" s="80"/>
      <c r="K621" s="107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  <c r="AD621" s="80"/>
      <c r="AE621" s="80"/>
      <c r="AF621" s="80"/>
      <c r="AG621" s="80"/>
    </row>
    <row r="622" spans="1:33" ht="13.8">
      <c r="A622" s="84"/>
      <c r="B622" s="84"/>
      <c r="C622" s="84"/>
      <c r="D622" s="84"/>
      <c r="E622" s="80"/>
      <c r="F622" s="80"/>
      <c r="G622" s="80"/>
      <c r="H622" s="80"/>
      <c r="I622" s="80"/>
      <c r="J622" s="80"/>
      <c r="K622" s="107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  <c r="AD622" s="80"/>
      <c r="AE622" s="80"/>
      <c r="AF622" s="80"/>
      <c r="AG622" s="80"/>
    </row>
    <row r="623" spans="1:33" ht="13.8">
      <c r="A623" s="84"/>
      <c r="B623" s="84"/>
      <c r="C623" s="84"/>
      <c r="D623" s="84"/>
      <c r="E623" s="80"/>
      <c r="F623" s="80"/>
      <c r="G623" s="80"/>
      <c r="H623" s="80"/>
      <c r="I623" s="80"/>
      <c r="J623" s="80"/>
      <c r="K623" s="107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  <c r="AD623" s="80"/>
      <c r="AE623" s="80"/>
      <c r="AF623" s="80"/>
      <c r="AG623" s="80"/>
    </row>
    <row r="624" spans="1:33" ht="13.8">
      <c r="A624" s="84"/>
      <c r="B624" s="84"/>
      <c r="C624" s="84"/>
      <c r="D624" s="84"/>
      <c r="E624" s="80"/>
      <c r="F624" s="80"/>
      <c r="G624" s="80"/>
      <c r="H624" s="80"/>
      <c r="I624" s="80"/>
      <c r="J624" s="80"/>
      <c r="K624" s="107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  <c r="AD624" s="80"/>
      <c r="AE624" s="80"/>
      <c r="AF624" s="80"/>
      <c r="AG624" s="80"/>
    </row>
    <row r="625" spans="1:33" ht="13.8">
      <c r="A625" s="84"/>
      <c r="B625" s="84"/>
      <c r="C625" s="84"/>
      <c r="D625" s="84"/>
      <c r="E625" s="80"/>
      <c r="F625" s="80"/>
      <c r="G625" s="80"/>
      <c r="H625" s="80"/>
      <c r="I625" s="80"/>
      <c r="J625" s="80"/>
      <c r="K625" s="107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  <c r="AD625" s="80"/>
      <c r="AE625" s="80"/>
      <c r="AF625" s="80"/>
      <c r="AG625" s="80"/>
    </row>
    <row r="626" spans="1:33" ht="13.8">
      <c r="A626" s="84"/>
      <c r="B626" s="84"/>
      <c r="C626" s="84"/>
      <c r="D626" s="84"/>
      <c r="E626" s="80"/>
      <c r="F626" s="80"/>
      <c r="G626" s="80"/>
      <c r="H626" s="80"/>
      <c r="I626" s="80"/>
      <c r="J626" s="80"/>
      <c r="K626" s="107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  <c r="AD626" s="80"/>
      <c r="AE626" s="80"/>
      <c r="AF626" s="80"/>
      <c r="AG626" s="80"/>
    </row>
    <row r="627" spans="1:33" ht="13.8">
      <c r="A627" s="84"/>
      <c r="B627" s="84"/>
      <c r="C627" s="84"/>
      <c r="D627" s="84"/>
      <c r="E627" s="80"/>
      <c r="F627" s="80"/>
      <c r="G627" s="80"/>
      <c r="H627" s="80"/>
      <c r="I627" s="80"/>
      <c r="J627" s="80"/>
      <c r="K627" s="107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  <c r="AD627" s="80"/>
      <c r="AE627" s="80"/>
      <c r="AF627" s="80"/>
      <c r="AG627" s="80"/>
    </row>
    <row r="628" spans="1:33" ht="13.8">
      <c r="A628" s="84"/>
      <c r="B628" s="84"/>
      <c r="C628" s="84"/>
      <c r="D628" s="84"/>
      <c r="E628" s="80"/>
      <c r="F628" s="80"/>
      <c r="G628" s="80"/>
      <c r="H628" s="80"/>
      <c r="I628" s="80"/>
      <c r="J628" s="80"/>
      <c r="K628" s="107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  <c r="AD628" s="80"/>
      <c r="AE628" s="80"/>
      <c r="AF628" s="80"/>
      <c r="AG628" s="80"/>
    </row>
    <row r="629" spans="1:33" ht="13.8">
      <c r="A629" s="84"/>
      <c r="B629" s="84"/>
      <c r="C629" s="84"/>
      <c r="D629" s="84"/>
      <c r="E629" s="80"/>
      <c r="F629" s="80"/>
      <c r="G629" s="80"/>
      <c r="H629" s="80"/>
      <c r="I629" s="80"/>
      <c r="J629" s="80"/>
      <c r="K629" s="107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  <c r="AD629" s="80"/>
      <c r="AE629" s="80"/>
      <c r="AF629" s="80"/>
      <c r="AG629" s="80"/>
    </row>
    <row r="630" spans="1:33" ht="13.8">
      <c r="A630" s="84"/>
      <c r="B630" s="84"/>
      <c r="C630" s="84"/>
      <c r="D630" s="84"/>
      <c r="E630" s="80"/>
      <c r="F630" s="80"/>
      <c r="G630" s="80"/>
      <c r="H630" s="80"/>
      <c r="I630" s="80"/>
      <c r="J630" s="80"/>
      <c r="K630" s="107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  <c r="AD630" s="80"/>
      <c r="AE630" s="80"/>
      <c r="AF630" s="80"/>
      <c r="AG630" s="80"/>
    </row>
    <row r="631" spans="1:33" ht="13.8">
      <c r="A631" s="84"/>
      <c r="B631" s="84"/>
      <c r="C631" s="84"/>
      <c r="D631" s="84"/>
      <c r="E631" s="80"/>
      <c r="F631" s="80"/>
      <c r="G631" s="80"/>
      <c r="H631" s="80"/>
      <c r="I631" s="80"/>
      <c r="J631" s="80"/>
      <c r="K631" s="107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  <c r="AD631" s="80"/>
      <c r="AE631" s="80"/>
      <c r="AF631" s="80"/>
      <c r="AG631" s="80"/>
    </row>
    <row r="632" spans="1:33" ht="13.8">
      <c r="A632" s="84"/>
      <c r="B632" s="84"/>
      <c r="C632" s="84"/>
      <c r="D632" s="84"/>
      <c r="E632" s="80"/>
      <c r="F632" s="80"/>
      <c r="G632" s="80"/>
      <c r="H632" s="80"/>
      <c r="I632" s="80"/>
      <c r="J632" s="80"/>
      <c r="K632" s="107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  <c r="AD632" s="80"/>
      <c r="AE632" s="80"/>
      <c r="AF632" s="80"/>
      <c r="AG632" s="80"/>
    </row>
    <row r="633" spans="1:33" ht="13.8">
      <c r="A633" s="84"/>
      <c r="B633" s="84"/>
      <c r="C633" s="84"/>
      <c r="D633" s="84"/>
      <c r="E633" s="80"/>
      <c r="F633" s="80"/>
      <c r="G633" s="80"/>
      <c r="H633" s="80"/>
      <c r="I633" s="80"/>
      <c r="J633" s="80"/>
      <c r="K633" s="107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  <c r="AD633" s="80"/>
      <c r="AE633" s="80"/>
      <c r="AF633" s="80"/>
      <c r="AG633" s="80"/>
    </row>
    <row r="634" spans="1:33" ht="13.8">
      <c r="A634" s="84"/>
      <c r="B634" s="84"/>
      <c r="C634" s="84"/>
      <c r="D634" s="84"/>
      <c r="E634" s="80"/>
      <c r="F634" s="80"/>
      <c r="G634" s="80"/>
      <c r="H634" s="80"/>
      <c r="I634" s="80"/>
      <c r="J634" s="80"/>
      <c r="K634" s="107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  <c r="AD634" s="80"/>
      <c r="AE634" s="80"/>
      <c r="AF634" s="80"/>
      <c r="AG634" s="80"/>
    </row>
    <row r="635" spans="1:33" ht="13.8">
      <c r="A635" s="84"/>
      <c r="B635" s="84"/>
      <c r="C635" s="84"/>
      <c r="D635" s="84"/>
      <c r="E635" s="80"/>
      <c r="F635" s="80"/>
      <c r="G635" s="80"/>
      <c r="H635" s="80"/>
      <c r="I635" s="80"/>
      <c r="J635" s="80"/>
      <c r="K635" s="107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  <c r="AD635" s="80"/>
      <c r="AE635" s="80"/>
      <c r="AF635" s="80"/>
      <c r="AG635" s="80"/>
    </row>
    <row r="636" spans="1:33" ht="13.8">
      <c r="A636" s="84"/>
      <c r="B636" s="84"/>
      <c r="C636" s="84"/>
      <c r="D636" s="84"/>
      <c r="E636" s="80"/>
      <c r="F636" s="80"/>
      <c r="G636" s="80"/>
      <c r="H636" s="80"/>
      <c r="I636" s="80"/>
      <c r="J636" s="80"/>
      <c r="K636" s="107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  <c r="AD636" s="80"/>
      <c r="AE636" s="80"/>
      <c r="AF636" s="80"/>
      <c r="AG636" s="80"/>
    </row>
    <row r="637" spans="1:33" ht="13.8">
      <c r="A637" s="84"/>
      <c r="B637" s="84"/>
      <c r="C637" s="84"/>
      <c r="D637" s="84"/>
      <c r="E637" s="80"/>
      <c r="F637" s="80"/>
      <c r="G637" s="80"/>
      <c r="H637" s="80"/>
      <c r="I637" s="80"/>
      <c r="J637" s="80"/>
      <c r="K637" s="107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  <c r="AD637" s="80"/>
      <c r="AE637" s="80"/>
      <c r="AF637" s="80"/>
      <c r="AG637" s="80"/>
    </row>
    <row r="638" spans="1:33" ht="13.8">
      <c r="A638" s="84"/>
      <c r="B638" s="84"/>
      <c r="C638" s="84"/>
      <c r="D638" s="84"/>
      <c r="E638" s="80"/>
      <c r="F638" s="80"/>
      <c r="G638" s="80"/>
      <c r="H638" s="80"/>
      <c r="I638" s="80"/>
      <c r="J638" s="80"/>
      <c r="K638" s="107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  <c r="AD638" s="80"/>
      <c r="AE638" s="80"/>
      <c r="AF638" s="80"/>
      <c r="AG638" s="80"/>
    </row>
    <row r="639" spans="1:33" ht="13.8">
      <c r="A639" s="84"/>
      <c r="B639" s="84"/>
      <c r="C639" s="84"/>
      <c r="D639" s="84"/>
      <c r="E639" s="80"/>
      <c r="F639" s="80"/>
      <c r="G639" s="80"/>
      <c r="H639" s="80"/>
      <c r="I639" s="80"/>
      <c r="J639" s="80"/>
      <c r="K639" s="107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  <c r="AD639" s="80"/>
      <c r="AE639" s="80"/>
      <c r="AF639" s="80"/>
      <c r="AG639" s="80"/>
    </row>
    <row r="640" spans="1:33" ht="13.8">
      <c r="A640" s="84"/>
      <c r="B640" s="84"/>
      <c r="C640" s="84"/>
      <c r="D640" s="84"/>
      <c r="E640" s="80"/>
      <c r="F640" s="80"/>
      <c r="G640" s="80"/>
      <c r="H640" s="80"/>
      <c r="I640" s="80"/>
      <c r="J640" s="80"/>
      <c r="K640" s="107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  <c r="AD640" s="80"/>
      <c r="AE640" s="80"/>
      <c r="AF640" s="80"/>
      <c r="AG640" s="80"/>
    </row>
    <row r="641" spans="1:33" ht="13.8">
      <c r="A641" s="84"/>
      <c r="B641" s="84"/>
      <c r="C641" s="84"/>
      <c r="D641" s="84"/>
      <c r="E641" s="80"/>
      <c r="F641" s="80"/>
      <c r="G641" s="80"/>
      <c r="H641" s="80"/>
      <c r="I641" s="80"/>
      <c r="J641" s="80"/>
      <c r="K641" s="107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  <c r="AD641" s="80"/>
      <c r="AE641" s="80"/>
      <c r="AF641" s="80"/>
      <c r="AG641" s="80"/>
    </row>
    <row r="642" spans="1:33" ht="13.8">
      <c r="A642" s="84"/>
      <c r="B642" s="84"/>
      <c r="C642" s="84"/>
      <c r="D642" s="84"/>
      <c r="E642" s="80"/>
      <c r="F642" s="80"/>
      <c r="G642" s="80"/>
      <c r="H642" s="80"/>
      <c r="I642" s="80"/>
      <c r="J642" s="80"/>
      <c r="K642" s="107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  <c r="AD642" s="80"/>
      <c r="AE642" s="80"/>
      <c r="AF642" s="80"/>
      <c r="AG642" s="80"/>
    </row>
    <row r="643" spans="1:33" ht="13.8">
      <c r="A643" s="84"/>
      <c r="B643" s="84"/>
      <c r="C643" s="84"/>
      <c r="D643" s="84"/>
      <c r="E643" s="80"/>
      <c r="F643" s="80"/>
      <c r="G643" s="80"/>
      <c r="H643" s="80"/>
      <c r="I643" s="80"/>
      <c r="J643" s="80"/>
      <c r="K643" s="107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</row>
    <row r="644" spans="1:33" ht="13.8">
      <c r="A644" s="84"/>
      <c r="B644" s="84"/>
      <c r="C644" s="84"/>
      <c r="D644" s="84"/>
      <c r="E644" s="80"/>
      <c r="F644" s="80"/>
      <c r="G644" s="80"/>
      <c r="H644" s="80"/>
      <c r="I644" s="80"/>
      <c r="J644" s="80"/>
      <c r="K644" s="107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  <c r="AD644" s="80"/>
      <c r="AE644" s="80"/>
      <c r="AF644" s="80"/>
      <c r="AG644" s="80"/>
    </row>
    <row r="645" spans="1:33" ht="13.8">
      <c r="A645" s="84"/>
      <c r="B645" s="84"/>
      <c r="C645" s="84"/>
      <c r="D645" s="84"/>
      <c r="E645" s="80"/>
      <c r="F645" s="80"/>
      <c r="G645" s="80"/>
      <c r="H645" s="80"/>
      <c r="I645" s="80"/>
      <c r="J645" s="80"/>
      <c r="K645" s="107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  <c r="AD645" s="80"/>
      <c r="AE645" s="80"/>
      <c r="AF645" s="80"/>
      <c r="AG645" s="80"/>
    </row>
    <row r="646" spans="1:33" ht="13.8">
      <c r="A646" s="84"/>
      <c r="B646" s="84"/>
      <c r="C646" s="84"/>
      <c r="D646" s="84"/>
      <c r="E646" s="80"/>
      <c r="F646" s="80"/>
      <c r="G646" s="80"/>
      <c r="H646" s="80"/>
      <c r="I646" s="80"/>
      <c r="J646" s="80"/>
      <c r="K646" s="107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  <c r="AD646" s="80"/>
      <c r="AE646" s="80"/>
      <c r="AF646" s="80"/>
      <c r="AG646" s="80"/>
    </row>
    <row r="647" spans="1:33" ht="13.8">
      <c r="A647" s="84"/>
      <c r="B647" s="84"/>
      <c r="C647" s="84"/>
      <c r="D647" s="84"/>
      <c r="E647" s="80"/>
      <c r="F647" s="80"/>
      <c r="G647" s="80"/>
      <c r="H647" s="80"/>
      <c r="I647" s="80"/>
      <c r="J647" s="80"/>
      <c r="K647" s="107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  <c r="AD647" s="80"/>
      <c r="AE647" s="80"/>
      <c r="AF647" s="80"/>
      <c r="AG647" s="80"/>
    </row>
    <row r="648" spans="1:33" ht="13.8">
      <c r="A648" s="84"/>
      <c r="B648" s="84"/>
      <c r="C648" s="84"/>
      <c r="D648" s="84"/>
      <c r="E648" s="80"/>
      <c r="F648" s="80"/>
      <c r="G648" s="80"/>
      <c r="H648" s="80"/>
      <c r="I648" s="80"/>
      <c r="J648" s="80"/>
      <c r="K648" s="107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  <c r="AD648" s="80"/>
      <c r="AE648" s="80"/>
      <c r="AF648" s="80"/>
      <c r="AG648" s="80"/>
    </row>
    <row r="649" spans="1:33" ht="13.8">
      <c r="A649" s="84"/>
      <c r="B649" s="84"/>
      <c r="C649" s="84"/>
      <c r="D649" s="84"/>
      <c r="E649" s="80"/>
      <c r="F649" s="80"/>
      <c r="G649" s="80"/>
      <c r="H649" s="80"/>
      <c r="I649" s="80"/>
      <c r="J649" s="80"/>
      <c r="K649" s="107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  <c r="AD649" s="80"/>
      <c r="AE649" s="80"/>
      <c r="AF649" s="80"/>
      <c r="AG649" s="80"/>
    </row>
    <row r="650" spans="1:33" ht="13.8">
      <c r="A650" s="84"/>
      <c r="B650" s="84"/>
      <c r="C650" s="84"/>
      <c r="D650" s="84"/>
      <c r="E650" s="80"/>
      <c r="F650" s="80"/>
      <c r="G650" s="80"/>
      <c r="H650" s="80"/>
      <c r="I650" s="80"/>
      <c r="J650" s="80"/>
      <c r="K650" s="107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  <c r="AD650" s="80"/>
      <c r="AE650" s="80"/>
      <c r="AF650" s="80"/>
      <c r="AG650" s="80"/>
    </row>
    <row r="651" spans="1:33" ht="13.8">
      <c r="A651" s="84"/>
      <c r="B651" s="84"/>
      <c r="C651" s="84"/>
      <c r="D651" s="84"/>
      <c r="E651" s="80"/>
      <c r="F651" s="80"/>
      <c r="G651" s="80"/>
      <c r="H651" s="80"/>
      <c r="I651" s="80"/>
      <c r="J651" s="80"/>
      <c r="K651" s="107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  <c r="AD651" s="80"/>
      <c r="AE651" s="80"/>
      <c r="AF651" s="80"/>
      <c r="AG651" s="80"/>
    </row>
    <row r="652" spans="1:33" ht="13.8">
      <c r="A652" s="84"/>
      <c r="B652" s="84"/>
      <c r="C652" s="84"/>
      <c r="D652" s="84"/>
      <c r="E652" s="80"/>
      <c r="F652" s="80"/>
      <c r="G652" s="80"/>
      <c r="H652" s="80"/>
      <c r="I652" s="80"/>
      <c r="J652" s="80"/>
      <c r="K652" s="107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  <c r="AD652" s="80"/>
      <c r="AE652" s="80"/>
      <c r="AF652" s="80"/>
      <c r="AG652" s="80"/>
    </row>
    <row r="653" spans="1:33" ht="13.8">
      <c r="A653" s="84"/>
      <c r="B653" s="84"/>
      <c r="C653" s="84"/>
      <c r="D653" s="84"/>
      <c r="E653" s="80"/>
      <c r="F653" s="80"/>
      <c r="G653" s="80"/>
      <c r="H653" s="80"/>
      <c r="I653" s="80"/>
      <c r="J653" s="80"/>
      <c r="K653" s="107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  <c r="AD653" s="80"/>
      <c r="AE653" s="80"/>
      <c r="AF653" s="80"/>
      <c r="AG653" s="80"/>
    </row>
    <row r="654" spans="1:33" ht="13.8">
      <c r="A654" s="84"/>
      <c r="B654" s="84"/>
      <c r="C654" s="84"/>
      <c r="D654" s="84"/>
      <c r="E654" s="80"/>
      <c r="F654" s="80"/>
      <c r="G654" s="80"/>
      <c r="H654" s="80"/>
      <c r="I654" s="80"/>
      <c r="J654" s="80"/>
      <c r="K654" s="107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  <c r="AD654" s="80"/>
      <c r="AE654" s="80"/>
      <c r="AF654" s="80"/>
      <c r="AG654" s="80"/>
    </row>
    <row r="655" spans="1:33" ht="13.8">
      <c r="A655" s="84"/>
      <c r="B655" s="84"/>
      <c r="C655" s="84"/>
      <c r="D655" s="84"/>
      <c r="E655" s="80"/>
      <c r="F655" s="80"/>
      <c r="G655" s="80"/>
      <c r="H655" s="80"/>
      <c r="I655" s="80"/>
      <c r="J655" s="80"/>
      <c r="K655" s="107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  <c r="AD655" s="80"/>
      <c r="AE655" s="80"/>
      <c r="AF655" s="80"/>
      <c r="AG655" s="80"/>
    </row>
    <row r="656" spans="1:33" ht="13.8">
      <c r="A656" s="84"/>
      <c r="B656" s="84"/>
      <c r="C656" s="84"/>
      <c r="D656" s="84"/>
      <c r="E656" s="80"/>
      <c r="F656" s="80"/>
      <c r="G656" s="80"/>
      <c r="H656" s="80"/>
      <c r="I656" s="80"/>
      <c r="J656" s="80"/>
      <c r="K656" s="107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  <c r="AD656" s="80"/>
      <c r="AE656" s="80"/>
      <c r="AF656" s="80"/>
      <c r="AG656" s="80"/>
    </row>
    <row r="657" spans="1:33" ht="13.8">
      <c r="A657" s="84"/>
      <c r="B657" s="84"/>
      <c r="C657" s="84"/>
      <c r="D657" s="84"/>
      <c r="E657" s="80"/>
      <c r="F657" s="80"/>
      <c r="G657" s="80"/>
      <c r="H657" s="80"/>
      <c r="I657" s="80"/>
      <c r="J657" s="80"/>
      <c r="K657" s="107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  <c r="AD657" s="80"/>
      <c r="AE657" s="80"/>
      <c r="AF657" s="80"/>
      <c r="AG657" s="80"/>
    </row>
    <row r="658" spans="1:33" ht="13.8">
      <c r="A658" s="84"/>
      <c r="B658" s="84"/>
      <c r="C658" s="84"/>
      <c r="D658" s="84"/>
      <c r="E658" s="80"/>
      <c r="F658" s="80"/>
      <c r="G658" s="80"/>
      <c r="H658" s="80"/>
      <c r="I658" s="80"/>
      <c r="J658" s="80"/>
      <c r="K658" s="107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  <c r="AD658" s="80"/>
      <c r="AE658" s="80"/>
      <c r="AF658" s="80"/>
      <c r="AG658" s="80"/>
    </row>
    <row r="659" spans="1:33" ht="13.8">
      <c r="A659" s="84"/>
      <c r="B659" s="84"/>
      <c r="C659" s="84"/>
      <c r="D659" s="84"/>
      <c r="E659" s="80"/>
      <c r="F659" s="80"/>
      <c r="G659" s="80"/>
      <c r="H659" s="80"/>
      <c r="I659" s="80"/>
      <c r="J659" s="80"/>
      <c r="K659" s="107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  <c r="AD659" s="80"/>
      <c r="AE659" s="80"/>
      <c r="AF659" s="80"/>
      <c r="AG659" s="80"/>
    </row>
    <row r="660" spans="1:33" ht="13.8">
      <c r="A660" s="84"/>
      <c r="B660" s="84"/>
      <c r="C660" s="84"/>
      <c r="D660" s="84"/>
      <c r="E660" s="80"/>
      <c r="F660" s="80"/>
      <c r="G660" s="80"/>
      <c r="H660" s="80"/>
      <c r="I660" s="80"/>
      <c r="J660" s="80"/>
      <c r="K660" s="107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  <c r="AD660" s="80"/>
      <c r="AE660" s="80"/>
      <c r="AF660" s="80"/>
      <c r="AG660" s="80"/>
    </row>
    <row r="661" spans="1:33" ht="13.8">
      <c r="A661" s="84"/>
      <c r="B661" s="84"/>
      <c r="C661" s="84"/>
      <c r="D661" s="84"/>
      <c r="E661" s="80"/>
      <c r="F661" s="80"/>
      <c r="G661" s="80"/>
      <c r="H661" s="80"/>
      <c r="I661" s="80"/>
      <c r="J661" s="80"/>
      <c r="K661" s="107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  <c r="AD661" s="80"/>
      <c r="AE661" s="80"/>
      <c r="AF661" s="80"/>
      <c r="AG661" s="80"/>
    </row>
    <row r="662" spans="1:33" ht="13.8">
      <c r="A662" s="84"/>
      <c r="B662" s="84"/>
      <c r="C662" s="84"/>
      <c r="D662" s="84"/>
      <c r="E662" s="80"/>
      <c r="F662" s="80"/>
      <c r="G662" s="80"/>
      <c r="H662" s="80"/>
      <c r="I662" s="80"/>
      <c r="J662" s="80"/>
      <c r="K662" s="107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  <c r="AD662" s="80"/>
      <c r="AE662" s="80"/>
      <c r="AF662" s="80"/>
      <c r="AG662" s="80"/>
    </row>
    <row r="663" spans="1:33" ht="13.8">
      <c r="A663" s="84"/>
      <c r="B663" s="84"/>
      <c r="C663" s="84"/>
      <c r="D663" s="84"/>
      <c r="E663" s="80"/>
      <c r="F663" s="80"/>
      <c r="G663" s="80"/>
      <c r="H663" s="80"/>
      <c r="I663" s="80"/>
      <c r="J663" s="80"/>
      <c r="K663" s="107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  <c r="AD663" s="80"/>
      <c r="AE663" s="80"/>
      <c r="AF663" s="80"/>
      <c r="AG663" s="80"/>
    </row>
    <row r="664" spans="1:33" ht="13.8">
      <c r="A664" s="84"/>
      <c r="B664" s="84"/>
      <c r="C664" s="84"/>
      <c r="D664" s="84"/>
      <c r="E664" s="80"/>
      <c r="F664" s="80"/>
      <c r="G664" s="80"/>
      <c r="H664" s="80"/>
      <c r="I664" s="80"/>
      <c r="J664" s="80"/>
      <c r="K664" s="107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  <c r="AD664" s="80"/>
      <c r="AE664" s="80"/>
      <c r="AF664" s="80"/>
      <c r="AG664" s="80"/>
    </row>
    <row r="665" spans="1:33" ht="13.8">
      <c r="A665" s="84"/>
      <c r="B665" s="84"/>
      <c r="C665" s="84"/>
      <c r="D665" s="84"/>
      <c r="E665" s="80"/>
      <c r="F665" s="80"/>
      <c r="G665" s="80"/>
      <c r="H665" s="80"/>
      <c r="I665" s="80"/>
      <c r="J665" s="80"/>
      <c r="K665" s="107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  <c r="AD665" s="80"/>
      <c r="AE665" s="80"/>
      <c r="AF665" s="80"/>
      <c r="AG665" s="80"/>
    </row>
    <row r="666" spans="1:33" ht="13.8">
      <c r="A666" s="84"/>
      <c r="B666" s="84"/>
      <c r="C666" s="84"/>
      <c r="D666" s="84"/>
      <c r="E666" s="80"/>
      <c r="F666" s="80"/>
      <c r="G666" s="80"/>
      <c r="H666" s="80"/>
      <c r="I666" s="80"/>
      <c r="J666" s="80"/>
      <c r="K666" s="107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  <c r="AD666" s="80"/>
      <c r="AE666" s="80"/>
      <c r="AF666" s="80"/>
      <c r="AG666" s="80"/>
    </row>
    <row r="667" spans="1:33" ht="13.8">
      <c r="A667" s="84"/>
      <c r="B667" s="84"/>
      <c r="C667" s="84"/>
      <c r="D667" s="84"/>
      <c r="E667" s="80"/>
      <c r="F667" s="80"/>
      <c r="G667" s="80"/>
      <c r="H667" s="80"/>
      <c r="I667" s="80"/>
      <c r="J667" s="80"/>
      <c r="K667" s="107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  <c r="AD667" s="80"/>
      <c r="AE667" s="80"/>
      <c r="AF667" s="80"/>
      <c r="AG667" s="80"/>
    </row>
    <row r="668" spans="1:33" ht="13.8">
      <c r="A668" s="84"/>
      <c r="B668" s="84"/>
      <c r="C668" s="84"/>
      <c r="D668" s="84"/>
      <c r="E668" s="80"/>
      <c r="F668" s="80"/>
      <c r="G668" s="80"/>
      <c r="H668" s="80"/>
      <c r="I668" s="80"/>
      <c r="J668" s="80"/>
      <c r="K668" s="107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  <c r="AD668" s="80"/>
      <c r="AE668" s="80"/>
      <c r="AF668" s="80"/>
      <c r="AG668" s="80"/>
    </row>
    <row r="669" spans="1:33" ht="13.8">
      <c r="A669" s="84"/>
      <c r="B669" s="84"/>
      <c r="C669" s="84"/>
      <c r="D669" s="84"/>
      <c r="E669" s="80"/>
      <c r="F669" s="80"/>
      <c r="G669" s="80"/>
      <c r="H669" s="80"/>
      <c r="I669" s="80"/>
      <c r="J669" s="80"/>
      <c r="K669" s="107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  <c r="AD669" s="80"/>
      <c r="AE669" s="80"/>
      <c r="AF669" s="80"/>
      <c r="AG669" s="80"/>
    </row>
    <row r="670" spans="1:33" ht="13.8">
      <c r="A670" s="84"/>
      <c r="B670" s="84"/>
      <c r="C670" s="84"/>
      <c r="D670" s="84"/>
      <c r="E670" s="80"/>
      <c r="F670" s="80"/>
      <c r="G670" s="80"/>
      <c r="H670" s="80"/>
      <c r="I670" s="80"/>
      <c r="J670" s="80"/>
      <c r="K670" s="107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  <c r="AE670" s="80"/>
      <c r="AF670" s="80"/>
      <c r="AG670" s="80"/>
    </row>
    <row r="671" spans="1:33" ht="13.8">
      <c r="A671" s="84"/>
      <c r="B671" s="84"/>
      <c r="C671" s="84"/>
      <c r="D671" s="84"/>
      <c r="E671" s="80"/>
      <c r="F671" s="80"/>
      <c r="G671" s="80"/>
      <c r="H671" s="80"/>
      <c r="I671" s="80"/>
      <c r="J671" s="80"/>
      <c r="K671" s="107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  <c r="AD671" s="80"/>
      <c r="AE671" s="80"/>
      <c r="AF671" s="80"/>
      <c r="AG671" s="80"/>
    </row>
    <row r="672" spans="1:33" ht="13.8">
      <c r="A672" s="84"/>
      <c r="B672" s="84"/>
      <c r="C672" s="84"/>
      <c r="D672" s="84"/>
      <c r="E672" s="80"/>
      <c r="F672" s="80"/>
      <c r="G672" s="80"/>
      <c r="H672" s="80"/>
      <c r="I672" s="80"/>
      <c r="J672" s="80"/>
      <c r="K672" s="107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  <c r="AD672" s="80"/>
      <c r="AE672" s="80"/>
      <c r="AF672" s="80"/>
      <c r="AG672" s="80"/>
    </row>
    <row r="673" spans="1:33" ht="13.8">
      <c r="A673" s="84"/>
      <c r="B673" s="84"/>
      <c r="C673" s="84"/>
      <c r="D673" s="84"/>
      <c r="E673" s="80"/>
      <c r="F673" s="80"/>
      <c r="G673" s="80"/>
      <c r="H673" s="80"/>
      <c r="I673" s="80"/>
      <c r="J673" s="80"/>
      <c r="K673" s="107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  <c r="AD673" s="80"/>
      <c r="AE673" s="80"/>
      <c r="AF673" s="80"/>
      <c r="AG673" s="80"/>
    </row>
    <row r="674" spans="1:33" ht="13.8">
      <c r="A674" s="84"/>
      <c r="B674" s="84"/>
      <c r="C674" s="84"/>
      <c r="D674" s="84"/>
      <c r="E674" s="80"/>
      <c r="F674" s="80"/>
      <c r="G674" s="80"/>
      <c r="H674" s="80"/>
      <c r="I674" s="80"/>
      <c r="J674" s="80"/>
      <c r="K674" s="107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  <c r="AD674" s="80"/>
      <c r="AE674" s="80"/>
      <c r="AF674" s="80"/>
      <c r="AG674" s="80"/>
    </row>
    <row r="675" spans="1:33" ht="13.8">
      <c r="A675" s="84"/>
      <c r="B675" s="84"/>
      <c r="C675" s="84"/>
      <c r="D675" s="84"/>
      <c r="E675" s="80"/>
      <c r="F675" s="80"/>
      <c r="G675" s="80"/>
      <c r="H675" s="80"/>
      <c r="I675" s="80"/>
      <c r="J675" s="80"/>
      <c r="K675" s="107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  <c r="AD675" s="80"/>
      <c r="AE675" s="80"/>
      <c r="AF675" s="80"/>
      <c r="AG675" s="80"/>
    </row>
    <row r="676" spans="1:33" ht="13.8">
      <c r="A676" s="84"/>
      <c r="B676" s="84"/>
      <c r="C676" s="84"/>
      <c r="D676" s="84"/>
      <c r="E676" s="80"/>
      <c r="F676" s="80"/>
      <c r="G676" s="80"/>
      <c r="H676" s="80"/>
      <c r="I676" s="80"/>
      <c r="J676" s="80"/>
      <c r="K676" s="107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  <c r="AD676" s="80"/>
      <c r="AE676" s="80"/>
      <c r="AF676" s="80"/>
      <c r="AG676" s="80"/>
    </row>
    <row r="677" spans="1:33" ht="13.8">
      <c r="A677" s="84"/>
      <c r="B677" s="84"/>
      <c r="C677" s="84"/>
      <c r="D677" s="84"/>
      <c r="E677" s="80"/>
      <c r="F677" s="80"/>
      <c r="G677" s="80"/>
      <c r="H677" s="80"/>
      <c r="I677" s="80"/>
      <c r="J677" s="80"/>
      <c r="K677" s="107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  <c r="AD677" s="80"/>
      <c r="AE677" s="80"/>
      <c r="AF677" s="80"/>
      <c r="AG677" s="80"/>
    </row>
    <row r="678" spans="1:33" ht="13.8">
      <c r="A678" s="84"/>
      <c r="B678" s="84"/>
      <c r="C678" s="84"/>
      <c r="D678" s="84"/>
      <c r="E678" s="80"/>
      <c r="F678" s="80"/>
      <c r="G678" s="80"/>
      <c r="H678" s="80"/>
      <c r="I678" s="80"/>
      <c r="J678" s="80"/>
      <c r="K678" s="107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  <c r="AD678" s="80"/>
      <c r="AE678" s="80"/>
      <c r="AF678" s="80"/>
      <c r="AG678" s="80"/>
    </row>
    <row r="679" spans="1:33" ht="13.8">
      <c r="A679" s="84"/>
      <c r="B679" s="84"/>
      <c r="C679" s="84"/>
      <c r="D679" s="84"/>
      <c r="E679" s="80"/>
      <c r="F679" s="80"/>
      <c r="G679" s="80"/>
      <c r="H679" s="80"/>
      <c r="I679" s="80"/>
      <c r="J679" s="80"/>
      <c r="K679" s="107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  <c r="AD679" s="80"/>
      <c r="AE679" s="80"/>
      <c r="AF679" s="80"/>
      <c r="AG679" s="80"/>
    </row>
    <row r="680" spans="1:33" ht="13.8">
      <c r="A680" s="84"/>
      <c r="B680" s="84"/>
      <c r="C680" s="84"/>
      <c r="D680" s="84"/>
      <c r="E680" s="80"/>
      <c r="F680" s="80"/>
      <c r="G680" s="80"/>
      <c r="H680" s="80"/>
      <c r="I680" s="80"/>
      <c r="J680" s="80"/>
      <c r="K680" s="107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  <c r="AD680" s="80"/>
      <c r="AE680" s="80"/>
      <c r="AF680" s="80"/>
      <c r="AG680" s="80"/>
    </row>
    <row r="681" spans="1:33" ht="13.8">
      <c r="A681" s="84"/>
      <c r="B681" s="84"/>
      <c r="C681" s="84"/>
      <c r="D681" s="84"/>
      <c r="E681" s="80"/>
      <c r="F681" s="80"/>
      <c r="G681" s="80"/>
      <c r="H681" s="80"/>
      <c r="I681" s="80"/>
      <c r="J681" s="80"/>
      <c r="K681" s="107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  <c r="AD681" s="80"/>
      <c r="AE681" s="80"/>
      <c r="AF681" s="80"/>
      <c r="AG681" s="80"/>
    </row>
    <row r="682" spans="1:33" ht="13.8">
      <c r="A682" s="84"/>
      <c r="B682" s="84"/>
      <c r="C682" s="84"/>
      <c r="D682" s="84"/>
      <c r="E682" s="80"/>
      <c r="F682" s="80"/>
      <c r="G682" s="80"/>
      <c r="H682" s="80"/>
      <c r="I682" s="80"/>
      <c r="J682" s="80"/>
      <c r="K682" s="107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  <c r="AD682" s="80"/>
      <c r="AE682" s="80"/>
      <c r="AF682" s="80"/>
      <c r="AG682" s="80"/>
    </row>
    <row r="683" spans="1:33" ht="13.8">
      <c r="A683" s="84"/>
      <c r="B683" s="84"/>
      <c r="C683" s="84"/>
      <c r="D683" s="84"/>
      <c r="E683" s="80"/>
      <c r="F683" s="80"/>
      <c r="G683" s="80"/>
      <c r="H683" s="80"/>
      <c r="I683" s="80"/>
      <c r="J683" s="80"/>
      <c r="K683" s="107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</row>
    <row r="684" spans="1:33" ht="13.8">
      <c r="A684" s="84"/>
      <c r="B684" s="84"/>
      <c r="C684" s="84"/>
      <c r="D684" s="84"/>
      <c r="E684" s="80"/>
      <c r="F684" s="80"/>
      <c r="G684" s="80"/>
      <c r="H684" s="80"/>
      <c r="I684" s="80"/>
      <c r="J684" s="80"/>
      <c r="K684" s="107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  <c r="AD684" s="80"/>
      <c r="AE684" s="80"/>
      <c r="AF684" s="80"/>
      <c r="AG684" s="80"/>
    </row>
    <row r="685" spans="1:33" ht="13.8">
      <c r="A685" s="84"/>
      <c r="B685" s="84"/>
      <c r="C685" s="84"/>
      <c r="D685" s="84"/>
      <c r="E685" s="80"/>
      <c r="F685" s="80"/>
      <c r="G685" s="80"/>
      <c r="H685" s="80"/>
      <c r="I685" s="80"/>
      <c r="J685" s="80"/>
      <c r="K685" s="107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  <c r="AD685" s="80"/>
      <c r="AE685" s="80"/>
      <c r="AF685" s="80"/>
      <c r="AG685" s="80"/>
    </row>
    <row r="686" spans="1:33" ht="13.8">
      <c r="A686" s="84"/>
      <c r="B686" s="84"/>
      <c r="C686" s="84"/>
      <c r="D686" s="84"/>
      <c r="E686" s="80"/>
      <c r="F686" s="80"/>
      <c r="G686" s="80"/>
      <c r="H686" s="80"/>
      <c r="I686" s="80"/>
      <c r="J686" s="80"/>
      <c r="K686" s="107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  <c r="AD686" s="80"/>
      <c r="AE686" s="80"/>
      <c r="AF686" s="80"/>
      <c r="AG686" s="80"/>
    </row>
    <row r="687" spans="1:33" ht="13.8">
      <c r="A687" s="84"/>
      <c r="B687" s="84"/>
      <c r="C687" s="84"/>
      <c r="D687" s="84"/>
      <c r="E687" s="80"/>
      <c r="F687" s="80"/>
      <c r="G687" s="80"/>
      <c r="H687" s="80"/>
      <c r="I687" s="80"/>
      <c r="J687" s="80"/>
      <c r="K687" s="107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  <c r="AD687" s="80"/>
      <c r="AE687" s="80"/>
      <c r="AF687" s="80"/>
      <c r="AG687" s="80"/>
    </row>
    <row r="688" spans="1:33" ht="13.8">
      <c r="A688" s="84"/>
      <c r="B688" s="84"/>
      <c r="C688" s="84"/>
      <c r="D688" s="84"/>
      <c r="E688" s="80"/>
      <c r="F688" s="80"/>
      <c r="G688" s="80"/>
      <c r="H688" s="80"/>
      <c r="I688" s="80"/>
      <c r="J688" s="80"/>
      <c r="K688" s="107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  <c r="AD688" s="80"/>
      <c r="AE688" s="80"/>
      <c r="AF688" s="80"/>
      <c r="AG688" s="80"/>
    </row>
    <row r="689" spans="1:33" ht="13.8">
      <c r="A689" s="84"/>
      <c r="B689" s="84"/>
      <c r="C689" s="84"/>
      <c r="D689" s="84"/>
      <c r="E689" s="80"/>
      <c r="F689" s="80"/>
      <c r="G689" s="80"/>
      <c r="H689" s="80"/>
      <c r="I689" s="80"/>
      <c r="J689" s="80"/>
      <c r="K689" s="107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  <c r="AD689" s="80"/>
      <c r="AE689" s="80"/>
      <c r="AF689" s="80"/>
      <c r="AG689" s="80"/>
    </row>
    <row r="690" spans="1:33" ht="13.8">
      <c r="A690" s="84"/>
      <c r="B690" s="84"/>
      <c r="C690" s="84"/>
      <c r="D690" s="84"/>
      <c r="E690" s="80"/>
      <c r="F690" s="80"/>
      <c r="G690" s="80"/>
      <c r="H690" s="80"/>
      <c r="I690" s="80"/>
      <c r="J690" s="80"/>
      <c r="K690" s="107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  <c r="AD690" s="80"/>
      <c r="AE690" s="80"/>
      <c r="AF690" s="80"/>
      <c r="AG690" s="80"/>
    </row>
    <row r="691" spans="1:33" ht="13.8">
      <c r="A691" s="84"/>
      <c r="B691" s="84"/>
      <c r="C691" s="84"/>
      <c r="D691" s="84"/>
      <c r="E691" s="80"/>
      <c r="F691" s="80"/>
      <c r="G691" s="80"/>
      <c r="H691" s="80"/>
      <c r="I691" s="80"/>
      <c r="J691" s="80"/>
      <c r="K691" s="107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  <c r="AD691" s="80"/>
      <c r="AE691" s="80"/>
      <c r="AF691" s="80"/>
      <c r="AG691" s="80"/>
    </row>
    <row r="692" spans="1:33" ht="13.8">
      <c r="A692" s="84"/>
      <c r="B692" s="84"/>
      <c r="C692" s="84"/>
      <c r="D692" s="84"/>
      <c r="E692" s="80"/>
      <c r="F692" s="80"/>
      <c r="G692" s="80"/>
      <c r="H692" s="80"/>
      <c r="I692" s="80"/>
      <c r="J692" s="80"/>
      <c r="K692" s="107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  <c r="AD692" s="80"/>
      <c r="AE692" s="80"/>
      <c r="AF692" s="80"/>
      <c r="AG692" s="80"/>
    </row>
    <row r="693" spans="1:33" ht="13.8">
      <c r="A693" s="84"/>
      <c r="B693" s="84"/>
      <c r="C693" s="84"/>
      <c r="D693" s="84"/>
      <c r="E693" s="80"/>
      <c r="F693" s="80"/>
      <c r="G693" s="80"/>
      <c r="H693" s="80"/>
      <c r="I693" s="80"/>
      <c r="J693" s="80"/>
      <c r="K693" s="107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  <c r="AD693" s="80"/>
      <c r="AE693" s="80"/>
      <c r="AF693" s="80"/>
      <c r="AG693" s="80"/>
    </row>
    <row r="694" spans="1:33" ht="13.8">
      <c r="A694" s="84"/>
      <c r="B694" s="84"/>
      <c r="C694" s="84"/>
      <c r="D694" s="84"/>
      <c r="E694" s="80"/>
      <c r="F694" s="80"/>
      <c r="G694" s="80"/>
      <c r="H694" s="80"/>
      <c r="I694" s="80"/>
      <c r="J694" s="80"/>
      <c r="K694" s="107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  <c r="AD694" s="80"/>
      <c r="AE694" s="80"/>
      <c r="AF694" s="80"/>
      <c r="AG694" s="80"/>
    </row>
    <row r="695" spans="1:33" ht="13.8">
      <c r="A695" s="84"/>
      <c r="B695" s="84"/>
      <c r="C695" s="84"/>
      <c r="D695" s="84"/>
      <c r="E695" s="80"/>
      <c r="F695" s="80"/>
      <c r="G695" s="80"/>
      <c r="H695" s="80"/>
      <c r="I695" s="80"/>
      <c r="J695" s="80"/>
      <c r="K695" s="107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  <c r="AD695" s="80"/>
      <c r="AE695" s="80"/>
      <c r="AF695" s="80"/>
      <c r="AG695" s="80"/>
    </row>
    <row r="696" spans="1:33" ht="13.8">
      <c r="A696" s="84"/>
      <c r="B696" s="84"/>
      <c r="C696" s="84"/>
      <c r="D696" s="84"/>
      <c r="E696" s="80"/>
      <c r="F696" s="80"/>
      <c r="G696" s="80"/>
      <c r="H696" s="80"/>
      <c r="I696" s="80"/>
      <c r="J696" s="80"/>
      <c r="K696" s="107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  <c r="AD696" s="80"/>
      <c r="AE696" s="80"/>
      <c r="AF696" s="80"/>
      <c r="AG696" s="80"/>
    </row>
    <row r="697" spans="1:33" ht="13.8">
      <c r="A697" s="84"/>
      <c r="B697" s="84"/>
      <c r="C697" s="84"/>
      <c r="D697" s="84"/>
      <c r="E697" s="80"/>
      <c r="F697" s="80"/>
      <c r="G697" s="80"/>
      <c r="H697" s="80"/>
      <c r="I697" s="80"/>
      <c r="J697" s="80"/>
      <c r="K697" s="107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  <c r="AD697" s="80"/>
      <c r="AE697" s="80"/>
      <c r="AF697" s="80"/>
      <c r="AG697" s="80"/>
    </row>
    <row r="698" spans="1:33" ht="13.8">
      <c r="A698" s="84"/>
      <c r="B698" s="84"/>
      <c r="C698" s="84"/>
      <c r="D698" s="84"/>
      <c r="E698" s="80"/>
      <c r="F698" s="80"/>
      <c r="G698" s="80"/>
      <c r="H698" s="80"/>
      <c r="I698" s="80"/>
      <c r="J698" s="80"/>
      <c r="K698" s="107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  <c r="AD698" s="80"/>
      <c r="AE698" s="80"/>
      <c r="AF698" s="80"/>
      <c r="AG698" s="80"/>
    </row>
    <row r="699" spans="1:33" ht="13.8">
      <c r="A699" s="84"/>
      <c r="B699" s="84"/>
      <c r="C699" s="84"/>
      <c r="D699" s="84"/>
      <c r="E699" s="80"/>
      <c r="F699" s="80"/>
      <c r="G699" s="80"/>
      <c r="H699" s="80"/>
      <c r="I699" s="80"/>
      <c r="J699" s="80"/>
      <c r="K699" s="107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  <c r="AD699" s="80"/>
      <c r="AE699" s="80"/>
      <c r="AF699" s="80"/>
      <c r="AG699" s="80"/>
    </row>
    <row r="700" spans="1:33" ht="13.8">
      <c r="A700" s="84"/>
      <c r="B700" s="84"/>
      <c r="C700" s="84"/>
      <c r="D700" s="84"/>
      <c r="E700" s="80"/>
      <c r="F700" s="80"/>
      <c r="G700" s="80"/>
      <c r="H700" s="80"/>
      <c r="I700" s="80"/>
      <c r="J700" s="80"/>
      <c r="K700" s="107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  <c r="AD700" s="80"/>
      <c r="AE700" s="80"/>
      <c r="AF700" s="80"/>
      <c r="AG700" s="80"/>
    </row>
    <row r="701" spans="1:33" ht="13.8">
      <c r="A701" s="84"/>
      <c r="B701" s="84"/>
      <c r="C701" s="84"/>
      <c r="D701" s="84"/>
      <c r="E701" s="80"/>
      <c r="F701" s="80"/>
      <c r="G701" s="80"/>
      <c r="H701" s="80"/>
      <c r="I701" s="80"/>
      <c r="J701" s="80"/>
      <c r="K701" s="107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  <c r="AD701" s="80"/>
      <c r="AE701" s="80"/>
      <c r="AF701" s="80"/>
      <c r="AG701" s="80"/>
    </row>
    <row r="702" spans="1:33" ht="13.8">
      <c r="A702" s="84"/>
      <c r="B702" s="84"/>
      <c r="C702" s="84"/>
      <c r="D702" s="84"/>
      <c r="E702" s="80"/>
      <c r="F702" s="80"/>
      <c r="G702" s="80"/>
      <c r="H702" s="80"/>
      <c r="I702" s="80"/>
      <c r="J702" s="80"/>
      <c r="K702" s="107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  <c r="AD702" s="80"/>
      <c r="AE702" s="80"/>
      <c r="AF702" s="80"/>
      <c r="AG702" s="80"/>
    </row>
    <row r="703" spans="1:33" ht="13.8">
      <c r="A703" s="84"/>
      <c r="B703" s="84"/>
      <c r="C703" s="84"/>
      <c r="D703" s="84"/>
      <c r="E703" s="80"/>
      <c r="F703" s="80"/>
      <c r="G703" s="80"/>
      <c r="H703" s="80"/>
      <c r="I703" s="80"/>
      <c r="J703" s="80"/>
      <c r="K703" s="107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  <c r="AD703" s="80"/>
      <c r="AE703" s="80"/>
      <c r="AF703" s="80"/>
      <c r="AG703" s="80"/>
    </row>
    <row r="704" spans="1:33" ht="13.8">
      <c r="A704" s="84"/>
      <c r="B704" s="84"/>
      <c r="C704" s="84"/>
      <c r="D704" s="84"/>
      <c r="E704" s="80"/>
      <c r="F704" s="80"/>
      <c r="G704" s="80"/>
      <c r="H704" s="80"/>
      <c r="I704" s="80"/>
      <c r="J704" s="80"/>
      <c r="K704" s="107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  <c r="AD704" s="80"/>
      <c r="AE704" s="80"/>
      <c r="AF704" s="80"/>
      <c r="AG704" s="80"/>
    </row>
    <row r="705" spans="1:33" ht="13.8">
      <c r="A705" s="84"/>
      <c r="B705" s="84"/>
      <c r="C705" s="84"/>
      <c r="D705" s="84"/>
      <c r="E705" s="80"/>
      <c r="F705" s="80"/>
      <c r="G705" s="80"/>
      <c r="H705" s="80"/>
      <c r="I705" s="80"/>
      <c r="J705" s="80"/>
      <c r="K705" s="107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  <c r="AD705" s="80"/>
      <c r="AE705" s="80"/>
      <c r="AF705" s="80"/>
      <c r="AG705" s="80"/>
    </row>
    <row r="706" spans="1:33" ht="13.8">
      <c r="A706" s="84"/>
      <c r="B706" s="84"/>
      <c r="C706" s="84"/>
      <c r="D706" s="84"/>
      <c r="E706" s="80"/>
      <c r="F706" s="80"/>
      <c r="G706" s="80"/>
      <c r="H706" s="80"/>
      <c r="I706" s="80"/>
      <c r="J706" s="80"/>
      <c r="K706" s="107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  <c r="AD706" s="80"/>
      <c r="AE706" s="80"/>
      <c r="AF706" s="80"/>
      <c r="AG706" s="80"/>
    </row>
    <row r="707" spans="1:33" ht="13.8">
      <c r="A707" s="84"/>
      <c r="B707" s="84"/>
      <c r="C707" s="84"/>
      <c r="D707" s="84"/>
      <c r="E707" s="80"/>
      <c r="F707" s="80"/>
      <c r="G707" s="80"/>
      <c r="H707" s="80"/>
      <c r="I707" s="80"/>
      <c r="J707" s="80"/>
      <c r="K707" s="107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  <c r="AD707" s="80"/>
      <c r="AE707" s="80"/>
      <c r="AF707" s="80"/>
      <c r="AG707" s="80"/>
    </row>
    <row r="708" spans="1:33" ht="13.8">
      <c r="A708" s="84"/>
      <c r="B708" s="84"/>
      <c r="C708" s="84"/>
      <c r="D708" s="84"/>
      <c r="E708" s="80"/>
      <c r="F708" s="80"/>
      <c r="G708" s="80"/>
      <c r="H708" s="80"/>
      <c r="I708" s="80"/>
      <c r="J708" s="80"/>
      <c r="K708" s="107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  <c r="AD708" s="80"/>
      <c r="AE708" s="80"/>
      <c r="AF708" s="80"/>
      <c r="AG708" s="80"/>
    </row>
    <row r="709" spans="1:33" ht="13.8">
      <c r="A709" s="84"/>
      <c r="B709" s="84"/>
      <c r="C709" s="84"/>
      <c r="D709" s="84"/>
      <c r="E709" s="80"/>
      <c r="F709" s="80"/>
      <c r="G709" s="80"/>
      <c r="H709" s="80"/>
      <c r="I709" s="80"/>
      <c r="J709" s="80"/>
      <c r="K709" s="107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  <c r="AD709" s="80"/>
      <c r="AE709" s="80"/>
      <c r="AF709" s="80"/>
      <c r="AG709" s="80"/>
    </row>
    <row r="710" spans="1:33" ht="13.8">
      <c r="A710" s="84"/>
      <c r="B710" s="84"/>
      <c r="C710" s="84"/>
      <c r="D710" s="84"/>
      <c r="E710" s="80"/>
      <c r="F710" s="80"/>
      <c r="G710" s="80"/>
      <c r="H710" s="80"/>
      <c r="I710" s="80"/>
      <c r="J710" s="80"/>
      <c r="K710" s="107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  <c r="AD710" s="80"/>
      <c r="AE710" s="80"/>
      <c r="AF710" s="80"/>
      <c r="AG710" s="80"/>
    </row>
    <row r="711" spans="1:33" ht="13.8">
      <c r="A711" s="84"/>
      <c r="B711" s="84"/>
      <c r="C711" s="84"/>
      <c r="D711" s="84"/>
      <c r="E711" s="80"/>
      <c r="F711" s="80"/>
      <c r="G711" s="80"/>
      <c r="H711" s="80"/>
      <c r="I711" s="80"/>
      <c r="J711" s="80"/>
      <c r="K711" s="107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  <c r="AD711" s="80"/>
      <c r="AE711" s="80"/>
      <c r="AF711" s="80"/>
      <c r="AG711" s="80"/>
    </row>
    <row r="712" spans="1:33" ht="13.8">
      <c r="A712" s="84"/>
      <c r="B712" s="84"/>
      <c r="C712" s="84"/>
      <c r="D712" s="84"/>
      <c r="E712" s="80"/>
      <c r="F712" s="80"/>
      <c r="G712" s="80"/>
      <c r="H712" s="80"/>
      <c r="I712" s="80"/>
      <c r="J712" s="80"/>
      <c r="K712" s="107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  <c r="AD712" s="80"/>
      <c r="AE712" s="80"/>
      <c r="AF712" s="80"/>
      <c r="AG712" s="80"/>
    </row>
    <row r="713" spans="1:33" ht="13.8">
      <c r="A713" s="84"/>
      <c r="B713" s="84"/>
      <c r="C713" s="84"/>
      <c r="D713" s="84"/>
      <c r="E713" s="80"/>
      <c r="F713" s="80"/>
      <c r="G713" s="80"/>
      <c r="H713" s="80"/>
      <c r="I713" s="80"/>
      <c r="J713" s="80"/>
      <c r="K713" s="107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  <c r="AD713" s="80"/>
      <c r="AE713" s="80"/>
      <c r="AF713" s="80"/>
      <c r="AG713" s="80"/>
    </row>
    <row r="714" spans="1:33" ht="13.8">
      <c r="A714" s="84"/>
      <c r="B714" s="84"/>
      <c r="C714" s="84"/>
      <c r="D714" s="84"/>
      <c r="E714" s="80"/>
      <c r="F714" s="80"/>
      <c r="G714" s="80"/>
      <c r="H714" s="80"/>
      <c r="I714" s="80"/>
      <c r="J714" s="80"/>
      <c r="K714" s="107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  <c r="AD714" s="80"/>
      <c r="AE714" s="80"/>
      <c r="AF714" s="80"/>
      <c r="AG714" s="80"/>
    </row>
    <row r="715" spans="1:33" ht="13.8">
      <c r="A715" s="84"/>
      <c r="B715" s="84"/>
      <c r="C715" s="84"/>
      <c r="D715" s="84"/>
      <c r="E715" s="80"/>
      <c r="F715" s="80"/>
      <c r="G715" s="80"/>
      <c r="H715" s="80"/>
      <c r="I715" s="80"/>
      <c r="J715" s="80"/>
      <c r="K715" s="107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  <c r="AD715" s="80"/>
      <c r="AE715" s="80"/>
      <c r="AF715" s="80"/>
      <c r="AG715" s="80"/>
    </row>
    <row r="716" spans="1:33" ht="13.8">
      <c r="A716" s="84"/>
      <c r="B716" s="84"/>
      <c r="C716" s="84"/>
      <c r="D716" s="84"/>
      <c r="E716" s="80"/>
      <c r="F716" s="80"/>
      <c r="G716" s="80"/>
      <c r="H716" s="80"/>
      <c r="I716" s="80"/>
      <c r="J716" s="80"/>
      <c r="K716" s="107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  <c r="AD716" s="80"/>
      <c r="AE716" s="80"/>
      <c r="AF716" s="80"/>
      <c r="AG716" s="80"/>
    </row>
    <row r="717" spans="1:33" ht="13.8">
      <c r="A717" s="84"/>
      <c r="B717" s="84"/>
      <c r="C717" s="84"/>
      <c r="D717" s="84"/>
      <c r="E717" s="80"/>
      <c r="F717" s="80"/>
      <c r="G717" s="80"/>
      <c r="H717" s="80"/>
      <c r="I717" s="80"/>
      <c r="J717" s="80"/>
      <c r="K717" s="107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  <c r="AD717" s="80"/>
      <c r="AE717" s="80"/>
      <c r="AF717" s="80"/>
      <c r="AG717" s="80"/>
    </row>
    <row r="718" spans="1:33" ht="13.8">
      <c r="A718" s="84"/>
      <c r="B718" s="84"/>
      <c r="C718" s="84"/>
      <c r="D718" s="84"/>
      <c r="E718" s="80"/>
      <c r="F718" s="80"/>
      <c r="G718" s="80"/>
      <c r="H718" s="80"/>
      <c r="I718" s="80"/>
      <c r="J718" s="80"/>
      <c r="K718" s="107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  <c r="AD718" s="80"/>
      <c r="AE718" s="80"/>
      <c r="AF718" s="80"/>
      <c r="AG718" s="80"/>
    </row>
    <row r="719" spans="1:33" ht="13.8">
      <c r="A719" s="84"/>
      <c r="B719" s="84"/>
      <c r="C719" s="84"/>
      <c r="D719" s="84"/>
      <c r="E719" s="80"/>
      <c r="F719" s="80"/>
      <c r="G719" s="80"/>
      <c r="H719" s="80"/>
      <c r="I719" s="80"/>
      <c r="J719" s="80"/>
      <c r="K719" s="107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  <c r="AD719" s="80"/>
      <c r="AE719" s="80"/>
      <c r="AF719" s="80"/>
      <c r="AG719" s="80"/>
    </row>
    <row r="720" spans="1:33" ht="13.8">
      <c r="A720" s="84"/>
      <c r="B720" s="84"/>
      <c r="C720" s="84"/>
      <c r="D720" s="84"/>
      <c r="E720" s="80"/>
      <c r="F720" s="80"/>
      <c r="G720" s="80"/>
      <c r="H720" s="80"/>
      <c r="I720" s="80"/>
      <c r="J720" s="80"/>
      <c r="K720" s="107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  <c r="AD720" s="80"/>
      <c r="AE720" s="80"/>
      <c r="AF720" s="80"/>
      <c r="AG720" s="80"/>
    </row>
    <row r="721" spans="1:33" ht="13.8">
      <c r="A721" s="84"/>
      <c r="B721" s="84"/>
      <c r="C721" s="84"/>
      <c r="D721" s="84"/>
      <c r="E721" s="80"/>
      <c r="F721" s="80"/>
      <c r="G721" s="80"/>
      <c r="H721" s="80"/>
      <c r="I721" s="80"/>
      <c r="J721" s="80"/>
      <c r="K721" s="107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  <c r="AD721" s="80"/>
      <c r="AE721" s="80"/>
      <c r="AF721" s="80"/>
      <c r="AG721" s="80"/>
    </row>
    <row r="722" spans="1:33" ht="13.8">
      <c r="A722" s="84"/>
      <c r="B722" s="84"/>
      <c r="C722" s="84"/>
      <c r="D722" s="84"/>
      <c r="E722" s="80"/>
      <c r="F722" s="80"/>
      <c r="G722" s="80"/>
      <c r="H722" s="80"/>
      <c r="I722" s="80"/>
      <c r="J722" s="80"/>
      <c r="K722" s="107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  <c r="AD722" s="80"/>
      <c r="AE722" s="80"/>
      <c r="AF722" s="80"/>
      <c r="AG722" s="80"/>
    </row>
    <row r="723" spans="1:33" ht="13.8">
      <c r="A723" s="84"/>
      <c r="B723" s="84"/>
      <c r="C723" s="84"/>
      <c r="D723" s="84"/>
      <c r="E723" s="80"/>
      <c r="F723" s="80"/>
      <c r="G723" s="80"/>
      <c r="H723" s="80"/>
      <c r="I723" s="80"/>
      <c r="J723" s="80"/>
      <c r="K723" s="107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</row>
    <row r="724" spans="1:33" ht="13.8">
      <c r="A724" s="84"/>
      <c r="B724" s="84"/>
      <c r="C724" s="84"/>
      <c r="D724" s="84"/>
      <c r="E724" s="80"/>
      <c r="F724" s="80"/>
      <c r="G724" s="80"/>
      <c r="H724" s="80"/>
      <c r="I724" s="80"/>
      <c r="J724" s="80"/>
      <c r="K724" s="107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  <c r="AD724" s="80"/>
      <c r="AE724" s="80"/>
      <c r="AF724" s="80"/>
      <c r="AG724" s="80"/>
    </row>
    <row r="725" spans="1:33" ht="13.8">
      <c r="A725" s="84"/>
      <c r="B725" s="84"/>
      <c r="C725" s="84"/>
      <c r="D725" s="84"/>
      <c r="E725" s="80"/>
      <c r="F725" s="80"/>
      <c r="G725" s="80"/>
      <c r="H725" s="80"/>
      <c r="I725" s="80"/>
      <c r="J725" s="80"/>
      <c r="K725" s="107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  <c r="AD725" s="80"/>
      <c r="AE725" s="80"/>
      <c r="AF725" s="80"/>
      <c r="AG725" s="80"/>
    </row>
    <row r="726" spans="1:33" ht="13.8">
      <c r="A726" s="84"/>
      <c r="B726" s="84"/>
      <c r="C726" s="84"/>
      <c r="D726" s="84"/>
      <c r="E726" s="80"/>
      <c r="F726" s="80"/>
      <c r="G726" s="80"/>
      <c r="H726" s="80"/>
      <c r="I726" s="80"/>
      <c r="J726" s="80"/>
      <c r="K726" s="107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  <c r="AD726" s="80"/>
      <c r="AE726" s="80"/>
      <c r="AF726" s="80"/>
      <c r="AG726" s="80"/>
    </row>
    <row r="727" spans="1:33" ht="13.8">
      <c r="A727" s="84"/>
      <c r="B727" s="84"/>
      <c r="C727" s="84"/>
      <c r="D727" s="84"/>
      <c r="E727" s="80"/>
      <c r="F727" s="80"/>
      <c r="G727" s="80"/>
      <c r="H727" s="80"/>
      <c r="I727" s="80"/>
      <c r="J727" s="80"/>
      <c r="K727" s="107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  <c r="AD727" s="80"/>
      <c r="AE727" s="80"/>
      <c r="AF727" s="80"/>
      <c r="AG727" s="80"/>
    </row>
    <row r="728" spans="1:33" ht="13.8">
      <c r="A728" s="84"/>
      <c r="B728" s="84"/>
      <c r="C728" s="84"/>
      <c r="D728" s="84"/>
      <c r="E728" s="80"/>
      <c r="F728" s="80"/>
      <c r="G728" s="80"/>
      <c r="H728" s="80"/>
      <c r="I728" s="80"/>
      <c r="J728" s="80"/>
      <c r="K728" s="107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  <c r="AD728" s="80"/>
      <c r="AE728" s="80"/>
      <c r="AF728" s="80"/>
      <c r="AG728" s="80"/>
    </row>
    <row r="729" spans="1:33" ht="13.8">
      <c r="A729" s="84"/>
      <c r="B729" s="84"/>
      <c r="C729" s="84"/>
      <c r="D729" s="84"/>
      <c r="E729" s="80"/>
      <c r="F729" s="80"/>
      <c r="G729" s="80"/>
      <c r="H729" s="80"/>
      <c r="I729" s="80"/>
      <c r="J729" s="80"/>
      <c r="K729" s="107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  <c r="AD729" s="80"/>
      <c r="AE729" s="80"/>
      <c r="AF729" s="80"/>
      <c r="AG729" s="80"/>
    </row>
    <row r="730" spans="1:33" ht="13.8">
      <c r="A730" s="84"/>
      <c r="B730" s="84"/>
      <c r="C730" s="84"/>
      <c r="D730" s="84"/>
      <c r="E730" s="80"/>
      <c r="F730" s="80"/>
      <c r="G730" s="80"/>
      <c r="H730" s="80"/>
      <c r="I730" s="80"/>
      <c r="J730" s="80"/>
      <c r="K730" s="107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  <c r="AD730" s="80"/>
      <c r="AE730" s="80"/>
      <c r="AF730" s="80"/>
      <c r="AG730" s="80"/>
    </row>
    <row r="731" spans="1:33" ht="13.8">
      <c r="A731" s="84"/>
      <c r="B731" s="84"/>
      <c r="C731" s="84"/>
      <c r="D731" s="84"/>
      <c r="E731" s="80"/>
      <c r="F731" s="80"/>
      <c r="G731" s="80"/>
      <c r="H731" s="80"/>
      <c r="I731" s="80"/>
      <c r="J731" s="80"/>
      <c r="K731" s="107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  <c r="AD731" s="80"/>
      <c r="AE731" s="80"/>
      <c r="AF731" s="80"/>
      <c r="AG731" s="80"/>
    </row>
    <row r="732" spans="1:33" ht="13.8">
      <c r="A732" s="84"/>
      <c r="B732" s="84"/>
      <c r="C732" s="84"/>
      <c r="D732" s="84"/>
      <c r="E732" s="80"/>
      <c r="F732" s="80"/>
      <c r="G732" s="80"/>
      <c r="H732" s="80"/>
      <c r="I732" s="80"/>
      <c r="J732" s="80"/>
      <c r="K732" s="107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  <c r="AD732" s="80"/>
      <c r="AE732" s="80"/>
      <c r="AF732" s="80"/>
      <c r="AG732" s="80"/>
    </row>
    <row r="733" spans="1:33" ht="13.8">
      <c r="A733" s="84"/>
      <c r="B733" s="84"/>
      <c r="C733" s="84"/>
      <c r="D733" s="84"/>
      <c r="E733" s="80"/>
      <c r="F733" s="80"/>
      <c r="G733" s="80"/>
      <c r="H733" s="80"/>
      <c r="I733" s="80"/>
      <c r="J733" s="80"/>
      <c r="K733" s="107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  <c r="AD733" s="80"/>
      <c r="AE733" s="80"/>
      <c r="AF733" s="80"/>
      <c r="AG733" s="80"/>
    </row>
    <row r="734" spans="1:33" ht="13.8">
      <c r="A734" s="84"/>
      <c r="B734" s="84"/>
      <c r="C734" s="84"/>
      <c r="D734" s="84"/>
      <c r="E734" s="80"/>
      <c r="F734" s="80"/>
      <c r="G734" s="80"/>
      <c r="H734" s="80"/>
      <c r="I734" s="80"/>
      <c r="J734" s="80"/>
      <c r="K734" s="107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  <c r="AD734" s="80"/>
      <c r="AE734" s="80"/>
      <c r="AF734" s="80"/>
      <c r="AG734" s="80"/>
    </row>
    <row r="735" spans="1:33" ht="13.8">
      <c r="A735" s="84"/>
      <c r="B735" s="84"/>
      <c r="C735" s="84"/>
      <c r="D735" s="84"/>
      <c r="E735" s="80"/>
      <c r="F735" s="80"/>
      <c r="G735" s="80"/>
      <c r="H735" s="80"/>
      <c r="I735" s="80"/>
      <c r="J735" s="80"/>
      <c r="K735" s="107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  <c r="AD735" s="80"/>
      <c r="AE735" s="80"/>
      <c r="AF735" s="80"/>
      <c r="AG735" s="80"/>
    </row>
    <row r="736" spans="1:33" ht="13.8">
      <c r="A736" s="84"/>
      <c r="B736" s="84"/>
      <c r="C736" s="84"/>
      <c r="D736" s="84"/>
      <c r="E736" s="80"/>
      <c r="F736" s="80"/>
      <c r="G736" s="80"/>
      <c r="H736" s="80"/>
      <c r="I736" s="80"/>
      <c r="J736" s="80"/>
      <c r="K736" s="107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  <c r="AD736" s="80"/>
      <c r="AE736" s="80"/>
      <c r="AF736" s="80"/>
      <c r="AG736" s="80"/>
    </row>
    <row r="737" spans="1:33" ht="13.8">
      <c r="A737" s="84"/>
      <c r="B737" s="84"/>
      <c r="C737" s="84"/>
      <c r="D737" s="84"/>
      <c r="E737" s="80"/>
      <c r="F737" s="80"/>
      <c r="G737" s="80"/>
      <c r="H737" s="80"/>
      <c r="I737" s="80"/>
      <c r="J737" s="80"/>
      <c r="K737" s="107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  <c r="AD737" s="80"/>
      <c r="AE737" s="80"/>
      <c r="AF737" s="80"/>
      <c r="AG737" s="80"/>
    </row>
    <row r="738" spans="1:33" ht="13.8">
      <c r="A738" s="84"/>
      <c r="B738" s="84"/>
      <c r="C738" s="84"/>
      <c r="D738" s="84"/>
      <c r="E738" s="80"/>
      <c r="F738" s="80"/>
      <c r="G738" s="80"/>
      <c r="H738" s="80"/>
      <c r="I738" s="80"/>
      <c r="J738" s="80"/>
      <c r="K738" s="107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  <c r="AD738" s="80"/>
      <c r="AE738" s="80"/>
      <c r="AF738" s="80"/>
      <c r="AG738" s="80"/>
    </row>
    <row r="739" spans="1:33" ht="13.8">
      <c r="A739" s="84"/>
      <c r="B739" s="84"/>
      <c r="C739" s="84"/>
      <c r="D739" s="84"/>
      <c r="E739" s="80"/>
      <c r="F739" s="80"/>
      <c r="G739" s="80"/>
      <c r="H739" s="80"/>
      <c r="I739" s="80"/>
      <c r="J739" s="80"/>
      <c r="K739" s="107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  <c r="AD739" s="80"/>
      <c r="AE739" s="80"/>
      <c r="AF739" s="80"/>
      <c r="AG739" s="80"/>
    </row>
    <row r="740" spans="1:33" ht="13.8">
      <c r="A740" s="84"/>
      <c r="B740" s="84"/>
      <c r="C740" s="84"/>
      <c r="D740" s="84"/>
      <c r="E740" s="80"/>
      <c r="F740" s="80"/>
      <c r="G740" s="80"/>
      <c r="H740" s="80"/>
      <c r="I740" s="80"/>
      <c r="J740" s="80"/>
      <c r="K740" s="107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  <c r="AD740" s="80"/>
      <c r="AE740" s="80"/>
      <c r="AF740" s="80"/>
      <c r="AG740" s="80"/>
    </row>
    <row r="741" spans="1:33" ht="13.8">
      <c r="A741" s="84"/>
      <c r="B741" s="84"/>
      <c r="C741" s="84"/>
      <c r="D741" s="84"/>
      <c r="E741" s="80"/>
      <c r="F741" s="80"/>
      <c r="G741" s="80"/>
      <c r="H741" s="80"/>
      <c r="I741" s="80"/>
      <c r="J741" s="80"/>
      <c r="K741" s="107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  <c r="AD741" s="80"/>
      <c r="AE741" s="80"/>
      <c r="AF741" s="80"/>
      <c r="AG741" s="80"/>
    </row>
    <row r="742" spans="1:33" ht="13.8">
      <c r="A742" s="84"/>
      <c r="B742" s="84"/>
      <c r="C742" s="84"/>
      <c r="D742" s="84"/>
      <c r="E742" s="80"/>
      <c r="F742" s="80"/>
      <c r="G742" s="80"/>
      <c r="H742" s="80"/>
      <c r="I742" s="80"/>
      <c r="J742" s="80"/>
      <c r="K742" s="107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  <c r="AD742" s="80"/>
      <c r="AE742" s="80"/>
      <c r="AF742" s="80"/>
      <c r="AG742" s="80"/>
    </row>
    <row r="743" spans="1:33" ht="13.8">
      <c r="A743" s="84"/>
      <c r="B743" s="84"/>
      <c r="C743" s="84"/>
      <c r="D743" s="84"/>
      <c r="E743" s="80"/>
      <c r="F743" s="80"/>
      <c r="G743" s="80"/>
      <c r="H743" s="80"/>
      <c r="I743" s="80"/>
      <c r="J743" s="80"/>
      <c r="K743" s="107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  <c r="AD743" s="80"/>
      <c r="AE743" s="80"/>
      <c r="AF743" s="80"/>
      <c r="AG743" s="80"/>
    </row>
    <row r="744" spans="1:33" ht="13.8">
      <c r="A744" s="84"/>
      <c r="B744" s="84"/>
      <c r="C744" s="84"/>
      <c r="D744" s="84"/>
      <c r="E744" s="80"/>
      <c r="F744" s="80"/>
      <c r="G744" s="80"/>
      <c r="H744" s="80"/>
      <c r="I744" s="80"/>
      <c r="J744" s="80"/>
      <c r="K744" s="107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  <c r="AD744" s="80"/>
      <c r="AE744" s="80"/>
      <c r="AF744" s="80"/>
      <c r="AG744" s="80"/>
    </row>
    <row r="745" spans="1:33" ht="13.8">
      <c r="A745" s="84"/>
      <c r="B745" s="84"/>
      <c r="C745" s="84"/>
      <c r="D745" s="84"/>
      <c r="E745" s="80"/>
      <c r="F745" s="80"/>
      <c r="G745" s="80"/>
      <c r="H745" s="80"/>
      <c r="I745" s="80"/>
      <c r="J745" s="80"/>
      <c r="K745" s="107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  <c r="AD745" s="80"/>
      <c r="AE745" s="80"/>
      <c r="AF745" s="80"/>
      <c r="AG745" s="80"/>
    </row>
    <row r="746" spans="1:33" ht="13.8">
      <c r="A746" s="84"/>
      <c r="B746" s="84"/>
      <c r="C746" s="84"/>
      <c r="D746" s="84"/>
      <c r="E746" s="80"/>
      <c r="F746" s="80"/>
      <c r="G746" s="80"/>
      <c r="H746" s="80"/>
      <c r="I746" s="80"/>
      <c r="J746" s="80"/>
      <c r="K746" s="107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  <c r="AD746" s="80"/>
      <c r="AE746" s="80"/>
      <c r="AF746" s="80"/>
      <c r="AG746" s="80"/>
    </row>
    <row r="747" spans="1:33" ht="13.8">
      <c r="A747" s="84"/>
      <c r="B747" s="84"/>
      <c r="C747" s="84"/>
      <c r="D747" s="84"/>
      <c r="E747" s="80"/>
      <c r="F747" s="80"/>
      <c r="G747" s="80"/>
      <c r="H747" s="80"/>
      <c r="I747" s="80"/>
      <c r="J747" s="80"/>
      <c r="K747" s="107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  <c r="AD747" s="80"/>
      <c r="AE747" s="80"/>
      <c r="AF747" s="80"/>
      <c r="AG747" s="80"/>
    </row>
    <row r="748" spans="1:33" ht="13.8">
      <c r="A748" s="84"/>
      <c r="B748" s="84"/>
      <c r="C748" s="84"/>
      <c r="D748" s="84"/>
      <c r="E748" s="80"/>
      <c r="F748" s="80"/>
      <c r="G748" s="80"/>
      <c r="H748" s="80"/>
      <c r="I748" s="80"/>
      <c r="J748" s="80"/>
      <c r="K748" s="107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  <c r="AD748" s="80"/>
      <c r="AE748" s="80"/>
      <c r="AF748" s="80"/>
      <c r="AG748" s="80"/>
    </row>
    <row r="749" spans="1:33" ht="13.8">
      <c r="A749" s="84"/>
      <c r="B749" s="84"/>
      <c r="C749" s="84"/>
      <c r="D749" s="84"/>
      <c r="E749" s="80"/>
      <c r="F749" s="80"/>
      <c r="G749" s="80"/>
      <c r="H749" s="80"/>
      <c r="I749" s="80"/>
      <c r="J749" s="80"/>
      <c r="K749" s="107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  <c r="AD749" s="80"/>
      <c r="AE749" s="80"/>
      <c r="AF749" s="80"/>
      <c r="AG749" s="80"/>
    </row>
    <row r="750" spans="1:33" ht="13.8">
      <c r="A750" s="84"/>
      <c r="B750" s="84"/>
      <c r="C750" s="84"/>
      <c r="D750" s="84"/>
      <c r="E750" s="80"/>
      <c r="F750" s="80"/>
      <c r="G750" s="80"/>
      <c r="H750" s="80"/>
      <c r="I750" s="80"/>
      <c r="J750" s="80"/>
      <c r="K750" s="107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  <c r="AD750" s="80"/>
      <c r="AE750" s="80"/>
      <c r="AF750" s="80"/>
      <c r="AG750" s="80"/>
    </row>
    <row r="751" spans="1:33" ht="13.8">
      <c r="A751" s="84"/>
      <c r="B751" s="84"/>
      <c r="C751" s="84"/>
      <c r="D751" s="84"/>
      <c r="E751" s="80"/>
      <c r="F751" s="80"/>
      <c r="G751" s="80"/>
      <c r="H751" s="80"/>
      <c r="I751" s="80"/>
      <c r="J751" s="80"/>
      <c r="K751" s="107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  <c r="AD751" s="80"/>
      <c r="AE751" s="80"/>
      <c r="AF751" s="80"/>
      <c r="AG751" s="80"/>
    </row>
    <row r="752" spans="1:33" ht="13.8">
      <c r="A752" s="84"/>
      <c r="B752" s="84"/>
      <c r="C752" s="84"/>
      <c r="D752" s="84"/>
      <c r="E752" s="80"/>
      <c r="F752" s="80"/>
      <c r="G752" s="80"/>
      <c r="H752" s="80"/>
      <c r="I752" s="80"/>
      <c r="J752" s="80"/>
      <c r="K752" s="107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  <c r="AD752" s="80"/>
      <c r="AE752" s="80"/>
      <c r="AF752" s="80"/>
      <c r="AG752" s="80"/>
    </row>
    <row r="753" spans="1:33" ht="13.8">
      <c r="A753" s="84"/>
      <c r="B753" s="84"/>
      <c r="C753" s="84"/>
      <c r="D753" s="84"/>
      <c r="E753" s="80"/>
      <c r="F753" s="80"/>
      <c r="G753" s="80"/>
      <c r="H753" s="80"/>
      <c r="I753" s="80"/>
      <c r="J753" s="80"/>
      <c r="K753" s="107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  <c r="AD753" s="80"/>
      <c r="AE753" s="80"/>
      <c r="AF753" s="80"/>
      <c r="AG753" s="80"/>
    </row>
    <row r="754" spans="1:33" ht="13.8">
      <c r="A754" s="84"/>
      <c r="B754" s="84"/>
      <c r="C754" s="84"/>
      <c r="D754" s="84"/>
      <c r="E754" s="80"/>
      <c r="F754" s="80"/>
      <c r="G754" s="80"/>
      <c r="H754" s="80"/>
      <c r="I754" s="80"/>
      <c r="J754" s="80"/>
      <c r="K754" s="107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  <c r="AD754" s="80"/>
      <c r="AE754" s="80"/>
      <c r="AF754" s="80"/>
      <c r="AG754" s="80"/>
    </row>
    <row r="755" spans="1:33" ht="13.8">
      <c r="A755" s="84"/>
      <c r="B755" s="84"/>
      <c r="C755" s="84"/>
      <c r="D755" s="84"/>
      <c r="E755" s="80"/>
      <c r="F755" s="80"/>
      <c r="G755" s="80"/>
      <c r="H755" s="80"/>
      <c r="I755" s="80"/>
      <c r="J755" s="80"/>
      <c r="K755" s="107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  <c r="AD755" s="80"/>
      <c r="AE755" s="80"/>
      <c r="AF755" s="80"/>
      <c r="AG755" s="80"/>
    </row>
    <row r="756" spans="1:33" ht="13.8">
      <c r="A756" s="84"/>
      <c r="B756" s="84"/>
      <c r="C756" s="84"/>
      <c r="D756" s="84"/>
      <c r="E756" s="80"/>
      <c r="F756" s="80"/>
      <c r="G756" s="80"/>
      <c r="H756" s="80"/>
      <c r="I756" s="80"/>
      <c r="J756" s="80"/>
      <c r="K756" s="107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  <c r="AD756" s="80"/>
      <c r="AE756" s="80"/>
      <c r="AF756" s="80"/>
      <c r="AG756" s="80"/>
    </row>
    <row r="757" spans="1:33" ht="13.8">
      <c r="A757" s="84"/>
      <c r="B757" s="84"/>
      <c r="C757" s="84"/>
      <c r="D757" s="84"/>
      <c r="E757" s="80"/>
      <c r="F757" s="80"/>
      <c r="G757" s="80"/>
      <c r="H757" s="80"/>
      <c r="I757" s="80"/>
      <c r="J757" s="80"/>
      <c r="K757" s="107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  <c r="AD757" s="80"/>
      <c r="AE757" s="80"/>
      <c r="AF757" s="80"/>
      <c r="AG757" s="80"/>
    </row>
    <row r="758" spans="1:33" ht="13.8">
      <c r="A758" s="84"/>
      <c r="B758" s="84"/>
      <c r="C758" s="84"/>
      <c r="D758" s="84"/>
      <c r="E758" s="80"/>
      <c r="F758" s="80"/>
      <c r="G758" s="80"/>
      <c r="H758" s="80"/>
      <c r="I758" s="80"/>
      <c r="J758" s="80"/>
      <c r="K758" s="107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  <c r="AD758" s="80"/>
      <c r="AE758" s="80"/>
      <c r="AF758" s="80"/>
      <c r="AG758" s="80"/>
    </row>
    <row r="759" spans="1:33" ht="13.8">
      <c r="A759" s="84"/>
      <c r="B759" s="84"/>
      <c r="C759" s="84"/>
      <c r="D759" s="84"/>
      <c r="E759" s="80"/>
      <c r="F759" s="80"/>
      <c r="G759" s="80"/>
      <c r="H759" s="80"/>
      <c r="I759" s="80"/>
      <c r="J759" s="80"/>
      <c r="K759" s="107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  <c r="AD759" s="80"/>
      <c r="AE759" s="80"/>
      <c r="AF759" s="80"/>
      <c r="AG759" s="80"/>
    </row>
    <row r="760" spans="1:33" ht="13.8">
      <c r="A760" s="84"/>
      <c r="B760" s="84"/>
      <c r="C760" s="84"/>
      <c r="D760" s="84"/>
      <c r="E760" s="80"/>
      <c r="F760" s="80"/>
      <c r="G760" s="80"/>
      <c r="H760" s="80"/>
      <c r="I760" s="80"/>
      <c r="J760" s="80"/>
      <c r="K760" s="107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  <c r="AD760" s="80"/>
      <c r="AE760" s="80"/>
      <c r="AF760" s="80"/>
      <c r="AG760" s="80"/>
    </row>
    <row r="761" spans="1:33" ht="13.8">
      <c r="A761" s="84"/>
      <c r="B761" s="84"/>
      <c r="C761" s="84"/>
      <c r="D761" s="84"/>
      <c r="E761" s="80"/>
      <c r="F761" s="80"/>
      <c r="G761" s="80"/>
      <c r="H761" s="80"/>
      <c r="I761" s="80"/>
      <c r="J761" s="80"/>
      <c r="K761" s="107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  <c r="AD761" s="80"/>
      <c r="AE761" s="80"/>
      <c r="AF761" s="80"/>
      <c r="AG761" s="80"/>
    </row>
    <row r="762" spans="1:33" ht="13.8">
      <c r="A762" s="84"/>
      <c r="B762" s="84"/>
      <c r="C762" s="84"/>
      <c r="D762" s="84"/>
      <c r="E762" s="80"/>
      <c r="F762" s="80"/>
      <c r="G762" s="80"/>
      <c r="H762" s="80"/>
      <c r="I762" s="80"/>
      <c r="J762" s="80"/>
      <c r="K762" s="107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  <c r="AD762" s="80"/>
      <c r="AE762" s="80"/>
      <c r="AF762" s="80"/>
      <c r="AG762" s="80"/>
    </row>
    <row r="763" spans="1:33" ht="13.8">
      <c r="A763" s="84"/>
      <c r="B763" s="84"/>
      <c r="C763" s="84"/>
      <c r="D763" s="84"/>
      <c r="E763" s="80"/>
      <c r="F763" s="80"/>
      <c r="G763" s="80"/>
      <c r="H763" s="80"/>
      <c r="I763" s="80"/>
      <c r="J763" s="80"/>
      <c r="K763" s="107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</row>
    <row r="764" spans="1:33" ht="13.8">
      <c r="A764" s="84"/>
      <c r="B764" s="84"/>
      <c r="C764" s="84"/>
      <c r="D764" s="84"/>
      <c r="E764" s="80"/>
      <c r="F764" s="80"/>
      <c r="G764" s="80"/>
      <c r="H764" s="80"/>
      <c r="I764" s="80"/>
      <c r="J764" s="80"/>
      <c r="K764" s="107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  <c r="AD764" s="80"/>
      <c r="AE764" s="80"/>
      <c r="AF764" s="80"/>
      <c r="AG764" s="80"/>
    </row>
    <row r="765" spans="1:33" ht="13.8">
      <c r="A765" s="84"/>
      <c r="B765" s="84"/>
      <c r="C765" s="84"/>
      <c r="D765" s="84"/>
      <c r="E765" s="80"/>
      <c r="F765" s="80"/>
      <c r="G765" s="80"/>
      <c r="H765" s="80"/>
      <c r="I765" s="80"/>
      <c r="J765" s="80"/>
      <c r="K765" s="107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  <c r="AD765" s="80"/>
      <c r="AE765" s="80"/>
      <c r="AF765" s="80"/>
      <c r="AG765" s="80"/>
    </row>
    <row r="766" spans="1:33" ht="13.8">
      <c r="A766" s="84"/>
      <c r="B766" s="84"/>
      <c r="C766" s="84"/>
      <c r="D766" s="84"/>
      <c r="E766" s="80"/>
      <c r="F766" s="80"/>
      <c r="G766" s="80"/>
      <c r="H766" s="80"/>
      <c r="I766" s="80"/>
      <c r="J766" s="80"/>
      <c r="K766" s="107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  <c r="AD766" s="80"/>
      <c r="AE766" s="80"/>
      <c r="AF766" s="80"/>
      <c r="AG766" s="80"/>
    </row>
    <row r="767" spans="1:33" ht="13.8">
      <c r="A767" s="84"/>
      <c r="B767" s="84"/>
      <c r="C767" s="84"/>
      <c r="D767" s="84"/>
      <c r="E767" s="80"/>
      <c r="F767" s="80"/>
      <c r="G767" s="80"/>
      <c r="H767" s="80"/>
      <c r="I767" s="80"/>
      <c r="J767" s="80"/>
      <c r="K767" s="107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  <c r="AD767" s="80"/>
      <c r="AE767" s="80"/>
      <c r="AF767" s="80"/>
      <c r="AG767" s="80"/>
    </row>
    <row r="768" spans="1:33" ht="13.8">
      <c r="A768" s="84"/>
      <c r="B768" s="84"/>
      <c r="C768" s="84"/>
      <c r="D768" s="84"/>
      <c r="E768" s="80"/>
      <c r="F768" s="80"/>
      <c r="G768" s="80"/>
      <c r="H768" s="80"/>
      <c r="I768" s="80"/>
      <c r="J768" s="80"/>
      <c r="K768" s="107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  <c r="AD768" s="80"/>
      <c r="AE768" s="80"/>
      <c r="AF768" s="80"/>
      <c r="AG768" s="80"/>
    </row>
    <row r="769" spans="1:33" ht="13.8">
      <c r="A769" s="84"/>
      <c r="B769" s="84"/>
      <c r="C769" s="84"/>
      <c r="D769" s="84"/>
      <c r="E769" s="80"/>
      <c r="F769" s="80"/>
      <c r="G769" s="80"/>
      <c r="H769" s="80"/>
      <c r="I769" s="80"/>
      <c r="J769" s="80"/>
      <c r="K769" s="107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  <c r="AD769" s="80"/>
      <c r="AE769" s="80"/>
      <c r="AF769" s="80"/>
      <c r="AG769" s="80"/>
    </row>
    <row r="770" spans="1:33" ht="13.8">
      <c r="A770" s="84"/>
      <c r="B770" s="84"/>
      <c r="C770" s="84"/>
      <c r="D770" s="84"/>
      <c r="E770" s="80"/>
      <c r="F770" s="80"/>
      <c r="G770" s="80"/>
      <c r="H770" s="80"/>
      <c r="I770" s="80"/>
      <c r="J770" s="80"/>
      <c r="K770" s="107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  <c r="AD770" s="80"/>
      <c r="AE770" s="80"/>
      <c r="AF770" s="80"/>
      <c r="AG770" s="80"/>
    </row>
    <row r="771" spans="1:33" ht="13.8">
      <c r="A771" s="84"/>
      <c r="B771" s="84"/>
      <c r="C771" s="84"/>
      <c r="D771" s="84"/>
      <c r="E771" s="80"/>
      <c r="F771" s="80"/>
      <c r="G771" s="80"/>
      <c r="H771" s="80"/>
      <c r="I771" s="80"/>
      <c r="J771" s="80"/>
      <c r="K771" s="107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  <c r="AD771" s="80"/>
      <c r="AE771" s="80"/>
      <c r="AF771" s="80"/>
      <c r="AG771" s="80"/>
    </row>
    <row r="772" spans="1:33" ht="13.8">
      <c r="A772" s="84"/>
      <c r="B772" s="84"/>
      <c r="C772" s="84"/>
      <c r="D772" s="84"/>
      <c r="E772" s="80"/>
      <c r="F772" s="80"/>
      <c r="G772" s="80"/>
      <c r="H772" s="80"/>
      <c r="I772" s="80"/>
      <c r="J772" s="80"/>
      <c r="K772" s="107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  <c r="AD772" s="80"/>
      <c r="AE772" s="80"/>
      <c r="AF772" s="80"/>
      <c r="AG772" s="80"/>
    </row>
    <row r="773" spans="1:33" ht="13.8">
      <c r="A773" s="84"/>
      <c r="B773" s="84"/>
      <c r="C773" s="84"/>
      <c r="D773" s="84"/>
      <c r="E773" s="80"/>
      <c r="F773" s="80"/>
      <c r="G773" s="80"/>
      <c r="H773" s="80"/>
      <c r="I773" s="80"/>
      <c r="J773" s="80"/>
      <c r="K773" s="107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  <c r="AD773" s="80"/>
      <c r="AE773" s="80"/>
      <c r="AF773" s="80"/>
      <c r="AG773" s="80"/>
    </row>
    <row r="774" spans="1:33" ht="13.8">
      <c r="A774" s="84"/>
      <c r="B774" s="84"/>
      <c r="C774" s="84"/>
      <c r="D774" s="84"/>
      <c r="E774" s="80"/>
      <c r="F774" s="80"/>
      <c r="G774" s="80"/>
      <c r="H774" s="80"/>
      <c r="I774" s="80"/>
      <c r="J774" s="80"/>
      <c r="K774" s="107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  <c r="AD774" s="80"/>
      <c r="AE774" s="80"/>
      <c r="AF774" s="80"/>
      <c r="AG774" s="80"/>
    </row>
    <row r="775" spans="1:33" ht="13.8">
      <c r="A775" s="84"/>
      <c r="B775" s="84"/>
      <c r="C775" s="84"/>
      <c r="D775" s="84"/>
      <c r="E775" s="80"/>
      <c r="F775" s="80"/>
      <c r="G775" s="80"/>
      <c r="H775" s="80"/>
      <c r="I775" s="80"/>
      <c r="J775" s="80"/>
      <c r="K775" s="107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  <c r="AD775" s="80"/>
      <c r="AE775" s="80"/>
      <c r="AF775" s="80"/>
      <c r="AG775" s="80"/>
    </row>
    <row r="776" spans="1:33" ht="13.8">
      <c r="A776" s="84"/>
      <c r="B776" s="84"/>
      <c r="C776" s="84"/>
      <c r="D776" s="84"/>
      <c r="E776" s="80"/>
      <c r="F776" s="80"/>
      <c r="G776" s="80"/>
      <c r="H776" s="80"/>
      <c r="I776" s="80"/>
      <c r="J776" s="80"/>
      <c r="K776" s="107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  <c r="AD776" s="80"/>
      <c r="AE776" s="80"/>
      <c r="AF776" s="80"/>
      <c r="AG776" s="80"/>
    </row>
    <row r="777" spans="1:33" ht="13.8">
      <c r="A777" s="84"/>
      <c r="B777" s="84"/>
      <c r="C777" s="84"/>
      <c r="D777" s="84"/>
      <c r="E777" s="80"/>
      <c r="F777" s="80"/>
      <c r="G777" s="80"/>
      <c r="H777" s="80"/>
      <c r="I777" s="80"/>
      <c r="J777" s="80"/>
      <c r="K777" s="107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  <c r="AD777" s="80"/>
      <c r="AE777" s="80"/>
      <c r="AF777" s="80"/>
      <c r="AG777" s="80"/>
    </row>
    <row r="778" spans="1:33" ht="13.8">
      <c r="A778" s="84"/>
      <c r="B778" s="84"/>
      <c r="C778" s="84"/>
      <c r="D778" s="84"/>
      <c r="E778" s="80"/>
      <c r="F778" s="80"/>
      <c r="G778" s="80"/>
      <c r="H778" s="80"/>
      <c r="I778" s="80"/>
      <c r="J778" s="80"/>
      <c r="K778" s="107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  <c r="AD778" s="80"/>
      <c r="AE778" s="80"/>
      <c r="AF778" s="80"/>
      <c r="AG778" s="80"/>
    </row>
    <row r="779" spans="1:33" ht="13.8">
      <c r="A779" s="84"/>
      <c r="B779" s="84"/>
      <c r="C779" s="84"/>
      <c r="D779" s="84"/>
      <c r="E779" s="80"/>
      <c r="F779" s="80"/>
      <c r="G779" s="80"/>
      <c r="H779" s="80"/>
      <c r="I779" s="80"/>
      <c r="J779" s="80"/>
      <c r="K779" s="107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  <c r="AD779" s="80"/>
      <c r="AE779" s="80"/>
      <c r="AF779" s="80"/>
      <c r="AG779" s="80"/>
    </row>
    <row r="780" spans="1:33" ht="13.8">
      <c r="A780" s="84"/>
      <c r="B780" s="84"/>
      <c r="C780" s="84"/>
      <c r="D780" s="84"/>
      <c r="E780" s="80"/>
      <c r="F780" s="80"/>
      <c r="G780" s="80"/>
      <c r="H780" s="80"/>
      <c r="I780" s="80"/>
      <c r="J780" s="80"/>
      <c r="K780" s="107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  <c r="AD780" s="80"/>
      <c r="AE780" s="80"/>
      <c r="AF780" s="80"/>
      <c r="AG780" s="80"/>
    </row>
    <row r="781" spans="1:33" ht="13.8">
      <c r="A781" s="84"/>
      <c r="B781" s="84"/>
      <c r="C781" s="84"/>
      <c r="D781" s="84"/>
      <c r="E781" s="80"/>
      <c r="F781" s="80"/>
      <c r="G781" s="80"/>
      <c r="H781" s="80"/>
      <c r="I781" s="80"/>
      <c r="J781" s="80"/>
      <c r="K781" s="107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  <c r="AD781" s="80"/>
      <c r="AE781" s="80"/>
      <c r="AF781" s="80"/>
      <c r="AG781" s="80"/>
    </row>
    <row r="782" spans="1:33" ht="13.8">
      <c r="A782" s="84"/>
      <c r="B782" s="84"/>
      <c r="C782" s="84"/>
      <c r="D782" s="84"/>
      <c r="E782" s="80"/>
      <c r="F782" s="80"/>
      <c r="G782" s="80"/>
      <c r="H782" s="80"/>
      <c r="I782" s="80"/>
      <c r="J782" s="80"/>
      <c r="K782" s="107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  <c r="AD782" s="80"/>
      <c r="AE782" s="80"/>
      <c r="AF782" s="80"/>
      <c r="AG782" s="80"/>
    </row>
    <row r="783" spans="1:33" ht="13.8">
      <c r="A783" s="84"/>
      <c r="B783" s="84"/>
      <c r="C783" s="84"/>
      <c r="D783" s="84"/>
      <c r="E783" s="80"/>
      <c r="F783" s="80"/>
      <c r="G783" s="80"/>
      <c r="H783" s="80"/>
      <c r="I783" s="80"/>
      <c r="J783" s="80"/>
      <c r="K783" s="107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  <c r="AD783" s="80"/>
      <c r="AE783" s="80"/>
      <c r="AF783" s="80"/>
      <c r="AG783" s="80"/>
    </row>
    <row r="784" spans="1:33" ht="13.8">
      <c r="A784" s="84"/>
      <c r="B784" s="84"/>
      <c r="C784" s="84"/>
      <c r="D784" s="84"/>
      <c r="E784" s="80"/>
      <c r="F784" s="80"/>
      <c r="G784" s="80"/>
      <c r="H784" s="80"/>
      <c r="I784" s="80"/>
      <c r="J784" s="80"/>
      <c r="K784" s="107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  <c r="AD784" s="80"/>
      <c r="AE784" s="80"/>
      <c r="AF784" s="80"/>
      <c r="AG784" s="80"/>
    </row>
    <row r="785" spans="1:33" ht="13.8">
      <c r="A785" s="84"/>
      <c r="B785" s="84"/>
      <c r="C785" s="84"/>
      <c r="D785" s="84"/>
      <c r="E785" s="80"/>
      <c r="F785" s="80"/>
      <c r="G785" s="80"/>
      <c r="H785" s="80"/>
      <c r="I785" s="80"/>
      <c r="J785" s="80"/>
      <c r="K785" s="107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  <c r="AB785" s="80"/>
      <c r="AC785" s="80"/>
      <c r="AD785" s="80"/>
      <c r="AE785" s="80"/>
      <c r="AF785" s="80"/>
      <c r="AG785" s="80"/>
    </row>
    <row r="786" spans="1:33" ht="13.8">
      <c r="A786" s="84"/>
      <c r="B786" s="84"/>
      <c r="C786" s="84"/>
      <c r="D786" s="84"/>
      <c r="E786" s="80"/>
      <c r="F786" s="80"/>
      <c r="G786" s="80"/>
      <c r="H786" s="80"/>
      <c r="I786" s="80"/>
      <c r="J786" s="80"/>
      <c r="K786" s="107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  <c r="AB786" s="80"/>
      <c r="AC786" s="80"/>
      <c r="AD786" s="80"/>
      <c r="AE786" s="80"/>
      <c r="AF786" s="80"/>
      <c r="AG786" s="80"/>
    </row>
    <row r="787" spans="1:33" ht="13.8">
      <c r="A787" s="84"/>
      <c r="B787" s="84"/>
      <c r="C787" s="84"/>
      <c r="D787" s="84"/>
      <c r="E787" s="80"/>
      <c r="F787" s="80"/>
      <c r="G787" s="80"/>
      <c r="H787" s="80"/>
      <c r="I787" s="80"/>
      <c r="J787" s="80"/>
      <c r="K787" s="107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  <c r="AB787" s="80"/>
      <c r="AC787" s="80"/>
      <c r="AD787" s="80"/>
      <c r="AE787" s="80"/>
      <c r="AF787" s="80"/>
      <c r="AG787" s="80"/>
    </row>
    <row r="788" spans="1:33" ht="13.8">
      <c r="A788" s="84"/>
      <c r="B788" s="84"/>
      <c r="C788" s="84"/>
      <c r="D788" s="84"/>
      <c r="E788" s="80"/>
      <c r="F788" s="80"/>
      <c r="G788" s="80"/>
      <c r="H788" s="80"/>
      <c r="I788" s="80"/>
      <c r="J788" s="80"/>
      <c r="K788" s="107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  <c r="AC788" s="80"/>
      <c r="AD788" s="80"/>
      <c r="AE788" s="80"/>
      <c r="AF788" s="80"/>
      <c r="AG788" s="80"/>
    </row>
    <row r="789" spans="1:33" ht="13.8">
      <c r="A789" s="84"/>
      <c r="B789" s="84"/>
      <c r="C789" s="84"/>
      <c r="D789" s="84"/>
      <c r="E789" s="80"/>
      <c r="F789" s="80"/>
      <c r="G789" s="80"/>
      <c r="H789" s="80"/>
      <c r="I789" s="80"/>
      <c r="J789" s="80"/>
      <c r="K789" s="107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  <c r="AB789" s="80"/>
      <c r="AC789" s="80"/>
      <c r="AD789" s="80"/>
      <c r="AE789" s="80"/>
      <c r="AF789" s="80"/>
      <c r="AG789" s="80"/>
    </row>
    <row r="790" spans="1:33" ht="13.8">
      <c r="A790" s="84"/>
      <c r="B790" s="84"/>
      <c r="C790" s="84"/>
      <c r="D790" s="84"/>
      <c r="E790" s="80"/>
      <c r="F790" s="80"/>
      <c r="G790" s="80"/>
      <c r="H790" s="80"/>
      <c r="I790" s="80"/>
      <c r="J790" s="80"/>
      <c r="K790" s="107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  <c r="AC790" s="80"/>
      <c r="AD790" s="80"/>
      <c r="AE790" s="80"/>
      <c r="AF790" s="80"/>
      <c r="AG790" s="80"/>
    </row>
    <row r="791" spans="1:33" ht="13.8">
      <c r="A791" s="84"/>
      <c r="B791" s="84"/>
      <c r="C791" s="84"/>
      <c r="D791" s="84"/>
      <c r="E791" s="80"/>
      <c r="F791" s="80"/>
      <c r="G791" s="80"/>
      <c r="H791" s="80"/>
      <c r="I791" s="80"/>
      <c r="J791" s="80"/>
      <c r="K791" s="107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  <c r="AB791" s="80"/>
      <c r="AC791" s="80"/>
      <c r="AD791" s="80"/>
      <c r="AE791" s="80"/>
      <c r="AF791" s="80"/>
      <c r="AG791" s="80"/>
    </row>
    <row r="792" spans="1:33" ht="13.8">
      <c r="A792" s="84"/>
      <c r="B792" s="84"/>
      <c r="C792" s="84"/>
      <c r="D792" s="84"/>
      <c r="E792" s="80"/>
      <c r="F792" s="80"/>
      <c r="G792" s="80"/>
      <c r="H792" s="80"/>
      <c r="I792" s="80"/>
      <c r="J792" s="80"/>
      <c r="K792" s="107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  <c r="AB792" s="80"/>
      <c r="AC792" s="80"/>
      <c r="AD792" s="80"/>
      <c r="AE792" s="80"/>
      <c r="AF792" s="80"/>
      <c r="AG792" s="80"/>
    </row>
    <row r="793" spans="1:33" ht="13.8">
      <c r="A793" s="84"/>
      <c r="B793" s="84"/>
      <c r="C793" s="84"/>
      <c r="D793" s="84"/>
      <c r="E793" s="80"/>
      <c r="F793" s="80"/>
      <c r="G793" s="80"/>
      <c r="H793" s="80"/>
      <c r="I793" s="80"/>
      <c r="J793" s="80"/>
      <c r="K793" s="107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  <c r="AB793" s="80"/>
      <c r="AC793" s="80"/>
      <c r="AD793" s="80"/>
      <c r="AE793" s="80"/>
      <c r="AF793" s="80"/>
      <c r="AG793" s="80"/>
    </row>
    <row r="794" spans="1:33" ht="13.8">
      <c r="A794" s="84"/>
      <c r="B794" s="84"/>
      <c r="C794" s="84"/>
      <c r="D794" s="84"/>
      <c r="E794" s="80"/>
      <c r="F794" s="80"/>
      <c r="G794" s="80"/>
      <c r="H794" s="80"/>
      <c r="I794" s="80"/>
      <c r="J794" s="80"/>
      <c r="K794" s="107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  <c r="AC794" s="80"/>
      <c r="AD794" s="80"/>
      <c r="AE794" s="80"/>
      <c r="AF794" s="80"/>
      <c r="AG794" s="80"/>
    </row>
    <row r="795" spans="1:33" ht="13.8">
      <c r="A795" s="84"/>
      <c r="B795" s="84"/>
      <c r="C795" s="84"/>
      <c r="D795" s="84"/>
      <c r="E795" s="80"/>
      <c r="F795" s="80"/>
      <c r="G795" s="80"/>
      <c r="H795" s="80"/>
      <c r="I795" s="80"/>
      <c r="J795" s="80"/>
      <c r="K795" s="107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  <c r="AC795" s="80"/>
      <c r="AD795" s="80"/>
      <c r="AE795" s="80"/>
      <c r="AF795" s="80"/>
      <c r="AG795" s="80"/>
    </row>
    <row r="796" spans="1:33" ht="13.8">
      <c r="A796" s="84"/>
      <c r="B796" s="84"/>
      <c r="C796" s="84"/>
      <c r="D796" s="84"/>
      <c r="E796" s="80"/>
      <c r="F796" s="80"/>
      <c r="G796" s="80"/>
      <c r="H796" s="80"/>
      <c r="I796" s="80"/>
      <c r="J796" s="80"/>
      <c r="K796" s="107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  <c r="AC796" s="80"/>
      <c r="AD796" s="80"/>
      <c r="AE796" s="80"/>
      <c r="AF796" s="80"/>
      <c r="AG796" s="80"/>
    </row>
    <row r="797" spans="1:33" ht="13.8">
      <c r="A797" s="84"/>
      <c r="B797" s="84"/>
      <c r="C797" s="84"/>
      <c r="D797" s="84"/>
      <c r="E797" s="80"/>
      <c r="F797" s="80"/>
      <c r="G797" s="80"/>
      <c r="H797" s="80"/>
      <c r="I797" s="80"/>
      <c r="J797" s="80"/>
      <c r="K797" s="107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  <c r="AB797" s="80"/>
      <c r="AC797" s="80"/>
      <c r="AD797" s="80"/>
      <c r="AE797" s="80"/>
      <c r="AF797" s="80"/>
      <c r="AG797" s="80"/>
    </row>
    <row r="798" spans="1:33" ht="13.8">
      <c r="A798" s="84"/>
      <c r="B798" s="84"/>
      <c r="C798" s="84"/>
      <c r="D798" s="84"/>
      <c r="E798" s="80"/>
      <c r="F798" s="80"/>
      <c r="G798" s="80"/>
      <c r="H798" s="80"/>
      <c r="I798" s="80"/>
      <c r="J798" s="80"/>
      <c r="K798" s="107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  <c r="AC798" s="80"/>
      <c r="AD798" s="80"/>
      <c r="AE798" s="80"/>
      <c r="AF798" s="80"/>
      <c r="AG798" s="80"/>
    </row>
    <row r="799" spans="1:33" ht="13.8">
      <c r="A799" s="84"/>
      <c r="B799" s="84"/>
      <c r="C799" s="84"/>
      <c r="D799" s="84"/>
      <c r="E799" s="80"/>
      <c r="F799" s="80"/>
      <c r="G799" s="80"/>
      <c r="H799" s="80"/>
      <c r="I799" s="80"/>
      <c r="J799" s="80"/>
      <c r="K799" s="107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  <c r="AB799" s="80"/>
      <c r="AC799" s="80"/>
      <c r="AD799" s="80"/>
      <c r="AE799" s="80"/>
      <c r="AF799" s="80"/>
      <c r="AG799" s="80"/>
    </row>
    <row r="800" spans="1:33" ht="13.8">
      <c r="A800" s="84"/>
      <c r="B800" s="84"/>
      <c r="C800" s="84"/>
      <c r="D800" s="84"/>
      <c r="E800" s="80"/>
      <c r="F800" s="80"/>
      <c r="G800" s="80"/>
      <c r="H800" s="80"/>
      <c r="I800" s="80"/>
      <c r="J800" s="80"/>
      <c r="K800" s="107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  <c r="AB800" s="80"/>
      <c r="AC800" s="80"/>
      <c r="AD800" s="80"/>
      <c r="AE800" s="80"/>
      <c r="AF800" s="80"/>
      <c r="AG800" s="80"/>
    </row>
    <row r="801" spans="1:33" ht="13.8">
      <c r="A801" s="84"/>
      <c r="B801" s="84"/>
      <c r="C801" s="84"/>
      <c r="D801" s="84"/>
      <c r="E801" s="80"/>
      <c r="F801" s="80"/>
      <c r="G801" s="80"/>
      <c r="H801" s="80"/>
      <c r="I801" s="80"/>
      <c r="J801" s="80"/>
      <c r="K801" s="107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  <c r="AC801" s="80"/>
      <c r="AD801" s="80"/>
      <c r="AE801" s="80"/>
      <c r="AF801" s="80"/>
      <c r="AG801" s="80"/>
    </row>
    <row r="802" spans="1:33" ht="13.8">
      <c r="A802" s="84"/>
      <c r="B802" s="84"/>
      <c r="C802" s="84"/>
      <c r="D802" s="84"/>
      <c r="E802" s="80"/>
      <c r="F802" s="80"/>
      <c r="G802" s="80"/>
      <c r="H802" s="80"/>
      <c r="I802" s="80"/>
      <c r="J802" s="80"/>
      <c r="K802" s="107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  <c r="AB802" s="80"/>
      <c r="AC802" s="80"/>
      <c r="AD802" s="80"/>
      <c r="AE802" s="80"/>
      <c r="AF802" s="80"/>
      <c r="AG802" s="80"/>
    </row>
    <row r="803" spans="1:33" ht="13.8">
      <c r="A803" s="84"/>
      <c r="B803" s="84"/>
      <c r="C803" s="84"/>
      <c r="D803" s="84"/>
      <c r="E803" s="80"/>
      <c r="F803" s="80"/>
      <c r="G803" s="80"/>
      <c r="H803" s="80"/>
      <c r="I803" s="80"/>
      <c r="J803" s="80"/>
      <c r="K803" s="107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</row>
    <row r="804" spans="1:33" ht="13.8">
      <c r="A804" s="84"/>
      <c r="B804" s="84"/>
      <c r="C804" s="84"/>
      <c r="D804" s="84"/>
      <c r="E804" s="80"/>
      <c r="F804" s="80"/>
      <c r="G804" s="80"/>
      <c r="H804" s="80"/>
      <c r="I804" s="80"/>
      <c r="J804" s="80"/>
      <c r="K804" s="107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  <c r="AC804" s="80"/>
      <c r="AD804" s="80"/>
      <c r="AE804" s="80"/>
      <c r="AF804" s="80"/>
      <c r="AG804" s="80"/>
    </row>
    <row r="805" spans="1:33" ht="13.8">
      <c r="A805" s="84"/>
      <c r="B805" s="84"/>
      <c r="C805" s="84"/>
      <c r="D805" s="84"/>
      <c r="E805" s="80"/>
      <c r="F805" s="80"/>
      <c r="G805" s="80"/>
      <c r="H805" s="80"/>
      <c r="I805" s="80"/>
      <c r="J805" s="80"/>
      <c r="K805" s="107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  <c r="AC805" s="80"/>
      <c r="AD805" s="80"/>
      <c r="AE805" s="80"/>
      <c r="AF805" s="80"/>
      <c r="AG805" s="80"/>
    </row>
    <row r="806" spans="1:33" ht="13.8">
      <c r="A806" s="84"/>
      <c r="B806" s="84"/>
      <c r="C806" s="84"/>
      <c r="D806" s="84"/>
      <c r="E806" s="80"/>
      <c r="F806" s="80"/>
      <c r="G806" s="80"/>
      <c r="H806" s="80"/>
      <c r="I806" s="80"/>
      <c r="J806" s="80"/>
      <c r="K806" s="107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  <c r="AC806" s="80"/>
      <c r="AD806" s="80"/>
      <c r="AE806" s="80"/>
      <c r="AF806" s="80"/>
      <c r="AG806" s="80"/>
    </row>
    <row r="807" spans="1:33" ht="13.8">
      <c r="A807" s="84"/>
      <c r="B807" s="84"/>
      <c r="C807" s="84"/>
      <c r="D807" s="84"/>
      <c r="E807" s="80"/>
      <c r="F807" s="80"/>
      <c r="G807" s="80"/>
      <c r="H807" s="80"/>
      <c r="I807" s="80"/>
      <c r="J807" s="80"/>
      <c r="K807" s="107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  <c r="AC807" s="80"/>
      <c r="AD807" s="80"/>
      <c r="AE807" s="80"/>
      <c r="AF807" s="80"/>
      <c r="AG807" s="80"/>
    </row>
    <row r="808" spans="1:33" ht="13.8">
      <c r="A808" s="84"/>
      <c r="B808" s="84"/>
      <c r="C808" s="84"/>
      <c r="D808" s="84"/>
      <c r="E808" s="80"/>
      <c r="F808" s="80"/>
      <c r="G808" s="80"/>
      <c r="H808" s="80"/>
      <c r="I808" s="80"/>
      <c r="J808" s="80"/>
      <c r="K808" s="107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  <c r="AC808" s="80"/>
      <c r="AD808" s="80"/>
      <c r="AE808" s="80"/>
      <c r="AF808" s="80"/>
      <c r="AG808" s="80"/>
    </row>
    <row r="809" spans="1:33" ht="13.8">
      <c r="A809" s="84"/>
      <c r="B809" s="84"/>
      <c r="C809" s="84"/>
      <c r="D809" s="84"/>
      <c r="E809" s="80"/>
      <c r="F809" s="80"/>
      <c r="G809" s="80"/>
      <c r="H809" s="80"/>
      <c r="I809" s="80"/>
      <c r="J809" s="80"/>
      <c r="K809" s="107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  <c r="AC809" s="80"/>
      <c r="AD809" s="80"/>
      <c r="AE809" s="80"/>
      <c r="AF809" s="80"/>
      <c r="AG809" s="80"/>
    </row>
    <row r="810" spans="1:33" ht="13.8">
      <c r="A810" s="84"/>
      <c r="B810" s="84"/>
      <c r="C810" s="84"/>
      <c r="D810" s="84"/>
      <c r="E810" s="80"/>
      <c r="F810" s="80"/>
      <c r="G810" s="80"/>
      <c r="H810" s="80"/>
      <c r="I810" s="80"/>
      <c r="J810" s="80"/>
      <c r="K810" s="107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  <c r="AC810" s="80"/>
      <c r="AD810" s="80"/>
      <c r="AE810" s="80"/>
      <c r="AF810" s="80"/>
      <c r="AG810" s="80"/>
    </row>
    <row r="811" spans="1:33" ht="13.8">
      <c r="A811" s="84"/>
      <c r="B811" s="84"/>
      <c r="C811" s="84"/>
      <c r="D811" s="84"/>
      <c r="E811" s="80"/>
      <c r="F811" s="80"/>
      <c r="G811" s="80"/>
      <c r="H811" s="80"/>
      <c r="I811" s="80"/>
      <c r="J811" s="80"/>
      <c r="K811" s="107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  <c r="AC811" s="80"/>
      <c r="AD811" s="80"/>
      <c r="AE811" s="80"/>
      <c r="AF811" s="80"/>
      <c r="AG811" s="80"/>
    </row>
    <row r="812" spans="1:33" ht="13.8">
      <c r="A812" s="84"/>
      <c r="B812" s="84"/>
      <c r="C812" s="84"/>
      <c r="D812" s="84"/>
      <c r="E812" s="80"/>
      <c r="F812" s="80"/>
      <c r="G812" s="80"/>
      <c r="H812" s="80"/>
      <c r="I812" s="80"/>
      <c r="J812" s="80"/>
      <c r="K812" s="107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  <c r="AC812" s="80"/>
      <c r="AD812" s="80"/>
      <c r="AE812" s="80"/>
      <c r="AF812" s="80"/>
      <c r="AG812" s="80"/>
    </row>
    <row r="813" spans="1:33" ht="13.8">
      <c r="A813" s="84"/>
      <c r="B813" s="84"/>
      <c r="C813" s="84"/>
      <c r="D813" s="84"/>
      <c r="E813" s="80"/>
      <c r="F813" s="80"/>
      <c r="G813" s="80"/>
      <c r="H813" s="80"/>
      <c r="I813" s="80"/>
      <c r="J813" s="80"/>
      <c r="K813" s="107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  <c r="AC813" s="80"/>
      <c r="AD813" s="80"/>
      <c r="AE813" s="80"/>
      <c r="AF813" s="80"/>
      <c r="AG813" s="80"/>
    </row>
    <row r="814" spans="1:33" ht="13.8">
      <c r="A814" s="84"/>
      <c r="B814" s="84"/>
      <c r="C814" s="84"/>
      <c r="D814" s="84"/>
      <c r="E814" s="80"/>
      <c r="F814" s="80"/>
      <c r="G814" s="80"/>
      <c r="H814" s="80"/>
      <c r="I814" s="80"/>
      <c r="J814" s="80"/>
      <c r="K814" s="107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  <c r="AC814" s="80"/>
      <c r="AD814" s="80"/>
      <c r="AE814" s="80"/>
      <c r="AF814" s="80"/>
      <c r="AG814" s="80"/>
    </row>
    <row r="815" spans="1:33" ht="13.8">
      <c r="A815" s="84"/>
      <c r="B815" s="84"/>
      <c r="C815" s="84"/>
      <c r="D815" s="84"/>
      <c r="E815" s="80"/>
      <c r="F815" s="80"/>
      <c r="G815" s="80"/>
      <c r="H815" s="80"/>
      <c r="I815" s="80"/>
      <c r="J815" s="80"/>
      <c r="K815" s="107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  <c r="AC815" s="80"/>
      <c r="AD815" s="80"/>
      <c r="AE815" s="80"/>
      <c r="AF815" s="80"/>
      <c r="AG815" s="80"/>
    </row>
    <row r="816" spans="1:33" ht="13.8">
      <c r="A816" s="84"/>
      <c r="B816" s="84"/>
      <c r="C816" s="84"/>
      <c r="D816" s="84"/>
      <c r="E816" s="80"/>
      <c r="F816" s="80"/>
      <c r="G816" s="80"/>
      <c r="H816" s="80"/>
      <c r="I816" s="80"/>
      <c r="J816" s="80"/>
      <c r="K816" s="107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  <c r="AC816" s="80"/>
      <c r="AD816" s="80"/>
      <c r="AE816" s="80"/>
      <c r="AF816" s="80"/>
      <c r="AG816" s="80"/>
    </row>
    <row r="817" spans="1:33" ht="13.8">
      <c r="A817" s="84"/>
      <c r="B817" s="84"/>
      <c r="C817" s="84"/>
      <c r="D817" s="84"/>
      <c r="E817" s="80"/>
      <c r="F817" s="80"/>
      <c r="G817" s="80"/>
      <c r="H817" s="80"/>
      <c r="I817" s="80"/>
      <c r="J817" s="80"/>
      <c r="K817" s="107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  <c r="AC817" s="80"/>
      <c r="AD817" s="80"/>
      <c r="AE817" s="80"/>
      <c r="AF817" s="80"/>
      <c r="AG817" s="80"/>
    </row>
    <row r="818" spans="1:33" ht="13.8">
      <c r="A818" s="84"/>
      <c r="B818" s="84"/>
      <c r="C818" s="84"/>
      <c r="D818" s="84"/>
      <c r="E818" s="80"/>
      <c r="F818" s="80"/>
      <c r="G818" s="80"/>
      <c r="H818" s="80"/>
      <c r="I818" s="80"/>
      <c r="J818" s="80"/>
      <c r="K818" s="107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  <c r="AC818" s="80"/>
      <c r="AD818" s="80"/>
      <c r="AE818" s="80"/>
      <c r="AF818" s="80"/>
      <c r="AG818" s="80"/>
    </row>
    <row r="819" spans="1:33" ht="13.8">
      <c r="A819" s="84"/>
      <c r="B819" s="84"/>
      <c r="C819" s="84"/>
      <c r="D819" s="84"/>
      <c r="E819" s="80"/>
      <c r="F819" s="80"/>
      <c r="G819" s="80"/>
      <c r="H819" s="80"/>
      <c r="I819" s="80"/>
      <c r="J819" s="80"/>
      <c r="K819" s="107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  <c r="AC819" s="80"/>
      <c r="AD819" s="80"/>
      <c r="AE819" s="80"/>
      <c r="AF819" s="80"/>
      <c r="AG819" s="80"/>
    </row>
    <row r="820" spans="1:33" ht="13.8">
      <c r="A820" s="84"/>
      <c r="B820" s="84"/>
      <c r="C820" s="84"/>
      <c r="D820" s="84"/>
      <c r="E820" s="80"/>
      <c r="F820" s="80"/>
      <c r="G820" s="80"/>
      <c r="H820" s="80"/>
      <c r="I820" s="80"/>
      <c r="J820" s="80"/>
      <c r="K820" s="107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  <c r="AC820" s="80"/>
      <c r="AD820" s="80"/>
      <c r="AE820" s="80"/>
      <c r="AF820" s="80"/>
      <c r="AG820" s="80"/>
    </row>
    <row r="821" spans="1:33" ht="13.8">
      <c r="A821" s="84"/>
      <c r="B821" s="84"/>
      <c r="C821" s="84"/>
      <c r="D821" s="84"/>
      <c r="E821" s="80"/>
      <c r="F821" s="80"/>
      <c r="G821" s="80"/>
      <c r="H821" s="80"/>
      <c r="I821" s="80"/>
      <c r="J821" s="80"/>
      <c r="K821" s="107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  <c r="AC821" s="80"/>
      <c r="AD821" s="80"/>
      <c r="AE821" s="80"/>
      <c r="AF821" s="80"/>
      <c r="AG821" s="80"/>
    </row>
    <row r="822" spans="1:33" ht="13.8">
      <c r="A822" s="84"/>
      <c r="B822" s="84"/>
      <c r="C822" s="84"/>
      <c r="D822" s="84"/>
      <c r="E822" s="80"/>
      <c r="F822" s="80"/>
      <c r="G822" s="80"/>
      <c r="H822" s="80"/>
      <c r="I822" s="80"/>
      <c r="J822" s="80"/>
      <c r="K822" s="107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  <c r="AC822" s="80"/>
      <c r="AD822" s="80"/>
      <c r="AE822" s="80"/>
      <c r="AF822" s="80"/>
      <c r="AG822" s="80"/>
    </row>
    <row r="823" spans="1:33" ht="13.8">
      <c r="A823" s="84"/>
      <c r="B823" s="84"/>
      <c r="C823" s="84"/>
      <c r="D823" s="84"/>
      <c r="E823" s="80"/>
      <c r="F823" s="80"/>
      <c r="G823" s="80"/>
      <c r="H823" s="80"/>
      <c r="I823" s="80"/>
      <c r="J823" s="80"/>
      <c r="K823" s="107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  <c r="AC823" s="80"/>
      <c r="AD823" s="80"/>
      <c r="AE823" s="80"/>
      <c r="AF823" s="80"/>
      <c r="AG823" s="80"/>
    </row>
    <row r="824" spans="1:33" ht="13.8">
      <c r="A824" s="84"/>
      <c r="B824" s="84"/>
      <c r="C824" s="84"/>
      <c r="D824" s="84"/>
      <c r="E824" s="80"/>
      <c r="F824" s="80"/>
      <c r="G824" s="80"/>
      <c r="H824" s="80"/>
      <c r="I824" s="80"/>
      <c r="J824" s="80"/>
      <c r="K824" s="107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  <c r="AC824" s="80"/>
      <c r="AD824" s="80"/>
      <c r="AE824" s="80"/>
      <c r="AF824" s="80"/>
      <c r="AG824" s="80"/>
    </row>
    <row r="825" spans="1:33" ht="13.8">
      <c r="A825" s="84"/>
      <c r="B825" s="84"/>
      <c r="C825" s="84"/>
      <c r="D825" s="84"/>
      <c r="E825" s="80"/>
      <c r="F825" s="80"/>
      <c r="G825" s="80"/>
      <c r="H825" s="80"/>
      <c r="I825" s="80"/>
      <c r="J825" s="80"/>
      <c r="K825" s="107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  <c r="AC825" s="80"/>
      <c r="AD825" s="80"/>
      <c r="AE825" s="80"/>
      <c r="AF825" s="80"/>
      <c r="AG825" s="80"/>
    </row>
    <row r="826" spans="1:33" ht="13.8">
      <c r="A826" s="84"/>
      <c r="B826" s="84"/>
      <c r="C826" s="84"/>
      <c r="D826" s="84"/>
      <c r="E826" s="80"/>
      <c r="F826" s="80"/>
      <c r="G826" s="80"/>
      <c r="H826" s="80"/>
      <c r="I826" s="80"/>
      <c r="J826" s="80"/>
      <c r="K826" s="107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  <c r="AC826" s="80"/>
      <c r="AD826" s="80"/>
      <c r="AE826" s="80"/>
      <c r="AF826" s="80"/>
      <c r="AG826" s="80"/>
    </row>
    <row r="827" spans="1:33" ht="13.8">
      <c r="A827" s="84"/>
      <c r="B827" s="84"/>
      <c r="C827" s="84"/>
      <c r="D827" s="84"/>
      <c r="E827" s="80"/>
      <c r="F827" s="80"/>
      <c r="G827" s="80"/>
      <c r="H827" s="80"/>
      <c r="I827" s="80"/>
      <c r="J827" s="80"/>
      <c r="K827" s="107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  <c r="AC827" s="80"/>
      <c r="AD827" s="80"/>
      <c r="AE827" s="80"/>
      <c r="AF827" s="80"/>
      <c r="AG827" s="80"/>
    </row>
    <row r="828" spans="1:33" ht="13.8">
      <c r="A828" s="84"/>
      <c r="B828" s="84"/>
      <c r="C828" s="84"/>
      <c r="D828" s="84"/>
      <c r="E828" s="80"/>
      <c r="F828" s="80"/>
      <c r="G828" s="80"/>
      <c r="H828" s="80"/>
      <c r="I828" s="80"/>
      <c r="J828" s="80"/>
      <c r="K828" s="107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  <c r="AC828" s="80"/>
      <c r="AD828" s="80"/>
      <c r="AE828" s="80"/>
      <c r="AF828" s="80"/>
      <c r="AG828" s="80"/>
    </row>
    <row r="829" spans="1:33" ht="13.8">
      <c r="A829" s="84"/>
      <c r="B829" s="84"/>
      <c r="C829" s="84"/>
      <c r="D829" s="84"/>
      <c r="E829" s="80"/>
      <c r="F829" s="80"/>
      <c r="G829" s="80"/>
      <c r="H829" s="80"/>
      <c r="I829" s="80"/>
      <c r="J829" s="80"/>
      <c r="K829" s="107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  <c r="AC829" s="80"/>
      <c r="AD829" s="80"/>
      <c r="AE829" s="80"/>
      <c r="AF829" s="80"/>
      <c r="AG829" s="80"/>
    </row>
    <row r="830" spans="1:33" ht="13.8">
      <c r="A830" s="84"/>
      <c r="B830" s="84"/>
      <c r="C830" s="84"/>
      <c r="D830" s="84"/>
      <c r="E830" s="80"/>
      <c r="F830" s="80"/>
      <c r="G830" s="80"/>
      <c r="H830" s="80"/>
      <c r="I830" s="80"/>
      <c r="J830" s="80"/>
      <c r="K830" s="107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  <c r="AC830" s="80"/>
      <c r="AD830" s="80"/>
      <c r="AE830" s="80"/>
      <c r="AF830" s="80"/>
      <c r="AG830" s="80"/>
    </row>
    <row r="831" spans="1:33" ht="13.8">
      <c r="A831" s="84"/>
      <c r="B831" s="84"/>
      <c r="C831" s="84"/>
      <c r="D831" s="84"/>
      <c r="E831" s="80"/>
      <c r="F831" s="80"/>
      <c r="G831" s="80"/>
      <c r="H831" s="80"/>
      <c r="I831" s="80"/>
      <c r="J831" s="80"/>
      <c r="K831" s="107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  <c r="AC831" s="80"/>
      <c r="AD831" s="80"/>
      <c r="AE831" s="80"/>
      <c r="AF831" s="80"/>
      <c r="AG831" s="80"/>
    </row>
    <row r="832" spans="1:33" ht="13.8">
      <c r="A832" s="84"/>
      <c r="B832" s="84"/>
      <c r="C832" s="84"/>
      <c r="D832" s="84"/>
      <c r="E832" s="80"/>
      <c r="F832" s="80"/>
      <c r="G832" s="80"/>
      <c r="H832" s="80"/>
      <c r="I832" s="80"/>
      <c r="J832" s="80"/>
      <c r="K832" s="107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  <c r="AC832" s="80"/>
      <c r="AD832" s="80"/>
      <c r="AE832" s="80"/>
      <c r="AF832" s="80"/>
      <c r="AG832" s="80"/>
    </row>
    <row r="833" spans="1:33" ht="13.8">
      <c r="A833" s="84"/>
      <c r="B833" s="84"/>
      <c r="C833" s="84"/>
      <c r="D833" s="84"/>
      <c r="E833" s="80"/>
      <c r="F833" s="80"/>
      <c r="G833" s="80"/>
      <c r="H833" s="80"/>
      <c r="I833" s="80"/>
      <c r="J833" s="80"/>
      <c r="K833" s="107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  <c r="AC833" s="80"/>
      <c r="AD833" s="80"/>
      <c r="AE833" s="80"/>
      <c r="AF833" s="80"/>
      <c r="AG833" s="80"/>
    </row>
    <row r="834" spans="1:33" ht="13.8">
      <c r="A834" s="84"/>
      <c r="B834" s="84"/>
      <c r="C834" s="84"/>
      <c r="D834" s="84"/>
      <c r="E834" s="80"/>
      <c r="F834" s="80"/>
      <c r="G834" s="80"/>
      <c r="H834" s="80"/>
      <c r="I834" s="80"/>
      <c r="J834" s="80"/>
      <c r="K834" s="107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  <c r="AC834" s="80"/>
      <c r="AD834" s="80"/>
      <c r="AE834" s="80"/>
      <c r="AF834" s="80"/>
      <c r="AG834" s="80"/>
    </row>
    <row r="835" spans="1:33" ht="13.8">
      <c r="A835" s="84"/>
      <c r="B835" s="84"/>
      <c r="C835" s="84"/>
      <c r="D835" s="84"/>
      <c r="E835" s="80"/>
      <c r="F835" s="80"/>
      <c r="G835" s="80"/>
      <c r="H835" s="80"/>
      <c r="I835" s="80"/>
      <c r="J835" s="80"/>
      <c r="K835" s="107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  <c r="AC835" s="80"/>
      <c r="AD835" s="80"/>
      <c r="AE835" s="80"/>
      <c r="AF835" s="80"/>
      <c r="AG835" s="80"/>
    </row>
    <row r="836" spans="1:33" ht="13.8">
      <c r="A836" s="84"/>
      <c r="B836" s="84"/>
      <c r="C836" s="84"/>
      <c r="D836" s="84"/>
      <c r="E836" s="80"/>
      <c r="F836" s="80"/>
      <c r="G836" s="80"/>
      <c r="H836" s="80"/>
      <c r="I836" s="80"/>
      <c r="J836" s="80"/>
      <c r="K836" s="107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  <c r="AC836" s="80"/>
      <c r="AD836" s="80"/>
      <c r="AE836" s="80"/>
      <c r="AF836" s="80"/>
      <c r="AG836" s="80"/>
    </row>
    <row r="837" spans="1:33" ht="13.8">
      <c r="A837" s="84"/>
      <c r="B837" s="84"/>
      <c r="C837" s="84"/>
      <c r="D837" s="84"/>
      <c r="E837" s="80"/>
      <c r="F837" s="80"/>
      <c r="G837" s="80"/>
      <c r="H837" s="80"/>
      <c r="I837" s="80"/>
      <c r="J837" s="80"/>
      <c r="K837" s="107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  <c r="AC837" s="80"/>
      <c r="AD837" s="80"/>
      <c r="AE837" s="80"/>
      <c r="AF837" s="80"/>
      <c r="AG837" s="80"/>
    </row>
    <row r="838" spans="1:33" ht="13.8">
      <c r="A838" s="84"/>
      <c r="B838" s="84"/>
      <c r="C838" s="84"/>
      <c r="D838" s="84"/>
      <c r="E838" s="80"/>
      <c r="F838" s="80"/>
      <c r="G838" s="80"/>
      <c r="H838" s="80"/>
      <c r="I838" s="80"/>
      <c r="J838" s="80"/>
      <c r="K838" s="107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  <c r="AC838" s="80"/>
      <c r="AD838" s="80"/>
      <c r="AE838" s="80"/>
      <c r="AF838" s="80"/>
      <c r="AG838" s="80"/>
    </row>
    <row r="839" spans="1:33" ht="13.8">
      <c r="A839" s="84"/>
      <c r="B839" s="84"/>
      <c r="C839" s="84"/>
      <c r="D839" s="84"/>
      <c r="E839" s="80"/>
      <c r="F839" s="80"/>
      <c r="G839" s="80"/>
      <c r="H839" s="80"/>
      <c r="I839" s="80"/>
      <c r="J839" s="80"/>
      <c r="K839" s="107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  <c r="AC839" s="80"/>
      <c r="AD839" s="80"/>
      <c r="AE839" s="80"/>
      <c r="AF839" s="80"/>
      <c r="AG839" s="80"/>
    </row>
    <row r="840" spans="1:33" ht="13.8">
      <c r="A840" s="84"/>
      <c r="B840" s="84"/>
      <c r="C840" s="84"/>
      <c r="D840" s="84"/>
      <c r="E840" s="80"/>
      <c r="F840" s="80"/>
      <c r="G840" s="80"/>
      <c r="H840" s="80"/>
      <c r="I840" s="80"/>
      <c r="J840" s="80"/>
      <c r="K840" s="107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  <c r="AC840" s="80"/>
      <c r="AD840" s="80"/>
      <c r="AE840" s="80"/>
      <c r="AF840" s="80"/>
      <c r="AG840" s="80"/>
    </row>
    <row r="841" spans="1:33" ht="13.8">
      <c r="A841" s="84"/>
      <c r="B841" s="84"/>
      <c r="C841" s="84"/>
      <c r="D841" s="84"/>
      <c r="E841" s="80"/>
      <c r="F841" s="80"/>
      <c r="G841" s="80"/>
      <c r="H841" s="80"/>
      <c r="I841" s="80"/>
      <c r="J841" s="80"/>
      <c r="K841" s="107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  <c r="AC841" s="80"/>
      <c r="AD841" s="80"/>
      <c r="AE841" s="80"/>
      <c r="AF841" s="80"/>
      <c r="AG841" s="80"/>
    </row>
    <row r="842" spans="1:33" ht="13.8">
      <c r="A842" s="84"/>
      <c r="B842" s="84"/>
      <c r="C842" s="84"/>
      <c r="D842" s="84"/>
      <c r="E842" s="80"/>
      <c r="F842" s="80"/>
      <c r="G842" s="80"/>
      <c r="H842" s="80"/>
      <c r="I842" s="80"/>
      <c r="J842" s="80"/>
      <c r="K842" s="107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  <c r="AC842" s="80"/>
      <c r="AD842" s="80"/>
      <c r="AE842" s="80"/>
      <c r="AF842" s="80"/>
      <c r="AG842" s="80"/>
    </row>
    <row r="843" spans="1:33" ht="13.8">
      <c r="A843" s="84"/>
      <c r="B843" s="84"/>
      <c r="C843" s="84"/>
      <c r="D843" s="84"/>
      <c r="E843" s="80"/>
      <c r="F843" s="80"/>
      <c r="G843" s="80"/>
      <c r="H843" s="80"/>
      <c r="I843" s="80"/>
      <c r="J843" s="80"/>
      <c r="K843" s="107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</row>
    <row r="844" spans="1:33" ht="13.8">
      <c r="A844" s="84"/>
      <c r="B844" s="84"/>
      <c r="C844" s="84"/>
      <c r="D844" s="84"/>
      <c r="E844" s="80"/>
      <c r="F844" s="80"/>
      <c r="G844" s="80"/>
      <c r="H844" s="80"/>
      <c r="I844" s="80"/>
      <c r="J844" s="80"/>
      <c r="K844" s="107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  <c r="AC844" s="80"/>
      <c r="AD844" s="80"/>
      <c r="AE844" s="80"/>
      <c r="AF844" s="80"/>
      <c r="AG844" s="80"/>
    </row>
    <row r="845" spans="1:33" ht="13.8">
      <c r="A845" s="84"/>
      <c r="B845" s="84"/>
      <c r="C845" s="84"/>
      <c r="D845" s="84"/>
      <c r="E845" s="80"/>
      <c r="F845" s="80"/>
      <c r="G845" s="80"/>
      <c r="H845" s="80"/>
      <c r="I845" s="80"/>
      <c r="J845" s="80"/>
      <c r="K845" s="107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  <c r="AC845" s="80"/>
      <c r="AD845" s="80"/>
      <c r="AE845" s="80"/>
      <c r="AF845" s="80"/>
      <c r="AG845" s="80"/>
    </row>
    <row r="846" spans="1:33" ht="13.8">
      <c r="A846" s="84"/>
      <c r="B846" s="84"/>
      <c r="C846" s="84"/>
      <c r="D846" s="84"/>
      <c r="E846" s="80"/>
      <c r="F846" s="80"/>
      <c r="G846" s="80"/>
      <c r="H846" s="80"/>
      <c r="I846" s="80"/>
      <c r="J846" s="80"/>
      <c r="K846" s="107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  <c r="AC846" s="80"/>
      <c r="AD846" s="80"/>
      <c r="AE846" s="80"/>
      <c r="AF846" s="80"/>
      <c r="AG846" s="80"/>
    </row>
    <row r="847" spans="1:33" ht="13.8">
      <c r="A847" s="84"/>
      <c r="B847" s="84"/>
      <c r="C847" s="84"/>
      <c r="D847" s="84"/>
      <c r="E847" s="80"/>
      <c r="F847" s="80"/>
      <c r="G847" s="80"/>
      <c r="H847" s="80"/>
      <c r="I847" s="80"/>
      <c r="J847" s="80"/>
      <c r="K847" s="107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  <c r="AC847" s="80"/>
      <c r="AD847" s="80"/>
      <c r="AE847" s="80"/>
      <c r="AF847" s="80"/>
      <c r="AG847" s="80"/>
    </row>
    <row r="848" spans="1:33" ht="13.8">
      <c r="A848" s="84"/>
      <c r="B848" s="84"/>
      <c r="C848" s="84"/>
      <c r="D848" s="84"/>
      <c r="E848" s="80"/>
      <c r="F848" s="80"/>
      <c r="G848" s="80"/>
      <c r="H848" s="80"/>
      <c r="I848" s="80"/>
      <c r="J848" s="80"/>
      <c r="K848" s="107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  <c r="AC848" s="80"/>
      <c r="AD848" s="80"/>
      <c r="AE848" s="80"/>
      <c r="AF848" s="80"/>
      <c r="AG848" s="80"/>
    </row>
    <row r="849" spans="1:33" ht="13.8">
      <c r="A849" s="84"/>
      <c r="B849" s="84"/>
      <c r="C849" s="84"/>
      <c r="D849" s="84"/>
      <c r="E849" s="80"/>
      <c r="F849" s="80"/>
      <c r="G849" s="80"/>
      <c r="H849" s="80"/>
      <c r="I849" s="80"/>
      <c r="J849" s="80"/>
      <c r="K849" s="107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  <c r="AC849" s="80"/>
      <c r="AD849" s="80"/>
      <c r="AE849" s="80"/>
      <c r="AF849" s="80"/>
      <c r="AG849" s="80"/>
    </row>
    <row r="850" spans="1:33" ht="13.8">
      <c r="A850" s="84"/>
      <c r="B850" s="84"/>
      <c r="C850" s="84"/>
      <c r="D850" s="84"/>
      <c r="E850" s="80"/>
      <c r="F850" s="80"/>
      <c r="G850" s="80"/>
      <c r="H850" s="80"/>
      <c r="I850" s="80"/>
      <c r="J850" s="80"/>
      <c r="K850" s="107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  <c r="AC850" s="80"/>
      <c r="AD850" s="80"/>
      <c r="AE850" s="80"/>
      <c r="AF850" s="80"/>
      <c r="AG850" s="80"/>
    </row>
    <row r="851" spans="1:33" ht="13.8">
      <c r="A851" s="84"/>
      <c r="B851" s="84"/>
      <c r="C851" s="84"/>
      <c r="D851" s="84"/>
      <c r="E851" s="80"/>
      <c r="F851" s="80"/>
      <c r="G851" s="80"/>
      <c r="H851" s="80"/>
      <c r="I851" s="80"/>
      <c r="J851" s="80"/>
      <c r="K851" s="107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  <c r="AC851" s="80"/>
      <c r="AD851" s="80"/>
      <c r="AE851" s="80"/>
      <c r="AF851" s="80"/>
      <c r="AG851" s="80"/>
    </row>
    <row r="852" spans="1:33" ht="13.8">
      <c r="A852" s="84"/>
      <c r="B852" s="84"/>
      <c r="C852" s="84"/>
      <c r="D852" s="84"/>
      <c r="E852" s="80"/>
      <c r="F852" s="80"/>
      <c r="G852" s="80"/>
      <c r="H852" s="80"/>
      <c r="I852" s="80"/>
      <c r="J852" s="80"/>
      <c r="K852" s="107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  <c r="AC852" s="80"/>
      <c r="AD852" s="80"/>
      <c r="AE852" s="80"/>
      <c r="AF852" s="80"/>
      <c r="AG852" s="80"/>
    </row>
    <row r="853" spans="1:33" ht="13.8">
      <c r="A853" s="84"/>
      <c r="B853" s="84"/>
      <c r="C853" s="84"/>
      <c r="D853" s="84"/>
      <c r="E853" s="80"/>
      <c r="F853" s="80"/>
      <c r="G853" s="80"/>
      <c r="H853" s="80"/>
      <c r="I853" s="80"/>
      <c r="J853" s="80"/>
      <c r="K853" s="107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  <c r="AC853" s="80"/>
      <c r="AD853" s="80"/>
      <c r="AE853" s="80"/>
      <c r="AF853" s="80"/>
      <c r="AG853" s="80"/>
    </row>
    <row r="854" spans="1:33" ht="13.8">
      <c r="A854" s="84"/>
      <c r="B854" s="84"/>
      <c r="C854" s="84"/>
      <c r="D854" s="84"/>
      <c r="E854" s="80"/>
      <c r="F854" s="80"/>
      <c r="G854" s="80"/>
      <c r="H854" s="80"/>
      <c r="I854" s="80"/>
      <c r="J854" s="80"/>
      <c r="K854" s="107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  <c r="AC854" s="80"/>
      <c r="AD854" s="80"/>
      <c r="AE854" s="80"/>
      <c r="AF854" s="80"/>
      <c r="AG854" s="80"/>
    </row>
    <row r="855" spans="1:33" ht="13.8">
      <c r="A855" s="84"/>
      <c r="B855" s="84"/>
      <c r="C855" s="84"/>
      <c r="D855" s="84"/>
      <c r="E855" s="80"/>
      <c r="F855" s="80"/>
      <c r="G855" s="80"/>
      <c r="H855" s="80"/>
      <c r="I855" s="80"/>
      <c r="J855" s="80"/>
      <c r="K855" s="107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  <c r="AC855" s="80"/>
      <c r="AD855" s="80"/>
      <c r="AE855" s="80"/>
      <c r="AF855" s="80"/>
      <c r="AG855" s="80"/>
    </row>
    <row r="856" spans="1:33" ht="13.8">
      <c r="A856" s="84"/>
      <c r="B856" s="84"/>
      <c r="C856" s="84"/>
      <c r="D856" s="84"/>
      <c r="E856" s="80"/>
      <c r="F856" s="80"/>
      <c r="G856" s="80"/>
      <c r="H856" s="80"/>
      <c r="I856" s="80"/>
      <c r="J856" s="80"/>
      <c r="K856" s="107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  <c r="AC856" s="80"/>
      <c r="AD856" s="80"/>
      <c r="AE856" s="80"/>
      <c r="AF856" s="80"/>
      <c r="AG856" s="80"/>
    </row>
    <row r="857" spans="1:33" ht="13.8">
      <c r="A857" s="84"/>
      <c r="B857" s="84"/>
      <c r="C857" s="84"/>
      <c r="D857" s="84"/>
      <c r="E857" s="80"/>
      <c r="F857" s="80"/>
      <c r="G857" s="80"/>
      <c r="H857" s="80"/>
      <c r="I857" s="80"/>
      <c r="J857" s="80"/>
      <c r="K857" s="107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  <c r="AC857" s="80"/>
      <c r="AD857" s="80"/>
      <c r="AE857" s="80"/>
      <c r="AF857" s="80"/>
      <c r="AG857" s="80"/>
    </row>
    <row r="858" spans="1:33" ht="13.8">
      <c r="A858" s="84"/>
      <c r="B858" s="84"/>
      <c r="C858" s="84"/>
      <c r="D858" s="84"/>
      <c r="E858" s="80"/>
      <c r="F858" s="80"/>
      <c r="G858" s="80"/>
      <c r="H858" s="80"/>
      <c r="I858" s="80"/>
      <c r="J858" s="80"/>
      <c r="K858" s="107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  <c r="AC858" s="80"/>
      <c r="AD858" s="80"/>
      <c r="AE858" s="80"/>
      <c r="AF858" s="80"/>
      <c r="AG858" s="80"/>
    </row>
    <row r="859" spans="1:33" ht="13.8">
      <c r="A859" s="84"/>
      <c r="B859" s="84"/>
      <c r="C859" s="84"/>
      <c r="D859" s="84"/>
      <c r="E859" s="80"/>
      <c r="F859" s="80"/>
      <c r="G859" s="80"/>
      <c r="H859" s="80"/>
      <c r="I859" s="80"/>
      <c r="J859" s="80"/>
      <c r="K859" s="107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  <c r="AC859" s="80"/>
      <c r="AD859" s="80"/>
      <c r="AE859" s="80"/>
      <c r="AF859" s="80"/>
      <c r="AG859" s="80"/>
    </row>
    <row r="860" spans="1:33" ht="13.8">
      <c r="A860" s="84"/>
      <c r="B860" s="84"/>
      <c r="C860" s="84"/>
      <c r="D860" s="84"/>
      <c r="E860" s="80"/>
      <c r="F860" s="80"/>
      <c r="G860" s="80"/>
      <c r="H860" s="80"/>
      <c r="I860" s="80"/>
      <c r="J860" s="80"/>
      <c r="K860" s="107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  <c r="AC860" s="80"/>
      <c r="AD860" s="80"/>
      <c r="AE860" s="80"/>
      <c r="AF860" s="80"/>
      <c r="AG860" s="80"/>
    </row>
    <row r="861" spans="1:33" ht="13.8">
      <c r="A861" s="84"/>
      <c r="B861" s="84"/>
      <c r="C861" s="84"/>
      <c r="D861" s="84"/>
      <c r="E861" s="80"/>
      <c r="F861" s="80"/>
      <c r="G861" s="80"/>
      <c r="H861" s="80"/>
      <c r="I861" s="80"/>
      <c r="J861" s="80"/>
      <c r="K861" s="107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  <c r="AC861" s="80"/>
      <c r="AD861" s="80"/>
      <c r="AE861" s="80"/>
      <c r="AF861" s="80"/>
      <c r="AG861" s="80"/>
    </row>
    <row r="862" spans="1:33" ht="13.8">
      <c r="A862" s="84"/>
      <c r="B862" s="84"/>
      <c r="C862" s="84"/>
      <c r="D862" s="84"/>
      <c r="E862" s="80"/>
      <c r="F862" s="80"/>
      <c r="G862" s="80"/>
      <c r="H862" s="80"/>
      <c r="I862" s="80"/>
      <c r="J862" s="80"/>
      <c r="K862" s="107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  <c r="AC862" s="80"/>
      <c r="AD862" s="80"/>
      <c r="AE862" s="80"/>
      <c r="AF862" s="80"/>
      <c r="AG862" s="80"/>
    </row>
    <row r="863" spans="1:33" ht="13.8">
      <c r="A863" s="84"/>
      <c r="B863" s="84"/>
      <c r="C863" s="84"/>
      <c r="D863" s="84"/>
      <c r="E863" s="80"/>
      <c r="F863" s="80"/>
      <c r="G863" s="80"/>
      <c r="H863" s="80"/>
      <c r="I863" s="80"/>
      <c r="J863" s="80"/>
      <c r="K863" s="107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  <c r="AC863" s="80"/>
      <c r="AD863" s="80"/>
      <c r="AE863" s="80"/>
      <c r="AF863" s="80"/>
      <c r="AG863" s="80"/>
    </row>
    <row r="864" spans="1:33" ht="13.8">
      <c r="A864" s="84"/>
      <c r="B864" s="84"/>
      <c r="C864" s="84"/>
      <c r="D864" s="84"/>
      <c r="E864" s="80"/>
      <c r="F864" s="80"/>
      <c r="G864" s="80"/>
      <c r="H864" s="80"/>
      <c r="I864" s="80"/>
      <c r="J864" s="80"/>
      <c r="K864" s="107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  <c r="AC864" s="80"/>
      <c r="AD864" s="80"/>
      <c r="AE864" s="80"/>
      <c r="AF864" s="80"/>
      <c r="AG864" s="80"/>
    </row>
    <row r="865" spans="1:33" ht="13.8">
      <c r="A865" s="84"/>
      <c r="B865" s="84"/>
      <c r="C865" s="84"/>
      <c r="D865" s="84"/>
      <c r="E865" s="80"/>
      <c r="F865" s="80"/>
      <c r="G865" s="80"/>
      <c r="H865" s="80"/>
      <c r="I865" s="80"/>
      <c r="J865" s="80"/>
      <c r="K865" s="107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  <c r="AC865" s="80"/>
      <c r="AD865" s="80"/>
      <c r="AE865" s="80"/>
      <c r="AF865" s="80"/>
      <c r="AG865" s="80"/>
    </row>
    <row r="866" spans="1:33" ht="13.8">
      <c r="A866" s="84"/>
      <c r="B866" s="84"/>
      <c r="C866" s="84"/>
      <c r="D866" s="84"/>
      <c r="E866" s="80"/>
      <c r="F866" s="80"/>
      <c r="G866" s="80"/>
      <c r="H866" s="80"/>
      <c r="I866" s="80"/>
      <c r="J866" s="80"/>
      <c r="K866" s="107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  <c r="AC866" s="80"/>
      <c r="AD866" s="80"/>
      <c r="AE866" s="80"/>
      <c r="AF866" s="80"/>
      <c r="AG866" s="80"/>
    </row>
    <row r="867" spans="1:33" ht="13.8">
      <c r="A867" s="84"/>
      <c r="B867" s="84"/>
      <c r="C867" s="84"/>
      <c r="D867" s="84"/>
      <c r="E867" s="80"/>
      <c r="F867" s="80"/>
      <c r="G867" s="80"/>
      <c r="H867" s="80"/>
      <c r="I867" s="80"/>
      <c r="J867" s="80"/>
      <c r="K867" s="107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  <c r="AC867" s="80"/>
      <c r="AD867" s="80"/>
      <c r="AE867" s="80"/>
      <c r="AF867" s="80"/>
      <c r="AG867" s="80"/>
    </row>
    <row r="868" spans="1:33" ht="13.8">
      <c r="A868" s="84"/>
      <c r="B868" s="84"/>
      <c r="C868" s="84"/>
      <c r="D868" s="84"/>
      <c r="E868" s="80"/>
      <c r="F868" s="80"/>
      <c r="G868" s="80"/>
      <c r="H868" s="80"/>
      <c r="I868" s="80"/>
      <c r="J868" s="80"/>
      <c r="K868" s="107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  <c r="AC868" s="80"/>
      <c r="AD868" s="80"/>
      <c r="AE868" s="80"/>
      <c r="AF868" s="80"/>
      <c r="AG868" s="80"/>
    </row>
    <row r="869" spans="1:33" ht="13.8">
      <c r="A869" s="84"/>
      <c r="B869" s="84"/>
      <c r="C869" s="84"/>
      <c r="D869" s="84"/>
      <c r="E869" s="80"/>
      <c r="F869" s="80"/>
      <c r="G869" s="80"/>
      <c r="H869" s="80"/>
      <c r="I869" s="80"/>
      <c r="J869" s="80"/>
      <c r="K869" s="107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  <c r="AC869" s="80"/>
      <c r="AD869" s="80"/>
      <c r="AE869" s="80"/>
      <c r="AF869" s="80"/>
      <c r="AG869" s="80"/>
    </row>
    <row r="870" spans="1:33" ht="13.8">
      <c r="A870" s="84"/>
      <c r="B870" s="84"/>
      <c r="C870" s="84"/>
      <c r="D870" s="84"/>
      <c r="E870" s="80"/>
      <c r="F870" s="80"/>
      <c r="G870" s="80"/>
      <c r="H870" s="80"/>
      <c r="I870" s="80"/>
      <c r="J870" s="80"/>
      <c r="K870" s="107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  <c r="AC870" s="80"/>
      <c r="AD870" s="80"/>
      <c r="AE870" s="80"/>
      <c r="AF870" s="80"/>
      <c r="AG870" s="80"/>
    </row>
    <row r="871" spans="1:33" ht="13.8">
      <c r="A871" s="84"/>
      <c r="B871" s="84"/>
      <c r="C871" s="84"/>
      <c r="D871" s="84"/>
      <c r="E871" s="80"/>
      <c r="F871" s="80"/>
      <c r="G871" s="80"/>
      <c r="H871" s="80"/>
      <c r="I871" s="80"/>
      <c r="J871" s="80"/>
      <c r="K871" s="107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  <c r="AC871" s="80"/>
      <c r="AD871" s="80"/>
      <c r="AE871" s="80"/>
      <c r="AF871" s="80"/>
      <c r="AG871" s="80"/>
    </row>
    <row r="872" spans="1:33" ht="13.8">
      <c r="A872" s="84"/>
      <c r="B872" s="84"/>
      <c r="C872" s="84"/>
      <c r="D872" s="84"/>
      <c r="E872" s="80"/>
      <c r="F872" s="80"/>
      <c r="G872" s="80"/>
      <c r="H872" s="80"/>
      <c r="I872" s="80"/>
      <c r="J872" s="80"/>
      <c r="K872" s="107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  <c r="AC872" s="80"/>
      <c r="AD872" s="80"/>
      <c r="AE872" s="80"/>
      <c r="AF872" s="80"/>
      <c r="AG872" s="80"/>
    </row>
    <row r="873" spans="1:33" ht="13.8">
      <c r="A873" s="84"/>
      <c r="B873" s="84"/>
      <c r="C873" s="84"/>
      <c r="D873" s="84"/>
      <c r="E873" s="80"/>
      <c r="F873" s="80"/>
      <c r="G873" s="80"/>
      <c r="H873" s="80"/>
      <c r="I873" s="80"/>
      <c r="J873" s="80"/>
      <c r="K873" s="107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  <c r="AC873" s="80"/>
      <c r="AD873" s="80"/>
      <c r="AE873" s="80"/>
      <c r="AF873" s="80"/>
      <c r="AG873" s="80"/>
    </row>
    <row r="874" spans="1:33" ht="13.8">
      <c r="A874" s="84"/>
      <c r="B874" s="84"/>
      <c r="C874" s="84"/>
      <c r="D874" s="84"/>
      <c r="E874" s="80"/>
      <c r="F874" s="80"/>
      <c r="G874" s="80"/>
      <c r="H874" s="80"/>
      <c r="I874" s="80"/>
      <c r="J874" s="80"/>
      <c r="K874" s="107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  <c r="AC874" s="80"/>
      <c r="AD874" s="80"/>
      <c r="AE874" s="80"/>
      <c r="AF874" s="80"/>
      <c r="AG874" s="80"/>
    </row>
    <row r="875" spans="1:33" ht="13.8">
      <c r="A875" s="84"/>
      <c r="B875" s="84"/>
      <c r="C875" s="84"/>
      <c r="D875" s="84"/>
      <c r="E875" s="80"/>
      <c r="F875" s="80"/>
      <c r="G875" s="80"/>
      <c r="H875" s="80"/>
      <c r="I875" s="80"/>
      <c r="J875" s="80"/>
      <c r="K875" s="107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  <c r="AC875" s="80"/>
      <c r="AD875" s="80"/>
      <c r="AE875" s="80"/>
      <c r="AF875" s="80"/>
      <c r="AG875" s="80"/>
    </row>
    <row r="876" spans="1:33" ht="13.8">
      <c r="A876" s="84"/>
      <c r="B876" s="84"/>
      <c r="C876" s="84"/>
      <c r="D876" s="84"/>
      <c r="E876" s="80"/>
      <c r="F876" s="80"/>
      <c r="G876" s="80"/>
      <c r="H876" s="80"/>
      <c r="I876" s="80"/>
      <c r="J876" s="80"/>
      <c r="K876" s="107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  <c r="AC876" s="80"/>
      <c r="AD876" s="80"/>
      <c r="AE876" s="80"/>
      <c r="AF876" s="80"/>
      <c r="AG876" s="80"/>
    </row>
    <row r="877" spans="1:33" ht="13.8">
      <c r="A877" s="84"/>
      <c r="B877" s="84"/>
      <c r="C877" s="84"/>
      <c r="D877" s="84"/>
      <c r="E877" s="80"/>
      <c r="F877" s="80"/>
      <c r="G877" s="80"/>
      <c r="H877" s="80"/>
      <c r="I877" s="80"/>
      <c r="J877" s="80"/>
      <c r="K877" s="107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  <c r="AC877" s="80"/>
      <c r="AD877" s="80"/>
      <c r="AE877" s="80"/>
      <c r="AF877" s="80"/>
      <c r="AG877" s="80"/>
    </row>
    <row r="878" spans="1:33" ht="13.8">
      <c r="A878" s="84"/>
      <c r="B878" s="84"/>
      <c r="C878" s="84"/>
      <c r="D878" s="84"/>
      <c r="E878" s="80"/>
      <c r="F878" s="80"/>
      <c r="G878" s="80"/>
      <c r="H878" s="80"/>
      <c r="I878" s="80"/>
      <c r="J878" s="80"/>
      <c r="K878" s="107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  <c r="AC878" s="80"/>
      <c r="AD878" s="80"/>
      <c r="AE878" s="80"/>
      <c r="AF878" s="80"/>
      <c r="AG878" s="80"/>
    </row>
    <row r="879" spans="1:33" ht="13.8">
      <c r="A879" s="84"/>
      <c r="B879" s="84"/>
      <c r="C879" s="84"/>
      <c r="D879" s="84"/>
      <c r="E879" s="80"/>
      <c r="F879" s="80"/>
      <c r="G879" s="80"/>
      <c r="H879" s="80"/>
      <c r="I879" s="80"/>
      <c r="J879" s="80"/>
      <c r="K879" s="107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  <c r="AC879" s="80"/>
      <c r="AD879" s="80"/>
      <c r="AE879" s="80"/>
      <c r="AF879" s="80"/>
      <c r="AG879" s="80"/>
    </row>
    <row r="880" spans="1:33" ht="13.8">
      <c r="A880" s="84"/>
      <c r="B880" s="84"/>
      <c r="C880" s="84"/>
      <c r="D880" s="84"/>
      <c r="E880" s="80"/>
      <c r="F880" s="80"/>
      <c r="G880" s="80"/>
      <c r="H880" s="80"/>
      <c r="I880" s="80"/>
      <c r="J880" s="80"/>
      <c r="K880" s="107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  <c r="AC880" s="80"/>
      <c r="AD880" s="80"/>
      <c r="AE880" s="80"/>
      <c r="AF880" s="80"/>
      <c r="AG880" s="80"/>
    </row>
    <row r="881" spans="1:33" ht="13.8">
      <c r="A881" s="84"/>
      <c r="B881" s="84"/>
      <c r="C881" s="84"/>
      <c r="D881" s="84"/>
      <c r="E881" s="80"/>
      <c r="F881" s="80"/>
      <c r="G881" s="80"/>
      <c r="H881" s="80"/>
      <c r="I881" s="80"/>
      <c r="J881" s="80"/>
      <c r="K881" s="107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  <c r="AC881" s="80"/>
      <c r="AD881" s="80"/>
      <c r="AE881" s="80"/>
      <c r="AF881" s="80"/>
      <c r="AG881" s="80"/>
    </row>
    <row r="882" spans="1:33" ht="13.8">
      <c r="A882" s="84"/>
      <c r="B882" s="84"/>
      <c r="C882" s="84"/>
      <c r="D882" s="84"/>
      <c r="E882" s="80"/>
      <c r="F882" s="80"/>
      <c r="G882" s="80"/>
      <c r="H882" s="80"/>
      <c r="I882" s="80"/>
      <c r="J882" s="80"/>
      <c r="K882" s="107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  <c r="AB882" s="80"/>
      <c r="AC882" s="80"/>
      <c r="AD882" s="80"/>
      <c r="AE882" s="80"/>
      <c r="AF882" s="80"/>
      <c r="AG882" s="80"/>
    </row>
    <row r="883" spans="1:33" ht="13.8">
      <c r="A883" s="84"/>
      <c r="B883" s="84"/>
      <c r="C883" s="84"/>
      <c r="D883" s="84"/>
      <c r="E883" s="80"/>
      <c r="F883" s="80"/>
      <c r="G883" s="80"/>
      <c r="H883" s="80"/>
      <c r="I883" s="80"/>
      <c r="J883" s="80"/>
      <c r="K883" s="107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</row>
    <row r="884" spans="1:33" ht="13.8">
      <c r="A884" s="84"/>
      <c r="B884" s="84"/>
      <c r="C884" s="84"/>
      <c r="D884" s="84"/>
      <c r="E884" s="80"/>
      <c r="F884" s="80"/>
      <c r="G884" s="80"/>
      <c r="H884" s="80"/>
      <c r="I884" s="80"/>
      <c r="J884" s="80"/>
      <c r="K884" s="107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  <c r="AB884" s="80"/>
      <c r="AC884" s="80"/>
      <c r="AD884" s="80"/>
      <c r="AE884" s="80"/>
      <c r="AF884" s="80"/>
      <c r="AG884" s="80"/>
    </row>
    <row r="885" spans="1:33" ht="13.8">
      <c r="A885" s="84"/>
      <c r="B885" s="84"/>
      <c r="C885" s="84"/>
      <c r="D885" s="84"/>
      <c r="E885" s="80"/>
      <c r="F885" s="80"/>
      <c r="G885" s="80"/>
      <c r="H885" s="80"/>
      <c r="I885" s="80"/>
      <c r="J885" s="80"/>
      <c r="K885" s="107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  <c r="AB885" s="80"/>
      <c r="AC885" s="80"/>
      <c r="AD885" s="80"/>
      <c r="AE885" s="80"/>
      <c r="AF885" s="80"/>
      <c r="AG885" s="80"/>
    </row>
    <row r="886" spans="1:33" ht="13.8">
      <c r="A886" s="84"/>
      <c r="B886" s="84"/>
      <c r="C886" s="84"/>
      <c r="D886" s="84"/>
      <c r="E886" s="80"/>
      <c r="F886" s="80"/>
      <c r="G886" s="80"/>
      <c r="H886" s="80"/>
      <c r="I886" s="80"/>
      <c r="J886" s="80"/>
      <c r="K886" s="107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  <c r="AB886" s="80"/>
      <c r="AC886" s="80"/>
      <c r="AD886" s="80"/>
      <c r="AE886" s="80"/>
      <c r="AF886" s="80"/>
      <c r="AG886" s="80"/>
    </row>
    <row r="887" spans="1:33" ht="13.8">
      <c r="A887" s="84"/>
      <c r="B887" s="84"/>
      <c r="C887" s="84"/>
      <c r="D887" s="84"/>
      <c r="E887" s="80"/>
      <c r="F887" s="80"/>
      <c r="G887" s="80"/>
      <c r="H887" s="80"/>
      <c r="I887" s="80"/>
      <c r="J887" s="80"/>
      <c r="K887" s="107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  <c r="AC887" s="80"/>
      <c r="AD887" s="80"/>
      <c r="AE887" s="80"/>
      <c r="AF887" s="80"/>
      <c r="AG887" s="80"/>
    </row>
    <row r="888" spans="1:33" ht="13.8">
      <c r="A888" s="84"/>
      <c r="B888" s="84"/>
      <c r="C888" s="84"/>
      <c r="D888" s="84"/>
      <c r="E888" s="80"/>
      <c r="F888" s="80"/>
      <c r="G888" s="80"/>
      <c r="H888" s="80"/>
      <c r="I888" s="80"/>
      <c r="J888" s="80"/>
      <c r="K888" s="107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  <c r="AC888" s="80"/>
      <c r="AD888" s="80"/>
      <c r="AE888" s="80"/>
      <c r="AF888" s="80"/>
      <c r="AG888" s="80"/>
    </row>
    <row r="889" spans="1:33" ht="13.8">
      <c r="A889" s="84"/>
      <c r="B889" s="84"/>
      <c r="C889" s="84"/>
      <c r="D889" s="84"/>
      <c r="E889" s="80"/>
      <c r="F889" s="80"/>
      <c r="G889" s="80"/>
      <c r="H889" s="80"/>
      <c r="I889" s="80"/>
      <c r="J889" s="80"/>
      <c r="K889" s="107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  <c r="AB889" s="80"/>
      <c r="AC889" s="80"/>
      <c r="AD889" s="80"/>
      <c r="AE889" s="80"/>
      <c r="AF889" s="80"/>
      <c r="AG889" s="80"/>
    </row>
    <row r="890" spans="1:33" ht="13.8">
      <c r="A890" s="84"/>
      <c r="B890" s="84"/>
      <c r="C890" s="84"/>
      <c r="D890" s="84"/>
      <c r="E890" s="80"/>
      <c r="F890" s="80"/>
      <c r="G890" s="80"/>
      <c r="H890" s="80"/>
      <c r="I890" s="80"/>
      <c r="J890" s="80"/>
      <c r="K890" s="107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  <c r="AC890" s="80"/>
      <c r="AD890" s="80"/>
      <c r="AE890" s="80"/>
      <c r="AF890" s="80"/>
      <c r="AG890" s="80"/>
    </row>
    <row r="891" spans="1:33" ht="13.8">
      <c r="A891" s="84"/>
      <c r="B891" s="84"/>
      <c r="C891" s="84"/>
      <c r="D891" s="84"/>
      <c r="E891" s="80"/>
      <c r="F891" s="80"/>
      <c r="G891" s="80"/>
      <c r="H891" s="80"/>
      <c r="I891" s="80"/>
      <c r="J891" s="80"/>
      <c r="K891" s="107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  <c r="AB891" s="80"/>
      <c r="AC891" s="80"/>
      <c r="AD891" s="80"/>
      <c r="AE891" s="80"/>
      <c r="AF891" s="80"/>
      <c r="AG891" s="80"/>
    </row>
    <row r="892" spans="1:33" ht="13.8">
      <c r="A892" s="84"/>
      <c r="B892" s="84"/>
      <c r="C892" s="84"/>
      <c r="D892" s="84"/>
      <c r="E892" s="80"/>
      <c r="F892" s="80"/>
      <c r="G892" s="80"/>
      <c r="H892" s="80"/>
      <c r="I892" s="80"/>
      <c r="J892" s="80"/>
      <c r="K892" s="107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  <c r="AC892" s="80"/>
      <c r="AD892" s="80"/>
      <c r="AE892" s="80"/>
      <c r="AF892" s="80"/>
      <c r="AG892" s="80"/>
    </row>
    <row r="893" spans="1:33" ht="13.8">
      <c r="A893" s="84"/>
      <c r="B893" s="84"/>
      <c r="C893" s="84"/>
      <c r="D893" s="84"/>
      <c r="E893" s="80"/>
      <c r="F893" s="80"/>
      <c r="G893" s="80"/>
      <c r="H893" s="80"/>
      <c r="I893" s="80"/>
      <c r="J893" s="80"/>
      <c r="K893" s="107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  <c r="AB893" s="80"/>
      <c r="AC893" s="80"/>
      <c r="AD893" s="80"/>
      <c r="AE893" s="80"/>
      <c r="AF893" s="80"/>
      <c r="AG893" s="80"/>
    </row>
    <row r="894" spans="1:33" ht="13.8">
      <c r="A894" s="84"/>
      <c r="B894" s="84"/>
      <c r="C894" s="84"/>
      <c r="D894" s="84"/>
      <c r="E894" s="80"/>
      <c r="F894" s="80"/>
      <c r="G894" s="80"/>
      <c r="H894" s="80"/>
      <c r="I894" s="80"/>
      <c r="J894" s="80"/>
      <c r="K894" s="107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  <c r="AB894" s="80"/>
      <c r="AC894" s="80"/>
      <c r="AD894" s="80"/>
      <c r="AE894" s="80"/>
      <c r="AF894" s="80"/>
      <c r="AG894" s="80"/>
    </row>
    <row r="895" spans="1:33" ht="13.8">
      <c r="A895" s="84"/>
      <c r="B895" s="84"/>
      <c r="C895" s="84"/>
      <c r="D895" s="84"/>
      <c r="E895" s="80"/>
      <c r="F895" s="80"/>
      <c r="G895" s="80"/>
      <c r="H895" s="80"/>
      <c r="I895" s="80"/>
      <c r="J895" s="80"/>
      <c r="K895" s="107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  <c r="AB895" s="80"/>
      <c r="AC895" s="80"/>
      <c r="AD895" s="80"/>
      <c r="AE895" s="80"/>
      <c r="AF895" s="80"/>
      <c r="AG895" s="80"/>
    </row>
    <row r="896" spans="1:33" ht="13.8">
      <c r="A896" s="84"/>
      <c r="B896" s="84"/>
      <c r="C896" s="84"/>
      <c r="D896" s="84"/>
      <c r="E896" s="80"/>
      <c r="F896" s="80"/>
      <c r="G896" s="80"/>
      <c r="H896" s="80"/>
      <c r="I896" s="80"/>
      <c r="J896" s="80"/>
      <c r="K896" s="107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  <c r="AB896" s="80"/>
      <c r="AC896" s="80"/>
      <c r="AD896" s="80"/>
      <c r="AE896" s="80"/>
      <c r="AF896" s="80"/>
      <c r="AG896" s="80"/>
    </row>
    <row r="897" spans="1:33" ht="13.8">
      <c r="A897" s="84"/>
      <c r="B897" s="84"/>
      <c r="C897" s="84"/>
      <c r="D897" s="84"/>
      <c r="E897" s="80"/>
      <c r="F897" s="80"/>
      <c r="G897" s="80"/>
      <c r="H897" s="80"/>
      <c r="I897" s="80"/>
      <c r="J897" s="80"/>
      <c r="K897" s="107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  <c r="AB897" s="80"/>
      <c r="AC897" s="80"/>
      <c r="AD897" s="80"/>
      <c r="AE897" s="80"/>
      <c r="AF897" s="80"/>
      <c r="AG897" s="80"/>
    </row>
    <row r="898" spans="1:33" ht="13.8">
      <c r="A898" s="84"/>
      <c r="B898" s="84"/>
      <c r="C898" s="84"/>
      <c r="D898" s="84"/>
      <c r="E898" s="80"/>
      <c r="F898" s="80"/>
      <c r="G898" s="80"/>
      <c r="H898" s="80"/>
      <c r="I898" s="80"/>
      <c r="J898" s="80"/>
      <c r="K898" s="107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  <c r="AB898" s="80"/>
      <c r="AC898" s="80"/>
      <c r="AD898" s="80"/>
      <c r="AE898" s="80"/>
      <c r="AF898" s="80"/>
      <c r="AG898" s="80"/>
    </row>
    <row r="899" spans="1:33" ht="13.8">
      <c r="A899" s="84"/>
      <c r="B899" s="84"/>
      <c r="C899" s="84"/>
      <c r="D899" s="84"/>
      <c r="E899" s="80"/>
      <c r="F899" s="80"/>
      <c r="G899" s="80"/>
      <c r="H899" s="80"/>
      <c r="I899" s="80"/>
      <c r="J899" s="80"/>
      <c r="K899" s="107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  <c r="AB899" s="80"/>
      <c r="AC899" s="80"/>
      <c r="AD899" s="80"/>
      <c r="AE899" s="80"/>
      <c r="AF899" s="80"/>
      <c r="AG899" s="80"/>
    </row>
    <row r="900" spans="1:33" ht="13.8">
      <c r="A900" s="84"/>
      <c r="B900" s="84"/>
      <c r="C900" s="84"/>
      <c r="D900" s="84"/>
      <c r="E900" s="80"/>
      <c r="F900" s="80"/>
      <c r="G900" s="80"/>
      <c r="H900" s="80"/>
      <c r="I900" s="80"/>
      <c r="J900" s="80"/>
      <c r="K900" s="107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  <c r="AB900" s="80"/>
      <c r="AC900" s="80"/>
      <c r="AD900" s="80"/>
      <c r="AE900" s="80"/>
      <c r="AF900" s="80"/>
      <c r="AG900" s="80"/>
    </row>
    <row r="901" spans="1:33" ht="13.8">
      <c r="A901" s="84"/>
      <c r="B901" s="84"/>
      <c r="C901" s="84"/>
      <c r="D901" s="84"/>
      <c r="E901" s="80"/>
      <c r="F901" s="80"/>
      <c r="G901" s="80"/>
      <c r="H901" s="80"/>
      <c r="I901" s="80"/>
      <c r="J901" s="80"/>
      <c r="K901" s="107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  <c r="AB901" s="80"/>
      <c r="AC901" s="80"/>
      <c r="AD901" s="80"/>
      <c r="AE901" s="80"/>
      <c r="AF901" s="80"/>
      <c r="AG901" s="80"/>
    </row>
    <row r="902" spans="1:33" ht="13.8">
      <c r="A902" s="84"/>
      <c r="B902" s="84"/>
      <c r="C902" s="84"/>
      <c r="D902" s="84"/>
      <c r="E902" s="80"/>
      <c r="F902" s="80"/>
      <c r="G902" s="80"/>
      <c r="H902" s="80"/>
      <c r="I902" s="80"/>
      <c r="J902" s="80"/>
      <c r="K902" s="107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  <c r="AB902" s="80"/>
      <c r="AC902" s="80"/>
      <c r="AD902" s="80"/>
      <c r="AE902" s="80"/>
      <c r="AF902" s="80"/>
      <c r="AG902" s="80"/>
    </row>
    <row r="903" spans="1:33" ht="13.8">
      <c r="A903" s="84"/>
      <c r="B903" s="84"/>
      <c r="C903" s="84"/>
      <c r="D903" s="84"/>
      <c r="E903" s="80"/>
      <c r="F903" s="80"/>
      <c r="G903" s="80"/>
      <c r="H903" s="80"/>
      <c r="I903" s="80"/>
      <c r="J903" s="80"/>
      <c r="K903" s="107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  <c r="AB903" s="80"/>
      <c r="AC903" s="80"/>
      <c r="AD903" s="80"/>
      <c r="AE903" s="80"/>
      <c r="AF903" s="80"/>
      <c r="AG903" s="80"/>
    </row>
    <row r="904" spans="1:33" ht="13.8">
      <c r="A904" s="84"/>
      <c r="B904" s="84"/>
      <c r="C904" s="84"/>
      <c r="D904" s="84"/>
      <c r="E904" s="80"/>
      <c r="F904" s="80"/>
      <c r="G904" s="80"/>
      <c r="H904" s="80"/>
      <c r="I904" s="80"/>
      <c r="J904" s="80"/>
      <c r="K904" s="107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  <c r="AB904" s="80"/>
      <c r="AC904" s="80"/>
      <c r="AD904" s="80"/>
      <c r="AE904" s="80"/>
      <c r="AF904" s="80"/>
      <c r="AG904" s="80"/>
    </row>
    <row r="905" spans="1:33" ht="13.8">
      <c r="A905" s="84"/>
      <c r="B905" s="84"/>
      <c r="C905" s="84"/>
      <c r="D905" s="84"/>
      <c r="E905" s="80"/>
      <c r="F905" s="80"/>
      <c r="G905" s="80"/>
      <c r="H905" s="80"/>
      <c r="I905" s="80"/>
      <c r="J905" s="80"/>
      <c r="K905" s="107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  <c r="AB905" s="80"/>
      <c r="AC905" s="80"/>
      <c r="AD905" s="80"/>
      <c r="AE905" s="80"/>
      <c r="AF905" s="80"/>
      <c r="AG905" s="80"/>
    </row>
    <row r="906" spans="1:33" ht="13.8">
      <c r="A906" s="84"/>
      <c r="B906" s="84"/>
      <c r="C906" s="84"/>
      <c r="D906" s="84"/>
      <c r="E906" s="80"/>
      <c r="F906" s="80"/>
      <c r="G906" s="80"/>
      <c r="H906" s="80"/>
      <c r="I906" s="80"/>
      <c r="J906" s="80"/>
      <c r="K906" s="107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  <c r="AB906" s="80"/>
      <c r="AC906" s="80"/>
      <c r="AD906" s="80"/>
      <c r="AE906" s="80"/>
      <c r="AF906" s="80"/>
      <c r="AG906" s="80"/>
    </row>
    <row r="907" spans="1:33" ht="13.8">
      <c r="A907" s="84"/>
      <c r="B907" s="84"/>
      <c r="C907" s="84"/>
      <c r="D907" s="84"/>
      <c r="E907" s="80"/>
      <c r="F907" s="80"/>
      <c r="G907" s="80"/>
      <c r="H907" s="80"/>
      <c r="I907" s="80"/>
      <c r="J907" s="80"/>
      <c r="K907" s="107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  <c r="AB907" s="80"/>
      <c r="AC907" s="80"/>
      <c r="AD907" s="80"/>
      <c r="AE907" s="80"/>
      <c r="AF907" s="80"/>
      <c r="AG907" s="80"/>
    </row>
    <row r="908" spans="1:33" ht="13.8">
      <c r="A908" s="84"/>
      <c r="B908" s="84"/>
      <c r="C908" s="84"/>
      <c r="D908" s="84"/>
      <c r="E908" s="80"/>
      <c r="F908" s="80"/>
      <c r="G908" s="80"/>
      <c r="H908" s="80"/>
      <c r="I908" s="80"/>
      <c r="J908" s="80"/>
      <c r="K908" s="107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  <c r="AB908" s="80"/>
      <c r="AC908" s="80"/>
      <c r="AD908" s="80"/>
      <c r="AE908" s="80"/>
      <c r="AF908" s="80"/>
      <c r="AG908" s="80"/>
    </row>
    <row r="909" spans="1:33" ht="13.8">
      <c r="A909" s="84"/>
      <c r="B909" s="84"/>
      <c r="C909" s="84"/>
      <c r="D909" s="84"/>
      <c r="E909" s="80"/>
      <c r="F909" s="80"/>
      <c r="G909" s="80"/>
      <c r="H909" s="80"/>
      <c r="I909" s="80"/>
      <c r="J909" s="80"/>
      <c r="K909" s="107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  <c r="AB909" s="80"/>
      <c r="AC909" s="80"/>
      <c r="AD909" s="80"/>
      <c r="AE909" s="80"/>
      <c r="AF909" s="80"/>
      <c r="AG909" s="80"/>
    </row>
    <row r="910" spans="1:33" ht="13.8">
      <c r="A910" s="84"/>
      <c r="B910" s="84"/>
      <c r="C910" s="84"/>
      <c r="D910" s="84"/>
      <c r="E910" s="80"/>
      <c r="F910" s="80"/>
      <c r="G910" s="80"/>
      <c r="H910" s="80"/>
      <c r="I910" s="80"/>
      <c r="J910" s="80"/>
      <c r="K910" s="107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  <c r="AB910" s="80"/>
      <c r="AC910" s="80"/>
      <c r="AD910" s="80"/>
      <c r="AE910" s="80"/>
      <c r="AF910" s="80"/>
      <c r="AG910" s="80"/>
    </row>
    <row r="911" spans="1:33" ht="13.8">
      <c r="A911" s="84"/>
      <c r="B911" s="84"/>
      <c r="C911" s="84"/>
      <c r="D911" s="84"/>
      <c r="E911" s="80"/>
      <c r="F911" s="80"/>
      <c r="G911" s="80"/>
      <c r="H911" s="80"/>
      <c r="I911" s="80"/>
      <c r="J911" s="80"/>
      <c r="K911" s="107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  <c r="AB911" s="80"/>
      <c r="AC911" s="80"/>
      <c r="AD911" s="80"/>
      <c r="AE911" s="80"/>
      <c r="AF911" s="80"/>
      <c r="AG911" s="80"/>
    </row>
    <row r="912" spans="1:33" ht="13.8">
      <c r="A912" s="84"/>
      <c r="B912" s="84"/>
      <c r="C912" s="84"/>
      <c r="D912" s="84"/>
      <c r="E912" s="80"/>
      <c r="F912" s="80"/>
      <c r="G912" s="80"/>
      <c r="H912" s="80"/>
      <c r="I912" s="80"/>
      <c r="J912" s="80"/>
      <c r="K912" s="107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  <c r="AB912" s="80"/>
      <c r="AC912" s="80"/>
      <c r="AD912" s="80"/>
      <c r="AE912" s="80"/>
      <c r="AF912" s="80"/>
      <c r="AG912" s="80"/>
    </row>
    <row r="913" spans="1:33" ht="13.8">
      <c r="A913" s="84"/>
      <c r="B913" s="84"/>
      <c r="C913" s="84"/>
      <c r="D913" s="84"/>
      <c r="E913" s="80"/>
      <c r="F913" s="80"/>
      <c r="G913" s="80"/>
      <c r="H913" s="80"/>
      <c r="I913" s="80"/>
      <c r="J913" s="80"/>
      <c r="K913" s="107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  <c r="AB913" s="80"/>
      <c r="AC913" s="80"/>
      <c r="AD913" s="80"/>
      <c r="AE913" s="80"/>
      <c r="AF913" s="80"/>
      <c r="AG913" s="80"/>
    </row>
    <row r="914" spans="1:33" ht="13.8">
      <c r="A914" s="84"/>
      <c r="B914" s="84"/>
      <c r="C914" s="84"/>
      <c r="D914" s="84"/>
      <c r="E914" s="80"/>
      <c r="F914" s="80"/>
      <c r="G914" s="80"/>
      <c r="H914" s="80"/>
      <c r="I914" s="80"/>
      <c r="J914" s="80"/>
      <c r="K914" s="107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  <c r="AB914" s="80"/>
      <c r="AC914" s="80"/>
      <c r="AD914" s="80"/>
      <c r="AE914" s="80"/>
      <c r="AF914" s="80"/>
      <c r="AG914" s="80"/>
    </row>
    <row r="915" spans="1:33" ht="13.8">
      <c r="A915" s="84"/>
      <c r="B915" s="84"/>
      <c r="C915" s="84"/>
      <c r="D915" s="84"/>
      <c r="E915" s="80"/>
      <c r="F915" s="80"/>
      <c r="G915" s="80"/>
      <c r="H915" s="80"/>
      <c r="I915" s="80"/>
      <c r="J915" s="80"/>
      <c r="K915" s="107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  <c r="AB915" s="80"/>
      <c r="AC915" s="80"/>
      <c r="AD915" s="80"/>
      <c r="AE915" s="80"/>
      <c r="AF915" s="80"/>
      <c r="AG915" s="80"/>
    </row>
    <row r="916" spans="1:33" ht="13.8">
      <c r="A916" s="84"/>
      <c r="B916" s="84"/>
      <c r="C916" s="84"/>
      <c r="D916" s="84"/>
      <c r="E916" s="80"/>
      <c r="F916" s="80"/>
      <c r="G916" s="80"/>
      <c r="H916" s="80"/>
      <c r="I916" s="80"/>
      <c r="J916" s="80"/>
      <c r="K916" s="107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  <c r="AB916" s="80"/>
      <c r="AC916" s="80"/>
      <c r="AD916" s="80"/>
      <c r="AE916" s="80"/>
      <c r="AF916" s="80"/>
      <c r="AG916" s="80"/>
    </row>
    <row r="917" spans="1:33" ht="13.8">
      <c r="A917" s="84"/>
      <c r="B917" s="84"/>
      <c r="C917" s="84"/>
      <c r="D917" s="84"/>
      <c r="E917" s="80"/>
      <c r="F917" s="80"/>
      <c r="G917" s="80"/>
      <c r="H917" s="80"/>
      <c r="I917" s="80"/>
      <c r="J917" s="80"/>
      <c r="K917" s="107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  <c r="AB917" s="80"/>
      <c r="AC917" s="80"/>
      <c r="AD917" s="80"/>
      <c r="AE917" s="80"/>
      <c r="AF917" s="80"/>
      <c r="AG917" s="80"/>
    </row>
    <row r="918" spans="1:33" ht="13.8">
      <c r="A918" s="84"/>
      <c r="B918" s="84"/>
      <c r="C918" s="84"/>
      <c r="D918" s="84"/>
      <c r="E918" s="80"/>
      <c r="F918" s="80"/>
      <c r="G918" s="80"/>
      <c r="H918" s="80"/>
      <c r="I918" s="80"/>
      <c r="J918" s="80"/>
      <c r="K918" s="107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  <c r="AB918" s="80"/>
      <c r="AC918" s="80"/>
      <c r="AD918" s="80"/>
      <c r="AE918" s="80"/>
      <c r="AF918" s="80"/>
      <c r="AG918" s="80"/>
    </row>
    <row r="919" spans="1:33" ht="13.8">
      <c r="A919" s="84"/>
      <c r="B919" s="84"/>
      <c r="C919" s="84"/>
      <c r="D919" s="84"/>
      <c r="E919" s="80"/>
      <c r="F919" s="80"/>
      <c r="G919" s="80"/>
      <c r="H919" s="80"/>
      <c r="I919" s="80"/>
      <c r="J919" s="80"/>
      <c r="K919" s="107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  <c r="AB919" s="80"/>
      <c r="AC919" s="80"/>
      <c r="AD919" s="80"/>
      <c r="AE919" s="80"/>
      <c r="AF919" s="80"/>
      <c r="AG919" s="80"/>
    </row>
    <row r="920" spans="1:33" ht="13.8">
      <c r="A920" s="84"/>
      <c r="B920" s="84"/>
      <c r="C920" s="84"/>
      <c r="D920" s="84"/>
      <c r="E920" s="80"/>
      <c r="F920" s="80"/>
      <c r="G920" s="80"/>
      <c r="H920" s="80"/>
      <c r="I920" s="80"/>
      <c r="J920" s="80"/>
      <c r="K920" s="107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  <c r="AB920" s="80"/>
      <c r="AC920" s="80"/>
      <c r="AD920" s="80"/>
      <c r="AE920" s="80"/>
      <c r="AF920" s="80"/>
      <c r="AG920" s="80"/>
    </row>
    <row r="921" spans="1:33" ht="13.8">
      <c r="A921" s="84"/>
      <c r="B921" s="84"/>
      <c r="C921" s="84"/>
      <c r="D921" s="84"/>
      <c r="E921" s="80"/>
      <c r="F921" s="80"/>
      <c r="G921" s="80"/>
      <c r="H921" s="80"/>
      <c r="I921" s="80"/>
      <c r="J921" s="80"/>
      <c r="K921" s="107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  <c r="AB921" s="80"/>
      <c r="AC921" s="80"/>
      <c r="AD921" s="80"/>
      <c r="AE921" s="80"/>
      <c r="AF921" s="80"/>
      <c r="AG921" s="80"/>
    </row>
    <row r="922" spans="1:33" ht="13.8">
      <c r="A922" s="84"/>
      <c r="B922" s="84"/>
      <c r="C922" s="84"/>
      <c r="D922" s="84"/>
      <c r="E922" s="80"/>
      <c r="F922" s="80"/>
      <c r="G922" s="80"/>
      <c r="H922" s="80"/>
      <c r="I922" s="80"/>
      <c r="J922" s="80"/>
      <c r="K922" s="107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  <c r="AB922" s="80"/>
      <c r="AC922" s="80"/>
      <c r="AD922" s="80"/>
      <c r="AE922" s="80"/>
      <c r="AF922" s="80"/>
      <c r="AG922" s="80"/>
    </row>
    <row r="923" spans="1:33" ht="13.8">
      <c r="A923" s="84"/>
      <c r="B923" s="84"/>
      <c r="C923" s="84"/>
      <c r="D923" s="84"/>
      <c r="E923" s="80"/>
      <c r="F923" s="80"/>
      <c r="G923" s="80"/>
      <c r="H923" s="80"/>
      <c r="I923" s="80"/>
      <c r="J923" s="80"/>
      <c r="K923" s="107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</row>
    <row r="924" spans="1:33" ht="13.8">
      <c r="A924" s="84"/>
      <c r="B924" s="84"/>
      <c r="C924" s="84"/>
      <c r="D924" s="84"/>
      <c r="E924" s="80"/>
      <c r="F924" s="80"/>
      <c r="G924" s="80"/>
      <c r="H924" s="80"/>
      <c r="I924" s="80"/>
      <c r="J924" s="80"/>
      <c r="K924" s="107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  <c r="AB924" s="80"/>
      <c r="AC924" s="80"/>
      <c r="AD924" s="80"/>
      <c r="AE924" s="80"/>
      <c r="AF924" s="80"/>
      <c r="AG924" s="80"/>
    </row>
    <row r="925" spans="1:33" ht="13.8">
      <c r="A925" s="84"/>
      <c r="B925" s="84"/>
      <c r="C925" s="84"/>
      <c r="D925" s="84"/>
      <c r="E925" s="80"/>
      <c r="F925" s="80"/>
      <c r="G925" s="80"/>
      <c r="H925" s="80"/>
      <c r="I925" s="80"/>
      <c r="J925" s="80"/>
      <c r="K925" s="107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  <c r="AB925" s="80"/>
      <c r="AC925" s="80"/>
      <c r="AD925" s="80"/>
      <c r="AE925" s="80"/>
      <c r="AF925" s="80"/>
      <c r="AG925" s="80"/>
    </row>
    <row r="926" spans="1:33" ht="13.8">
      <c r="A926" s="84"/>
      <c r="B926" s="84"/>
      <c r="C926" s="84"/>
      <c r="D926" s="84"/>
      <c r="E926" s="80"/>
      <c r="F926" s="80"/>
      <c r="G926" s="80"/>
      <c r="H926" s="80"/>
      <c r="I926" s="80"/>
      <c r="J926" s="80"/>
      <c r="K926" s="107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  <c r="AB926" s="80"/>
      <c r="AC926" s="80"/>
      <c r="AD926" s="80"/>
      <c r="AE926" s="80"/>
      <c r="AF926" s="80"/>
      <c r="AG926" s="80"/>
    </row>
    <row r="927" spans="1:33" ht="13.8">
      <c r="A927" s="84"/>
      <c r="B927" s="84"/>
      <c r="C927" s="84"/>
      <c r="D927" s="84"/>
      <c r="E927" s="80"/>
      <c r="F927" s="80"/>
      <c r="G927" s="80"/>
      <c r="H927" s="80"/>
      <c r="I927" s="80"/>
      <c r="J927" s="80"/>
      <c r="K927" s="107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  <c r="AB927" s="80"/>
      <c r="AC927" s="80"/>
      <c r="AD927" s="80"/>
      <c r="AE927" s="80"/>
      <c r="AF927" s="80"/>
      <c r="AG927" s="80"/>
    </row>
    <row r="928" spans="1:33" ht="13.8">
      <c r="A928" s="84"/>
      <c r="B928" s="84"/>
      <c r="C928" s="84"/>
      <c r="D928" s="84"/>
      <c r="E928" s="80"/>
      <c r="F928" s="80"/>
      <c r="G928" s="80"/>
      <c r="H928" s="80"/>
      <c r="I928" s="80"/>
      <c r="J928" s="80"/>
      <c r="K928" s="107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  <c r="AB928" s="80"/>
      <c r="AC928" s="80"/>
      <c r="AD928" s="80"/>
      <c r="AE928" s="80"/>
      <c r="AF928" s="80"/>
      <c r="AG928" s="80"/>
    </row>
    <row r="929" spans="1:33" ht="13.8">
      <c r="A929" s="84"/>
      <c r="B929" s="84"/>
      <c r="C929" s="84"/>
      <c r="D929" s="84"/>
      <c r="E929" s="80"/>
      <c r="F929" s="80"/>
      <c r="G929" s="80"/>
      <c r="H929" s="80"/>
      <c r="I929" s="80"/>
      <c r="J929" s="80"/>
      <c r="K929" s="107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  <c r="AB929" s="80"/>
      <c r="AC929" s="80"/>
      <c r="AD929" s="80"/>
      <c r="AE929" s="80"/>
      <c r="AF929" s="80"/>
      <c r="AG929" s="80"/>
    </row>
    <row r="930" spans="1:33" ht="13.8">
      <c r="A930" s="84"/>
      <c r="B930" s="84"/>
      <c r="C930" s="84"/>
      <c r="D930" s="84"/>
      <c r="E930" s="80"/>
      <c r="F930" s="80"/>
      <c r="G930" s="80"/>
      <c r="H930" s="80"/>
      <c r="I930" s="80"/>
      <c r="J930" s="80"/>
      <c r="K930" s="107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  <c r="AB930" s="80"/>
      <c r="AC930" s="80"/>
      <c r="AD930" s="80"/>
      <c r="AE930" s="80"/>
      <c r="AF930" s="80"/>
      <c r="AG930" s="80"/>
    </row>
    <row r="931" spans="1:33" ht="13.8">
      <c r="A931" s="84"/>
      <c r="B931" s="84"/>
      <c r="C931" s="84"/>
      <c r="D931" s="84"/>
      <c r="E931" s="80"/>
      <c r="F931" s="80"/>
      <c r="G931" s="80"/>
      <c r="H931" s="80"/>
      <c r="I931" s="80"/>
      <c r="J931" s="80"/>
      <c r="K931" s="107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  <c r="AB931" s="80"/>
      <c r="AC931" s="80"/>
      <c r="AD931" s="80"/>
      <c r="AE931" s="80"/>
      <c r="AF931" s="80"/>
      <c r="AG931" s="80"/>
    </row>
    <row r="932" spans="1:33" ht="13.8">
      <c r="A932" s="84"/>
      <c r="B932" s="84"/>
      <c r="C932" s="84"/>
      <c r="D932" s="84"/>
      <c r="E932" s="80"/>
      <c r="F932" s="80"/>
      <c r="G932" s="80"/>
      <c r="H932" s="80"/>
      <c r="I932" s="80"/>
      <c r="J932" s="80"/>
      <c r="K932" s="107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  <c r="AB932" s="80"/>
      <c r="AC932" s="80"/>
      <c r="AD932" s="80"/>
      <c r="AE932" s="80"/>
      <c r="AF932" s="80"/>
      <c r="AG932" s="80"/>
    </row>
    <row r="933" spans="1:33" ht="13.8">
      <c r="A933" s="84"/>
      <c r="B933" s="84"/>
      <c r="C933" s="84"/>
      <c r="D933" s="84"/>
      <c r="E933" s="80"/>
      <c r="F933" s="80"/>
      <c r="G933" s="80"/>
      <c r="H933" s="80"/>
      <c r="I933" s="80"/>
      <c r="J933" s="80"/>
      <c r="K933" s="107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  <c r="AB933" s="80"/>
      <c r="AC933" s="80"/>
      <c r="AD933" s="80"/>
      <c r="AE933" s="80"/>
      <c r="AF933" s="80"/>
      <c r="AG933" s="80"/>
    </row>
    <row r="934" spans="1:33" ht="13.8">
      <c r="A934" s="84"/>
      <c r="B934" s="84"/>
      <c r="C934" s="84"/>
      <c r="D934" s="84"/>
      <c r="E934" s="80"/>
      <c r="F934" s="80"/>
      <c r="G934" s="80"/>
      <c r="H934" s="80"/>
      <c r="I934" s="80"/>
      <c r="J934" s="80"/>
      <c r="K934" s="107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  <c r="AB934" s="80"/>
      <c r="AC934" s="80"/>
      <c r="AD934" s="80"/>
      <c r="AE934" s="80"/>
      <c r="AF934" s="80"/>
      <c r="AG934" s="80"/>
    </row>
    <row r="935" spans="1:33" ht="13.8">
      <c r="A935" s="84"/>
      <c r="B935" s="84"/>
      <c r="C935" s="84"/>
      <c r="D935" s="84"/>
      <c r="E935" s="80"/>
      <c r="F935" s="80"/>
      <c r="G935" s="80"/>
      <c r="H935" s="80"/>
      <c r="I935" s="80"/>
      <c r="J935" s="80"/>
      <c r="K935" s="107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  <c r="AB935" s="80"/>
      <c r="AC935" s="80"/>
      <c r="AD935" s="80"/>
      <c r="AE935" s="80"/>
      <c r="AF935" s="80"/>
      <c r="AG935" s="80"/>
    </row>
    <row r="936" spans="1:33" ht="13.8">
      <c r="A936" s="84"/>
      <c r="B936" s="84"/>
      <c r="C936" s="84"/>
      <c r="D936" s="84"/>
      <c r="E936" s="80"/>
      <c r="F936" s="80"/>
      <c r="G936" s="80"/>
      <c r="H936" s="80"/>
      <c r="I936" s="80"/>
      <c r="J936" s="80"/>
      <c r="K936" s="107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  <c r="AB936" s="80"/>
      <c r="AC936" s="80"/>
      <c r="AD936" s="80"/>
      <c r="AE936" s="80"/>
      <c r="AF936" s="80"/>
      <c r="AG936" s="80"/>
    </row>
    <row r="937" spans="1:33" ht="13.8">
      <c r="A937" s="84"/>
      <c r="B937" s="84"/>
      <c r="C937" s="84"/>
      <c r="D937" s="84"/>
      <c r="E937" s="80"/>
      <c r="F937" s="80"/>
      <c r="G937" s="80"/>
      <c r="H937" s="80"/>
      <c r="I937" s="80"/>
      <c r="J937" s="80"/>
      <c r="K937" s="107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  <c r="AB937" s="80"/>
      <c r="AC937" s="80"/>
      <c r="AD937" s="80"/>
      <c r="AE937" s="80"/>
      <c r="AF937" s="80"/>
      <c r="AG937" s="80"/>
    </row>
    <row r="938" spans="1:33" ht="13.8">
      <c r="A938" s="84"/>
      <c r="B938" s="84"/>
      <c r="C938" s="84"/>
      <c r="D938" s="84"/>
      <c r="E938" s="80"/>
      <c r="F938" s="80"/>
      <c r="G938" s="80"/>
      <c r="H938" s="80"/>
      <c r="I938" s="80"/>
      <c r="J938" s="80"/>
      <c r="K938" s="107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  <c r="AB938" s="80"/>
      <c r="AC938" s="80"/>
      <c r="AD938" s="80"/>
      <c r="AE938" s="80"/>
      <c r="AF938" s="80"/>
      <c r="AG938" s="80"/>
    </row>
    <row r="939" spans="1:33" ht="13.8">
      <c r="A939" s="84"/>
      <c r="B939" s="84"/>
      <c r="C939" s="84"/>
      <c r="D939" s="84"/>
      <c r="E939" s="80"/>
      <c r="F939" s="80"/>
      <c r="G939" s="80"/>
      <c r="H939" s="80"/>
      <c r="I939" s="80"/>
      <c r="J939" s="80"/>
      <c r="K939" s="107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  <c r="AB939" s="80"/>
      <c r="AC939" s="80"/>
      <c r="AD939" s="80"/>
      <c r="AE939" s="80"/>
      <c r="AF939" s="80"/>
      <c r="AG939" s="80"/>
    </row>
    <row r="940" spans="1:33" ht="13.8">
      <c r="A940" s="84"/>
      <c r="B940" s="84"/>
      <c r="C940" s="84"/>
      <c r="D940" s="84"/>
      <c r="E940" s="80"/>
      <c r="F940" s="80"/>
      <c r="G940" s="80"/>
      <c r="H940" s="80"/>
      <c r="I940" s="80"/>
      <c r="J940" s="80"/>
      <c r="K940" s="107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  <c r="AB940" s="80"/>
      <c r="AC940" s="80"/>
      <c r="AD940" s="80"/>
      <c r="AE940" s="80"/>
      <c r="AF940" s="80"/>
      <c r="AG940" s="80"/>
    </row>
    <row r="941" spans="1:33" ht="13.8">
      <c r="A941" s="84"/>
      <c r="B941" s="84"/>
      <c r="C941" s="84"/>
      <c r="D941" s="84"/>
      <c r="E941" s="80"/>
      <c r="F941" s="80"/>
      <c r="G941" s="80"/>
      <c r="H941" s="80"/>
      <c r="I941" s="80"/>
      <c r="J941" s="80"/>
      <c r="K941" s="107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  <c r="AB941" s="80"/>
      <c r="AC941" s="80"/>
      <c r="AD941" s="80"/>
      <c r="AE941" s="80"/>
      <c r="AF941" s="80"/>
      <c r="AG941" s="80"/>
    </row>
    <row r="942" spans="1:33" ht="13.8">
      <c r="A942" s="84"/>
      <c r="B942" s="84"/>
      <c r="C942" s="84"/>
      <c r="D942" s="84"/>
      <c r="E942" s="80"/>
      <c r="F942" s="80"/>
      <c r="G942" s="80"/>
      <c r="H942" s="80"/>
      <c r="I942" s="80"/>
      <c r="J942" s="80"/>
      <c r="K942" s="107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  <c r="AB942" s="80"/>
      <c r="AC942" s="80"/>
      <c r="AD942" s="80"/>
      <c r="AE942" s="80"/>
      <c r="AF942" s="80"/>
      <c r="AG942" s="80"/>
    </row>
    <row r="943" spans="1:33" ht="13.8">
      <c r="A943" s="84"/>
      <c r="B943" s="84"/>
      <c r="C943" s="84"/>
      <c r="D943" s="84"/>
      <c r="E943" s="80"/>
      <c r="F943" s="80"/>
      <c r="G943" s="80"/>
      <c r="H943" s="80"/>
      <c r="I943" s="80"/>
      <c r="J943" s="80"/>
      <c r="K943" s="107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  <c r="AB943" s="80"/>
      <c r="AC943" s="80"/>
      <c r="AD943" s="80"/>
      <c r="AE943" s="80"/>
      <c r="AF943" s="80"/>
      <c r="AG943" s="80"/>
    </row>
    <row r="944" spans="1:33" ht="13.8">
      <c r="A944" s="84"/>
      <c r="B944" s="84"/>
      <c r="C944" s="84"/>
      <c r="D944" s="84"/>
      <c r="E944" s="80"/>
      <c r="F944" s="80"/>
      <c r="G944" s="80"/>
      <c r="H944" s="80"/>
      <c r="I944" s="80"/>
      <c r="J944" s="80"/>
      <c r="K944" s="107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  <c r="AB944" s="80"/>
      <c r="AC944" s="80"/>
      <c r="AD944" s="80"/>
      <c r="AE944" s="80"/>
      <c r="AF944" s="80"/>
      <c r="AG944" s="80"/>
    </row>
    <row r="945" spans="1:33" ht="13.8">
      <c r="A945" s="84"/>
      <c r="B945" s="84"/>
      <c r="C945" s="84"/>
      <c r="D945" s="84"/>
      <c r="E945" s="80"/>
      <c r="F945" s="80"/>
      <c r="G945" s="80"/>
      <c r="H945" s="80"/>
      <c r="I945" s="80"/>
      <c r="J945" s="80"/>
      <c r="K945" s="107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  <c r="AB945" s="80"/>
      <c r="AC945" s="80"/>
      <c r="AD945" s="80"/>
      <c r="AE945" s="80"/>
      <c r="AF945" s="80"/>
      <c r="AG945" s="80"/>
    </row>
    <row r="946" spans="1:33" ht="13.8">
      <c r="A946" s="84"/>
      <c r="B946" s="84"/>
      <c r="C946" s="84"/>
      <c r="D946" s="84"/>
      <c r="E946" s="80"/>
      <c r="F946" s="80"/>
      <c r="G946" s="80"/>
      <c r="H946" s="80"/>
      <c r="I946" s="80"/>
      <c r="J946" s="80"/>
      <c r="K946" s="107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  <c r="AB946" s="80"/>
      <c r="AC946" s="80"/>
      <c r="AD946" s="80"/>
      <c r="AE946" s="80"/>
      <c r="AF946" s="80"/>
      <c r="AG946" s="80"/>
    </row>
    <row r="947" spans="1:33" ht="13.8">
      <c r="A947" s="84"/>
      <c r="B947" s="84"/>
      <c r="C947" s="84"/>
      <c r="D947" s="84"/>
      <c r="E947" s="80"/>
      <c r="F947" s="80"/>
      <c r="G947" s="80"/>
      <c r="H947" s="80"/>
      <c r="I947" s="80"/>
      <c r="J947" s="80"/>
      <c r="K947" s="107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  <c r="AB947" s="80"/>
      <c r="AC947" s="80"/>
      <c r="AD947" s="80"/>
      <c r="AE947" s="80"/>
      <c r="AF947" s="80"/>
      <c r="AG947" s="80"/>
    </row>
    <row r="948" spans="1:33" ht="13.8">
      <c r="A948" s="84"/>
      <c r="B948" s="84"/>
      <c r="C948" s="84"/>
      <c r="D948" s="84"/>
      <c r="E948" s="80"/>
      <c r="F948" s="80"/>
      <c r="G948" s="80"/>
      <c r="H948" s="80"/>
      <c r="I948" s="80"/>
      <c r="J948" s="80"/>
      <c r="K948" s="107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  <c r="AB948" s="80"/>
      <c r="AC948" s="80"/>
      <c r="AD948" s="80"/>
      <c r="AE948" s="80"/>
      <c r="AF948" s="80"/>
      <c r="AG948" s="80"/>
    </row>
    <row r="949" spans="1:33" ht="13.8">
      <c r="A949" s="84"/>
      <c r="B949" s="84"/>
      <c r="C949" s="84"/>
      <c r="D949" s="84"/>
      <c r="E949" s="80"/>
      <c r="F949" s="80"/>
      <c r="G949" s="80"/>
      <c r="H949" s="80"/>
      <c r="I949" s="80"/>
      <c r="J949" s="80"/>
      <c r="K949" s="107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  <c r="AB949" s="80"/>
      <c r="AC949" s="80"/>
      <c r="AD949" s="80"/>
      <c r="AE949" s="80"/>
      <c r="AF949" s="80"/>
      <c r="AG949" s="80"/>
    </row>
    <row r="950" spans="1:33" ht="13.8">
      <c r="A950" s="84"/>
      <c r="B950" s="84"/>
      <c r="C950" s="84"/>
      <c r="D950" s="84"/>
      <c r="E950" s="80"/>
      <c r="F950" s="80"/>
      <c r="G950" s="80"/>
      <c r="H950" s="80"/>
      <c r="I950" s="80"/>
      <c r="J950" s="80"/>
      <c r="K950" s="107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  <c r="AB950" s="80"/>
      <c r="AC950" s="80"/>
      <c r="AD950" s="80"/>
      <c r="AE950" s="80"/>
      <c r="AF950" s="80"/>
      <c r="AG950" s="80"/>
    </row>
    <row r="951" spans="1:33" ht="13.8">
      <c r="A951" s="84"/>
      <c r="B951" s="84"/>
      <c r="C951" s="84"/>
      <c r="D951" s="84"/>
      <c r="E951" s="80"/>
      <c r="F951" s="80"/>
      <c r="G951" s="80"/>
      <c r="H951" s="80"/>
      <c r="I951" s="80"/>
      <c r="J951" s="80"/>
      <c r="K951" s="107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  <c r="AB951" s="80"/>
      <c r="AC951" s="80"/>
      <c r="AD951" s="80"/>
      <c r="AE951" s="80"/>
      <c r="AF951" s="80"/>
      <c r="AG951" s="80"/>
    </row>
    <row r="952" spans="1:33" ht="13.8">
      <c r="A952" s="84"/>
      <c r="B952" s="84"/>
      <c r="C952" s="84"/>
      <c r="D952" s="84"/>
      <c r="E952" s="80"/>
      <c r="F952" s="80"/>
      <c r="G952" s="80"/>
      <c r="H952" s="80"/>
      <c r="I952" s="80"/>
      <c r="J952" s="80"/>
      <c r="K952" s="107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  <c r="AB952" s="80"/>
      <c r="AC952" s="80"/>
      <c r="AD952" s="80"/>
      <c r="AE952" s="80"/>
      <c r="AF952" s="80"/>
      <c r="AG952" s="80"/>
    </row>
    <row r="953" spans="1:33" ht="13.8">
      <c r="A953" s="84"/>
      <c r="B953" s="84"/>
      <c r="C953" s="84"/>
      <c r="D953" s="84"/>
      <c r="E953" s="80"/>
      <c r="F953" s="80"/>
      <c r="G953" s="80"/>
      <c r="H953" s="80"/>
      <c r="I953" s="80"/>
      <c r="J953" s="80"/>
      <c r="K953" s="107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  <c r="AB953" s="80"/>
      <c r="AC953" s="80"/>
      <c r="AD953" s="80"/>
      <c r="AE953" s="80"/>
      <c r="AF953" s="80"/>
      <c r="AG953" s="80"/>
    </row>
    <row r="954" spans="1:33" ht="13.8">
      <c r="A954" s="84"/>
      <c r="B954" s="84"/>
      <c r="C954" s="84"/>
      <c r="D954" s="84"/>
      <c r="E954" s="80"/>
      <c r="F954" s="80"/>
      <c r="G954" s="80"/>
      <c r="H954" s="80"/>
      <c r="I954" s="80"/>
      <c r="J954" s="80"/>
      <c r="K954" s="107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  <c r="AA954" s="80"/>
      <c r="AB954" s="80"/>
      <c r="AC954" s="80"/>
      <c r="AD954" s="80"/>
      <c r="AE954" s="80"/>
      <c r="AF954" s="80"/>
      <c r="AG954" s="80"/>
    </row>
    <row r="955" spans="1:33" ht="13.8">
      <c r="A955" s="84"/>
      <c r="B955" s="84"/>
      <c r="C955" s="84"/>
      <c r="D955" s="84"/>
      <c r="E955" s="80"/>
      <c r="F955" s="80"/>
      <c r="G955" s="80"/>
      <c r="H955" s="80"/>
      <c r="I955" s="80"/>
      <c r="J955" s="80"/>
      <c r="K955" s="107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  <c r="AB955" s="80"/>
      <c r="AC955" s="80"/>
      <c r="AD955" s="80"/>
      <c r="AE955" s="80"/>
      <c r="AF955" s="80"/>
      <c r="AG955" s="80"/>
    </row>
    <row r="956" spans="1:33" ht="13.8">
      <c r="A956" s="84"/>
      <c r="B956" s="84"/>
      <c r="C956" s="84"/>
      <c r="D956" s="84"/>
      <c r="E956" s="80"/>
      <c r="F956" s="80"/>
      <c r="G956" s="80"/>
      <c r="H956" s="80"/>
      <c r="I956" s="80"/>
      <c r="J956" s="80"/>
      <c r="K956" s="107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  <c r="AB956" s="80"/>
      <c r="AC956" s="80"/>
      <c r="AD956" s="80"/>
      <c r="AE956" s="80"/>
      <c r="AF956" s="80"/>
      <c r="AG956" s="80"/>
    </row>
    <row r="957" spans="1:33" ht="13.8">
      <c r="A957" s="84"/>
      <c r="B957" s="84"/>
      <c r="C957" s="84"/>
      <c r="D957" s="84"/>
      <c r="E957" s="80"/>
      <c r="F957" s="80"/>
      <c r="G957" s="80"/>
      <c r="H957" s="80"/>
      <c r="I957" s="80"/>
      <c r="J957" s="80"/>
      <c r="K957" s="107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  <c r="AB957" s="80"/>
      <c r="AC957" s="80"/>
      <c r="AD957" s="80"/>
      <c r="AE957" s="80"/>
      <c r="AF957" s="80"/>
      <c r="AG957" s="80"/>
    </row>
    <row r="958" spans="1:33" ht="13.8">
      <c r="A958" s="84"/>
      <c r="B958" s="84"/>
      <c r="C958" s="84"/>
      <c r="D958" s="84"/>
      <c r="E958" s="80"/>
      <c r="F958" s="80"/>
      <c r="G958" s="80"/>
      <c r="H958" s="80"/>
      <c r="I958" s="80"/>
      <c r="J958" s="80"/>
      <c r="K958" s="107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  <c r="AA958" s="80"/>
      <c r="AB958" s="80"/>
      <c r="AC958" s="80"/>
      <c r="AD958" s="80"/>
      <c r="AE958" s="80"/>
      <c r="AF958" s="80"/>
      <c r="AG958" s="80"/>
    </row>
    <row r="959" spans="1:33" ht="13.8">
      <c r="A959" s="84"/>
      <c r="B959" s="84"/>
      <c r="C959" s="84"/>
      <c r="D959" s="84"/>
      <c r="E959" s="80"/>
      <c r="F959" s="80"/>
      <c r="G959" s="80"/>
      <c r="H959" s="80"/>
      <c r="I959" s="80"/>
      <c r="J959" s="80"/>
      <c r="K959" s="107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  <c r="AA959" s="80"/>
      <c r="AB959" s="80"/>
      <c r="AC959" s="80"/>
      <c r="AD959" s="80"/>
      <c r="AE959" s="80"/>
      <c r="AF959" s="80"/>
      <c r="AG959" s="80"/>
    </row>
    <row r="960" spans="1:33" ht="13.8">
      <c r="A960" s="84"/>
      <c r="B960" s="84"/>
      <c r="C960" s="84"/>
      <c r="D960" s="84"/>
      <c r="E960" s="80"/>
      <c r="F960" s="80"/>
      <c r="G960" s="80"/>
      <c r="H960" s="80"/>
      <c r="I960" s="80"/>
      <c r="J960" s="80"/>
      <c r="K960" s="107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  <c r="AA960" s="80"/>
      <c r="AB960" s="80"/>
      <c r="AC960" s="80"/>
      <c r="AD960" s="80"/>
      <c r="AE960" s="80"/>
      <c r="AF960" s="80"/>
      <c r="AG960" s="80"/>
    </row>
    <row r="961" spans="1:33" ht="13.8">
      <c r="A961" s="84"/>
      <c r="B961" s="84"/>
      <c r="C961" s="84"/>
      <c r="D961" s="84"/>
      <c r="E961" s="80"/>
      <c r="F961" s="80"/>
      <c r="G961" s="80"/>
      <c r="H961" s="80"/>
      <c r="I961" s="80"/>
      <c r="J961" s="80"/>
      <c r="K961" s="107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  <c r="AA961" s="80"/>
      <c r="AB961" s="80"/>
      <c r="AC961" s="80"/>
      <c r="AD961" s="80"/>
      <c r="AE961" s="80"/>
      <c r="AF961" s="80"/>
      <c r="AG961" s="80"/>
    </row>
    <row r="962" spans="1:33" ht="13.8">
      <c r="A962" s="84"/>
      <c r="B962" s="84"/>
      <c r="C962" s="84"/>
      <c r="D962" s="84"/>
      <c r="E962" s="80"/>
      <c r="F962" s="80"/>
      <c r="G962" s="80"/>
      <c r="H962" s="80"/>
      <c r="I962" s="80"/>
      <c r="J962" s="80"/>
      <c r="K962" s="107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  <c r="AA962" s="80"/>
      <c r="AB962" s="80"/>
      <c r="AC962" s="80"/>
      <c r="AD962" s="80"/>
      <c r="AE962" s="80"/>
      <c r="AF962" s="80"/>
      <c r="AG962" s="80"/>
    </row>
    <row r="963" spans="1:33" ht="13.8">
      <c r="A963" s="84"/>
      <c r="B963" s="84"/>
      <c r="C963" s="84"/>
      <c r="D963" s="84"/>
      <c r="E963" s="80"/>
      <c r="F963" s="80"/>
      <c r="G963" s="80"/>
      <c r="H963" s="80"/>
      <c r="I963" s="80"/>
      <c r="J963" s="80"/>
      <c r="K963" s="107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</row>
    <row r="964" spans="1:33" ht="13.8">
      <c r="A964" s="84"/>
      <c r="B964" s="84"/>
      <c r="C964" s="84"/>
      <c r="D964" s="84"/>
      <c r="E964" s="80"/>
      <c r="F964" s="80"/>
      <c r="G964" s="80"/>
      <c r="H964" s="80"/>
      <c r="I964" s="80"/>
      <c r="J964" s="80"/>
      <c r="K964" s="107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  <c r="AA964" s="80"/>
      <c r="AB964" s="80"/>
      <c r="AC964" s="80"/>
      <c r="AD964" s="80"/>
      <c r="AE964" s="80"/>
      <c r="AF964" s="80"/>
      <c r="AG964" s="80"/>
    </row>
    <row r="965" spans="1:33" ht="13.8">
      <c r="A965" s="84"/>
      <c r="B965" s="84"/>
      <c r="C965" s="84"/>
      <c r="D965" s="84"/>
      <c r="E965" s="80"/>
      <c r="F965" s="80"/>
      <c r="G965" s="80"/>
      <c r="H965" s="80"/>
      <c r="I965" s="80"/>
      <c r="J965" s="80"/>
      <c r="K965" s="107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  <c r="AA965" s="80"/>
      <c r="AB965" s="80"/>
      <c r="AC965" s="80"/>
      <c r="AD965" s="80"/>
      <c r="AE965" s="80"/>
      <c r="AF965" s="80"/>
      <c r="AG965" s="80"/>
    </row>
    <row r="966" spans="1:33" ht="13.8">
      <c r="A966" s="84"/>
      <c r="B966" s="84"/>
      <c r="C966" s="84"/>
      <c r="D966" s="84"/>
      <c r="E966" s="80"/>
      <c r="F966" s="80"/>
      <c r="G966" s="80"/>
      <c r="H966" s="80"/>
      <c r="I966" s="80"/>
      <c r="J966" s="80"/>
      <c r="K966" s="107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  <c r="AA966" s="80"/>
      <c r="AB966" s="80"/>
      <c r="AC966" s="80"/>
      <c r="AD966" s="80"/>
      <c r="AE966" s="80"/>
      <c r="AF966" s="80"/>
      <c r="AG966" s="80"/>
    </row>
    <row r="967" spans="1:33" ht="13.8">
      <c r="A967" s="84"/>
      <c r="B967" s="84"/>
      <c r="C967" s="84"/>
      <c r="D967" s="84"/>
      <c r="E967" s="80"/>
      <c r="F967" s="80"/>
      <c r="G967" s="80"/>
      <c r="H967" s="80"/>
      <c r="I967" s="80"/>
      <c r="J967" s="80"/>
      <c r="K967" s="107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  <c r="AA967" s="80"/>
      <c r="AB967" s="80"/>
      <c r="AC967" s="80"/>
      <c r="AD967" s="80"/>
      <c r="AE967" s="80"/>
      <c r="AF967" s="80"/>
      <c r="AG967" s="80"/>
    </row>
    <row r="968" spans="1:33" ht="13.8">
      <c r="A968" s="84"/>
      <c r="B968" s="84"/>
      <c r="C968" s="84"/>
      <c r="D968" s="84"/>
      <c r="E968" s="80"/>
      <c r="F968" s="80"/>
      <c r="G968" s="80"/>
      <c r="H968" s="80"/>
      <c r="I968" s="80"/>
      <c r="J968" s="80"/>
      <c r="K968" s="107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  <c r="AA968" s="80"/>
      <c r="AB968" s="80"/>
      <c r="AC968" s="80"/>
      <c r="AD968" s="80"/>
      <c r="AE968" s="80"/>
      <c r="AF968" s="80"/>
      <c r="AG968" s="80"/>
    </row>
    <row r="969" spans="1:33" ht="13.8">
      <c r="A969" s="84"/>
      <c r="B969" s="84"/>
      <c r="C969" s="84"/>
      <c r="D969" s="84"/>
      <c r="E969" s="80"/>
      <c r="F969" s="80"/>
      <c r="G969" s="80"/>
      <c r="H969" s="80"/>
      <c r="I969" s="80"/>
      <c r="J969" s="80"/>
      <c r="K969" s="107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  <c r="AA969" s="80"/>
      <c r="AB969" s="80"/>
      <c r="AC969" s="80"/>
      <c r="AD969" s="80"/>
      <c r="AE969" s="80"/>
      <c r="AF969" s="80"/>
      <c r="AG969" s="80"/>
    </row>
    <row r="970" spans="1:33" ht="13.8">
      <c r="A970" s="84"/>
      <c r="B970" s="84"/>
      <c r="C970" s="84"/>
      <c r="D970" s="84"/>
      <c r="E970" s="80"/>
      <c r="F970" s="80"/>
      <c r="G970" s="80"/>
      <c r="H970" s="80"/>
      <c r="I970" s="80"/>
      <c r="J970" s="80"/>
      <c r="K970" s="107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  <c r="AA970" s="80"/>
      <c r="AB970" s="80"/>
      <c r="AC970" s="80"/>
      <c r="AD970" s="80"/>
      <c r="AE970" s="80"/>
      <c r="AF970" s="80"/>
      <c r="AG970" s="80"/>
    </row>
    <row r="971" spans="1:33" ht="13.8">
      <c r="A971" s="84"/>
      <c r="B971" s="84"/>
      <c r="C971" s="84"/>
      <c r="D971" s="84"/>
      <c r="E971" s="80"/>
      <c r="F971" s="80"/>
      <c r="G971" s="80"/>
      <c r="H971" s="80"/>
      <c r="I971" s="80"/>
      <c r="J971" s="80"/>
      <c r="K971" s="107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  <c r="AA971" s="80"/>
      <c r="AB971" s="80"/>
      <c r="AC971" s="80"/>
      <c r="AD971" s="80"/>
      <c r="AE971" s="80"/>
      <c r="AF971" s="80"/>
      <c r="AG971" s="80"/>
    </row>
    <row r="972" spans="1:33" ht="13.8">
      <c r="A972" s="84"/>
      <c r="B972" s="84"/>
      <c r="C972" s="84"/>
      <c r="D972" s="84"/>
      <c r="E972" s="80"/>
      <c r="F972" s="80"/>
      <c r="G972" s="80"/>
      <c r="H972" s="80"/>
      <c r="I972" s="80"/>
      <c r="J972" s="80"/>
      <c r="K972" s="107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  <c r="AA972" s="80"/>
      <c r="AB972" s="80"/>
      <c r="AC972" s="80"/>
      <c r="AD972" s="80"/>
      <c r="AE972" s="80"/>
      <c r="AF972" s="80"/>
      <c r="AG972" s="80"/>
    </row>
    <row r="973" spans="1:33" ht="13.8">
      <c r="A973" s="84"/>
      <c r="B973" s="84"/>
      <c r="C973" s="84"/>
      <c r="D973" s="84"/>
      <c r="E973" s="80"/>
      <c r="F973" s="80"/>
      <c r="G973" s="80"/>
      <c r="H973" s="80"/>
      <c r="I973" s="80"/>
      <c r="J973" s="80"/>
      <c r="K973" s="107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  <c r="AA973" s="80"/>
      <c r="AB973" s="80"/>
      <c r="AC973" s="80"/>
      <c r="AD973" s="80"/>
      <c r="AE973" s="80"/>
      <c r="AF973" s="80"/>
      <c r="AG973" s="80"/>
    </row>
    <row r="974" spans="1:33" ht="13.8">
      <c r="A974" s="84"/>
      <c r="B974" s="84"/>
      <c r="C974" s="84"/>
      <c r="D974" s="84"/>
      <c r="E974" s="80"/>
      <c r="F974" s="80"/>
      <c r="G974" s="80"/>
      <c r="H974" s="80"/>
      <c r="I974" s="80"/>
      <c r="J974" s="80"/>
      <c r="K974" s="107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  <c r="AA974" s="80"/>
      <c r="AB974" s="80"/>
      <c r="AC974" s="80"/>
      <c r="AD974" s="80"/>
      <c r="AE974" s="80"/>
      <c r="AF974" s="80"/>
      <c r="AG974" s="80"/>
    </row>
    <row r="975" spans="1:33" ht="13.8">
      <c r="A975" s="84"/>
      <c r="B975" s="84"/>
      <c r="C975" s="84"/>
      <c r="D975" s="84"/>
      <c r="E975" s="80"/>
      <c r="F975" s="80"/>
      <c r="G975" s="80"/>
      <c r="H975" s="80"/>
      <c r="I975" s="80"/>
      <c r="J975" s="80"/>
      <c r="K975" s="107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  <c r="AA975" s="80"/>
      <c r="AB975" s="80"/>
      <c r="AC975" s="80"/>
      <c r="AD975" s="80"/>
      <c r="AE975" s="80"/>
      <c r="AF975" s="80"/>
      <c r="AG975" s="80"/>
    </row>
    <row r="976" spans="1:33" ht="13.8">
      <c r="A976" s="84"/>
      <c r="B976" s="84"/>
      <c r="C976" s="84"/>
      <c r="D976" s="84"/>
      <c r="E976" s="80"/>
      <c r="F976" s="80"/>
      <c r="G976" s="80"/>
      <c r="H976" s="80"/>
      <c r="I976" s="80"/>
      <c r="J976" s="80"/>
      <c r="K976" s="107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  <c r="AA976" s="80"/>
      <c r="AB976" s="80"/>
      <c r="AC976" s="80"/>
      <c r="AD976" s="80"/>
      <c r="AE976" s="80"/>
      <c r="AF976" s="80"/>
      <c r="AG976" s="80"/>
    </row>
    <row r="977" spans="1:33" ht="13.8">
      <c r="A977" s="84"/>
      <c r="B977" s="84"/>
      <c r="C977" s="84"/>
      <c r="D977" s="84"/>
      <c r="E977" s="80"/>
      <c r="F977" s="80"/>
      <c r="G977" s="80"/>
      <c r="H977" s="80"/>
      <c r="I977" s="80"/>
      <c r="J977" s="80"/>
      <c r="K977" s="107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  <c r="AA977" s="80"/>
      <c r="AB977" s="80"/>
      <c r="AC977" s="80"/>
      <c r="AD977" s="80"/>
      <c r="AE977" s="80"/>
      <c r="AF977" s="80"/>
      <c r="AG977" s="80"/>
    </row>
    <row r="978" spans="1:33" ht="13.8">
      <c r="A978" s="84"/>
      <c r="B978" s="84"/>
      <c r="C978" s="84"/>
      <c r="D978" s="84"/>
      <c r="E978" s="80"/>
      <c r="F978" s="80"/>
      <c r="G978" s="80"/>
      <c r="H978" s="80"/>
      <c r="I978" s="80"/>
      <c r="J978" s="80"/>
      <c r="K978" s="107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  <c r="AA978" s="80"/>
      <c r="AB978" s="80"/>
      <c r="AC978" s="80"/>
      <c r="AD978" s="80"/>
      <c r="AE978" s="80"/>
      <c r="AF978" s="80"/>
      <c r="AG978" s="80"/>
    </row>
    <row r="979" spans="1:33" ht="13.8">
      <c r="A979" s="84"/>
      <c r="B979" s="84"/>
      <c r="C979" s="84"/>
      <c r="D979" s="84"/>
      <c r="E979" s="80"/>
      <c r="F979" s="80"/>
      <c r="G979" s="80"/>
      <c r="H979" s="80"/>
      <c r="I979" s="80"/>
      <c r="J979" s="80"/>
      <c r="K979" s="107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  <c r="AA979" s="80"/>
      <c r="AB979" s="80"/>
      <c r="AC979" s="80"/>
      <c r="AD979" s="80"/>
      <c r="AE979" s="80"/>
      <c r="AF979" s="80"/>
      <c r="AG979" s="80"/>
    </row>
    <row r="980" spans="1:33" ht="13.8">
      <c r="A980" s="84"/>
      <c r="B980" s="84"/>
      <c r="C980" s="84"/>
      <c r="D980" s="84"/>
      <c r="E980" s="80"/>
      <c r="F980" s="80"/>
      <c r="G980" s="80"/>
      <c r="H980" s="80"/>
      <c r="I980" s="80"/>
      <c r="J980" s="80"/>
      <c r="K980" s="107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  <c r="AA980" s="80"/>
      <c r="AB980" s="80"/>
      <c r="AC980" s="80"/>
      <c r="AD980" s="80"/>
      <c r="AE980" s="80"/>
      <c r="AF980" s="80"/>
      <c r="AG980" s="80"/>
    </row>
    <row r="981" spans="1:33" ht="13.8">
      <c r="A981" s="84"/>
      <c r="B981" s="84"/>
      <c r="C981" s="84"/>
      <c r="D981" s="84"/>
      <c r="E981" s="80"/>
      <c r="F981" s="80"/>
      <c r="G981" s="80"/>
      <c r="H981" s="80"/>
      <c r="I981" s="80"/>
      <c r="J981" s="80"/>
      <c r="K981" s="107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  <c r="AA981" s="80"/>
      <c r="AB981" s="80"/>
      <c r="AC981" s="80"/>
      <c r="AD981" s="80"/>
      <c r="AE981" s="80"/>
      <c r="AF981" s="80"/>
      <c r="AG981" s="80"/>
    </row>
    <row r="982" spans="1:33" ht="13.8">
      <c r="A982" s="84"/>
      <c r="B982" s="84"/>
      <c r="C982" s="84"/>
      <c r="D982" s="84"/>
      <c r="E982" s="80"/>
      <c r="F982" s="80"/>
      <c r="G982" s="80"/>
      <c r="H982" s="80"/>
      <c r="I982" s="80"/>
      <c r="J982" s="80"/>
      <c r="K982" s="107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  <c r="AA982" s="80"/>
      <c r="AB982" s="80"/>
      <c r="AC982" s="80"/>
      <c r="AD982" s="80"/>
      <c r="AE982" s="80"/>
      <c r="AF982" s="80"/>
      <c r="AG982" s="80"/>
    </row>
    <row r="983" spans="1:33" ht="13.8">
      <c r="A983" s="84"/>
      <c r="B983" s="84"/>
      <c r="C983" s="84"/>
      <c r="D983" s="84"/>
      <c r="E983" s="80"/>
      <c r="F983" s="80"/>
      <c r="G983" s="80"/>
      <c r="H983" s="80"/>
      <c r="I983" s="80"/>
      <c r="J983" s="80"/>
      <c r="K983" s="107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  <c r="AA983" s="80"/>
      <c r="AB983" s="80"/>
      <c r="AC983" s="80"/>
      <c r="AD983" s="80"/>
      <c r="AE983" s="80"/>
      <c r="AF983" s="80"/>
      <c r="AG983" s="80"/>
    </row>
    <row r="984" spans="1:33" ht="13.8">
      <c r="A984" s="84"/>
      <c r="B984" s="84"/>
      <c r="C984" s="84"/>
      <c r="D984" s="84"/>
      <c r="E984" s="80"/>
      <c r="F984" s="80"/>
      <c r="G984" s="80"/>
      <c r="H984" s="80"/>
      <c r="I984" s="80"/>
      <c r="J984" s="80"/>
      <c r="K984" s="107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  <c r="AA984" s="80"/>
      <c r="AB984" s="80"/>
      <c r="AC984" s="80"/>
      <c r="AD984" s="80"/>
      <c r="AE984" s="80"/>
      <c r="AF984" s="80"/>
      <c r="AG984" s="80"/>
    </row>
    <row r="985" spans="1:33" ht="13.8">
      <c r="A985" s="84"/>
      <c r="B985" s="84"/>
      <c r="C985" s="84"/>
      <c r="D985" s="84"/>
      <c r="E985" s="80"/>
      <c r="F985" s="80"/>
      <c r="G985" s="80"/>
      <c r="H985" s="80"/>
      <c r="I985" s="80"/>
      <c r="J985" s="80"/>
      <c r="K985" s="107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  <c r="AA985" s="80"/>
      <c r="AB985" s="80"/>
      <c r="AC985" s="80"/>
      <c r="AD985" s="80"/>
      <c r="AE985" s="80"/>
      <c r="AF985" s="80"/>
      <c r="AG985" s="80"/>
    </row>
    <row r="986" spans="1:33" ht="13.8">
      <c r="A986" s="84"/>
      <c r="B986" s="84"/>
      <c r="C986" s="84"/>
      <c r="D986" s="84"/>
      <c r="E986" s="80"/>
      <c r="F986" s="80"/>
      <c r="G986" s="80"/>
      <c r="H986" s="80"/>
      <c r="I986" s="80"/>
      <c r="J986" s="80"/>
      <c r="K986" s="107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  <c r="AA986" s="80"/>
      <c r="AB986" s="80"/>
      <c r="AC986" s="80"/>
      <c r="AD986" s="80"/>
      <c r="AE986" s="80"/>
      <c r="AF986" s="80"/>
      <c r="AG986" s="80"/>
    </row>
    <row r="987" spans="1:33" ht="13.8">
      <c r="A987" s="84"/>
      <c r="B987" s="84"/>
      <c r="C987" s="84"/>
      <c r="D987" s="84"/>
      <c r="E987" s="80"/>
      <c r="F987" s="80"/>
      <c r="G987" s="80"/>
      <c r="H987" s="80"/>
      <c r="I987" s="80"/>
      <c r="J987" s="80"/>
      <c r="K987" s="107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  <c r="AA987" s="80"/>
      <c r="AB987" s="80"/>
      <c r="AC987" s="80"/>
      <c r="AD987" s="80"/>
      <c r="AE987" s="80"/>
      <c r="AF987" s="80"/>
      <c r="AG987" s="80"/>
    </row>
    <row r="988" spans="1:33" ht="13.8">
      <c r="A988" s="84"/>
      <c r="B988" s="84"/>
      <c r="C988" s="84"/>
      <c r="D988" s="84"/>
      <c r="E988" s="80"/>
      <c r="F988" s="80"/>
      <c r="G988" s="80"/>
      <c r="H988" s="80"/>
      <c r="I988" s="80"/>
      <c r="J988" s="80"/>
      <c r="K988" s="107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  <c r="AA988" s="80"/>
      <c r="AB988" s="80"/>
      <c r="AC988" s="80"/>
      <c r="AD988" s="80"/>
      <c r="AE988" s="80"/>
      <c r="AF988" s="80"/>
      <c r="AG988" s="80"/>
    </row>
    <row r="989" spans="1:33" ht="13.8">
      <c r="A989" s="84"/>
      <c r="B989" s="84"/>
      <c r="C989" s="84"/>
      <c r="D989" s="84"/>
      <c r="E989" s="80"/>
      <c r="F989" s="80"/>
      <c r="G989" s="80"/>
      <c r="H989" s="80"/>
      <c r="I989" s="80"/>
      <c r="J989" s="80"/>
      <c r="K989" s="107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  <c r="AA989" s="80"/>
      <c r="AB989" s="80"/>
      <c r="AC989" s="80"/>
      <c r="AD989" s="80"/>
      <c r="AE989" s="80"/>
      <c r="AF989" s="80"/>
      <c r="AG989" s="80"/>
    </row>
    <row r="990" spans="1:33" ht="13.8">
      <c r="A990" s="84"/>
      <c r="B990" s="84"/>
      <c r="C990" s="84"/>
      <c r="D990" s="84"/>
      <c r="E990" s="80"/>
      <c r="F990" s="80"/>
      <c r="G990" s="80"/>
      <c r="H990" s="80"/>
      <c r="I990" s="80"/>
      <c r="J990" s="80"/>
      <c r="K990" s="107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  <c r="AA990" s="80"/>
      <c r="AB990" s="80"/>
      <c r="AC990" s="80"/>
      <c r="AD990" s="80"/>
      <c r="AE990" s="80"/>
      <c r="AF990" s="80"/>
      <c r="AG990" s="80"/>
    </row>
    <row r="991" spans="1:33" ht="13.8">
      <c r="A991" s="84"/>
      <c r="B991" s="84"/>
      <c r="C991" s="84"/>
      <c r="D991" s="84"/>
      <c r="E991" s="80"/>
      <c r="F991" s="80"/>
      <c r="G991" s="80"/>
      <c r="H991" s="80"/>
      <c r="I991" s="80"/>
      <c r="J991" s="80"/>
      <c r="K991" s="107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  <c r="AA991" s="80"/>
      <c r="AB991" s="80"/>
      <c r="AC991" s="80"/>
      <c r="AD991" s="80"/>
      <c r="AE991" s="80"/>
      <c r="AF991" s="80"/>
      <c r="AG991" s="80"/>
    </row>
    <row r="992" spans="1:33" ht="13.8">
      <c r="A992" s="84"/>
      <c r="B992" s="84"/>
      <c r="C992" s="84"/>
      <c r="D992" s="84"/>
      <c r="E992" s="80"/>
      <c r="F992" s="80"/>
      <c r="G992" s="80"/>
      <c r="H992" s="80"/>
      <c r="I992" s="80"/>
      <c r="J992" s="80"/>
      <c r="K992" s="107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  <c r="AA992" s="80"/>
      <c r="AB992" s="80"/>
      <c r="AC992" s="80"/>
      <c r="AD992" s="80"/>
      <c r="AE992" s="80"/>
      <c r="AF992" s="80"/>
      <c r="AG992" s="80"/>
    </row>
    <row r="993" spans="1:33" ht="13.8">
      <c r="A993" s="84"/>
      <c r="B993" s="84"/>
      <c r="C993" s="84"/>
      <c r="D993" s="84"/>
      <c r="E993" s="80"/>
      <c r="F993" s="80"/>
      <c r="G993" s="80"/>
      <c r="H993" s="80"/>
      <c r="I993" s="80"/>
      <c r="J993" s="80"/>
      <c r="K993" s="107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  <c r="AA993" s="80"/>
      <c r="AB993" s="80"/>
      <c r="AC993" s="80"/>
      <c r="AD993" s="80"/>
      <c r="AE993" s="80"/>
      <c r="AF993" s="80"/>
      <c r="AG993" s="80"/>
    </row>
    <row r="994" spans="1:33" ht="13.8">
      <c r="A994" s="84"/>
      <c r="B994" s="84"/>
      <c r="C994" s="84"/>
      <c r="D994" s="84"/>
      <c r="E994" s="80"/>
      <c r="F994" s="80"/>
      <c r="G994" s="80"/>
      <c r="H994" s="80"/>
      <c r="I994" s="80"/>
      <c r="J994" s="80"/>
      <c r="K994" s="107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  <c r="AA994" s="80"/>
      <c r="AB994" s="80"/>
      <c r="AC994" s="80"/>
      <c r="AD994" s="80"/>
      <c r="AE994" s="80"/>
      <c r="AF994" s="80"/>
      <c r="AG994" s="80"/>
    </row>
    <row r="995" spans="1:33" ht="13.8">
      <c r="A995" s="84"/>
      <c r="B995" s="84"/>
      <c r="C995" s="84"/>
      <c r="D995" s="84"/>
      <c r="E995" s="80"/>
      <c r="F995" s="80"/>
      <c r="G995" s="80"/>
      <c r="H995" s="80"/>
      <c r="I995" s="80"/>
      <c r="J995" s="80"/>
      <c r="K995" s="107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  <c r="AA995" s="80"/>
      <c r="AB995" s="80"/>
      <c r="AC995" s="80"/>
      <c r="AD995" s="80"/>
      <c r="AE995" s="80"/>
      <c r="AF995" s="80"/>
      <c r="AG995" s="80"/>
    </row>
    <row r="996" spans="1:33" ht="13.8">
      <c r="A996" s="84"/>
      <c r="B996" s="84"/>
      <c r="C996" s="84"/>
      <c r="D996" s="84"/>
      <c r="E996" s="80"/>
      <c r="F996" s="80"/>
      <c r="G996" s="80"/>
      <c r="H996" s="80"/>
      <c r="I996" s="80"/>
      <c r="J996" s="80"/>
      <c r="K996" s="107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  <c r="AA996" s="80"/>
      <c r="AB996" s="80"/>
      <c r="AC996" s="80"/>
      <c r="AD996" s="80"/>
      <c r="AE996" s="80"/>
      <c r="AF996" s="80"/>
      <c r="AG996" s="80"/>
    </row>
    <row r="997" spans="1:33" ht="13.8">
      <c r="A997" s="84"/>
      <c r="B997" s="84"/>
      <c r="C997" s="84"/>
      <c r="D997" s="84"/>
      <c r="E997" s="80"/>
      <c r="F997" s="80"/>
      <c r="G997" s="80"/>
      <c r="H997" s="80"/>
      <c r="I997" s="80"/>
      <c r="J997" s="80"/>
      <c r="K997" s="107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  <c r="AA997" s="80"/>
      <c r="AB997" s="80"/>
      <c r="AC997" s="80"/>
      <c r="AD997" s="80"/>
      <c r="AE997" s="80"/>
      <c r="AF997" s="80"/>
      <c r="AG997" s="80"/>
    </row>
    <row r="998" spans="1:33" ht="13.8">
      <c r="A998" s="84"/>
      <c r="B998" s="84"/>
      <c r="C998" s="84"/>
      <c r="D998" s="84"/>
      <c r="E998" s="80"/>
      <c r="F998" s="80"/>
      <c r="G998" s="80"/>
      <c r="H998" s="80"/>
      <c r="I998" s="80"/>
      <c r="J998" s="80"/>
      <c r="K998" s="107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  <c r="AA998" s="80"/>
      <c r="AB998" s="80"/>
      <c r="AC998" s="80"/>
      <c r="AD998" s="80"/>
      <c r="AE998" s="80"/>
      <c r="AF998" s="80"/>
      <c r="AG998" s="80"/>
    </row>
    <row r="999" spans="1:33" ht="13.8">
      <c r="A999" s="84"/>
      <c r="B999" s="84"/>
      <c r="C999" s="84"/>
      <c r="D999" s="84"/>
      <c r="E999" s="80"/>
      <c r="F999" s="80"/>
      <c r="G999" s="80"/>
      <c r="H999" s="80"/>
      <c r="I999" s="80"/>
      <c r="J999" s="80"/>
      <c r="K999" s="107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  <c r="AA999" s="80"/>
      <c r="AB999" s="80"/>
      <c r="AC999" s="80"/>
      <c r="AD999" s="80"/>
      <c r="AE999" s="80"/>
      <c r="AF999" s="80"/>
      <c r="AG999" s="80"/>
    </row>
    <row r="1000" spans="1:33" ht="13.8">
      <c r="A1000" s="84"/>
      <c r="B1000" s="84"/>
      <c r="C1000" s="84"/>
      <c r="D1000" s="84"/>
      <c r="E1000" s="80"/>
      <c r="F1000" s="80"/>
      <c r="G1000" s="80"/>
      <c r="H1000" s="80"/>
      <c r="I1000" s="80"/>
      <c r="J1000" s="80"/>
      <c r="K1000" s="107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  <c r="AA1000" s="80"/>
      <c r="AB1000" s="80"/>
      <c r="AC1000" s="80"/>
      <c r="AD1000" s="80"/>
      <c r="AE1000" s="80"/>
      <c r="AF1000" s="80"/>
      <c r="AG1000" s="80"/>
    </row>
    <row r="1001" spans="1:33" ht="13.8">
      <c r="A1001" s="84"/>
      <c r="B1001" s="84"/>
      <c r="C1001" s="84"/>
      <c r="D1001" s="84"/>
      <c r="E1001" s="80"/>
      <c r="F1001" s="80"/>
      <c r="G1001" s="80"/>
      <c r="H1001" s="80"/>
      <c r="I1001" s="80"/>
      <c r="J1001" s="80"/>
      <c r="K1001" s="107"/>
      <c r="L1001" s="80"/>
      <c r="M1001" s="80"/>
      <c r="N1001" s="80"/>
      <c r="O1001" s="80"/>
      <c r="P1001" s="80"/>
      <c r="Q1001" s="80"/>
      <c r="R1001" s="80"/>
      <c r="S1001" s="80"/>
      <c r="T1001" s="80"/>
      <c r="U1001" s="80"/>
      <c r="V1001" s="80"/>
      <c r="W1001" s="80"/>
      <c r="X1001" s="80"/>
      <c r="Y1001" s="80"/>
      <c r="Z1001" s="80"/>
      <c r="AA1001" s="80"/>
      <c r="AB1001" s="80"/>
      <c r="AC1001" s="80"/>
      <c r="AD1001" s="80"/>
      <c r="AE1001" s="80"/>
      <c r="AF1001" s="80"/>
      <c r="AG1001" s="80"/>
    </row>
    <row r="1002" spans="1:33" ht="13.8">
      <c r="A1002" s="84"/>
      <c r="B1002" s="84"/>
      <c r="C1002" s="84"/>
      <c r="D1002" s="84"/>
      <c r="E1002" s="80"/>
      <c r="F1002" s="80"/>
      <c r="G1002" s="80"/>
      <c r="H1002" s="80"/>
      <c r="I1002" s="80"/>
      <c r="J1002" s="80"/>
      <c r="K1002" s="107"/>
      <c r="L1002" s="80"/>
      <c r="M1002" s="80"/>
      <c r="N1002" s="80"/>
      <c r="O1002" s="80"/>
      <c r="P1002" s="80"/>
      <c r="Q1002" s="80"/>
      <c r="R1002" s="80"/>
      <c r="S1002" s="80"/>
      <c r="T1002" s="80"/>
      <c r="U1002" s="80"/>
      <c r="V1002" s="80"/>
      <c r="W1002" s="80"/>
      <c r="X1002" s="80"/>
      <c r="Y1002" s="80"/>
      <c r="Z1002" s="80"/>
      <c r="AA1002" s="80"/>
      <c r="AB1002" s="80"/>
      <c r="AC1002" s="80"/>
      <c r="AD1002" s="80"/>
      <c r="AE1002" s="80"/>
      <c r="AF1002" s="80"/>
      <c r="AG1002" s="80"/>
    </row>
    <row r="1003" spans="1:33" ht="13.8">
      <c r="A1003" s="84"/>
      <c r="B1003" s="84"/>
      <c r="C1003" s="84"/>
      <c r="D1003" s="84"/>
      <c r="E1003" s="80"/>
      <c r="F1003" s="80"/>
      <c r="G1003" s="80"/>
      <c r="H1003" s="80"/>
      <c r="I1003" s="80"/>
      <c r="J1003" s="80"/>
      <c r="K1003" s="107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</row>
    <row r="1004" spans="1:33" ht="13.8">
      <c r="A1004" s="84"/>
      <c r="B1004" s="84"/>
      <c r="C1004" s="84"/>
      <c r="D1004" s="84"/>
      <c r="E1004" s="80"/>
      <c r="F1004" s="80"/>
      <c r="G1004" s="80"/>
      <c r="H1004" s="80"/>
      <c r="I1004" s="80"/>
      <c r="J1004" s="80"/>
      <c r="K1004" s="107"/>
      <c r="L1004" s="80"/>
      <c r="M1004" s="80"/>
      <c r="N1004" s="80"/>
      <c r="O1004" s="80"/>
      <c r="P1004" s="80"/>
      <c r="Q1004" s="80"/>
      <c r="R1004" s="80"/>
      <c r="S1004" s="80"/>
      <c r="T1004" s="80"/>
      <c r="U1004" s="80"/>
      <c r="V1004" s="80"/>
      <c r="W1004" s="80"/>
      <c r="X1004" s="80"/>
      <c r="Y1004" s="80"/>
      <c r="Z1004" s="80"/>
      <c r="AA1004" s="80"/>
      <c r="AB1004" s="80"/>
      <c r="AC1004" s="80"/>
      <c r="AD1004" s="80"/>
      <c r="AE1004" s="80"/>
      <c r="AF1004" s="80"/>
      <c r="AG1004" s="80"/>
    </row>
    <row r="1005" spans="1:33" ht="13.8">
      <c r="A1005" s="84"/>
      <c r="B1005" s="84"/>
      <c r="C1005" s="84"/>
      <c r="D1005" s="84"/>
      <c r="E1005" s="80"/>
      <c r="F1005" s="80"/>
      <c r="G1005" s="80"/>
      <c r="H1005" s="80"/>
      <c r="I1005" s="80"/>
      <c r="J1005" s="80"/>
      <c r="K1005" s="107"/>
      <c r="L1005" s="80"/>
      <c r="M1005" s="80"/>
      <c r="N1005" s="80"/>
      <c r="O1005" s="80"/>
      <c r="P1005" s="80"/>
      <c r="Q1005" s="80"/>
      <c r="R1005" s="80"/>
      <c r="S1005" s="80"/>
      <c r="T1005" s="80"/>
      <c r="U1005" s="80"/>
      <c r="V1005" s="80"/>
      <c r="W1005" s="80"/>
      <c r="X1005" s="80"/>
      <c r="Y1005" s="80"/>
      <c r="Z1005" s="80"/>
      <c r="AA1005" s="80"/>
      <c r="AB1005" s="80"/>
      <c r="AC1005" s="80"/>
      <c r="AD1005" s="80"/>
      <c r="AE1005" s="80"/>
      <c r="AF1005" s="80"/>
      <c r="AG1005" s="80"/>
    </row>
    <row r="1006" spans="1:33" ht="13.8">
      <c r="A1006" s="84"/>
      <c r="B1006" s="84"/>
      <c r="C1006" s="84"/>
      <c r="D1006" s="84"/>
      <c r="E1006" s="80"/>
      <c r="F1006" s="80"/>
      <c r="G1006" s="80"/>
      <c r="H1006" s="80"/>
      <c r="I1006" s="80"/>
      <c r="J1006" s="80"/>
      <c r="K1006" s="107"/>
      <c r="L1006" s="80"/>
      <c r="M1006" s="80"/>
      <c r="N1006" s="80"/>
      <c r="O1006" s="80"/>
      <c r="P1006" s="80"/>
      <c r="Q1006" s="80"/>
      <c r="R1006" s="80"/>
      <c r="S1006" s="80"/>
      <c r="T1006" s="80"/>
      <c r="U1006" s="80"/>
      <c r="V1006" s="80"/>
      <c r="W1006" s="80"/>
      <c r="X1006" s="80"/>
      <c r="Y1006" s="80"/>
      <c r="Z1006" s="80"/>
      <c r="AA1006" s="80"/>
      <c r="AB1006" s="80"/>
      <c r="AC1006" s="80"/>
      <c r="AD1006" s="80"/>
      <c r="AE1006" s="80"/>
      <c r="AF1006" s="80"/>
      <c r="AG1006" s="80"/>
    </row>
    <row r="1007" spans="1:33" ht="13.8">
      <c r="A1007" s="84"/>
      <c r="B1007" s="84"/>
      <c r="C1007" s="84"/>
      <c r="D1007" s="84"/>
      <c r="E1007" s="80"/>
      <c r="F1007" s="80"/>
      <c r="G1007" s="80"/>
      <c r="H1007" s="80"/>
      <c r="I1007" s="80"/>
      <c r="J1007" s="80"/>
      <c r="K1007" s="107"/>
      <c r="L1007" s="80"/>
      <c r="M1007" s="80"/>
      <c r="N1007" s="80"/>
      <c r="O1007" s="80"/>
      <c r="P1007" s="80"/>
      <c r="Q1007" s="80"/>
      <c r="R1007" s="80"/>
      <c r="S1007" s="80"/>
      <c r="T1007" s="80"/>
      <c r="U1007" s="80"/>
      <c r="V1007" s="80"/>
      <c r="W1007" s="80"/>
      <c r="X1007" s="80"/>
      <c r="Y1007" s="80"/>
      <c r="Z1007" s="80"/>
      <c r="AA1007" s="80"/>
      <c r="AB1007" s="80"/>
      <c r="AC1007" s="80"/>
      <c r="AD1007" s="80"/>
      <c r="AE1007" s="80"/>
      <c r="AF1007" s="80"/>
      <c r="AG1007" s="80"/>
    </row>
    <row r="1008" spans="1:33" ht="13.8">
      <c r="A1008" s="84"/>
      <c r="B1008" s="84"/>
      <c r="C1008" s="84"/>
      <c r="D1008" s="84"/>
      <c r="E1008" s="80"/>
      <c r="F1008" s="80"/>
      <c r="G1008" s="80"/>
      <c r="H1008" s="80"/>
      <c r="I1008" s="80"/>
      <c r="J1008" s="80"/>
      <c r="K1008" s="107"/>
      <c r="L1008" s="80"/>
      <c r="M1008" s="80"/>
      <c r="N1008" s="80"/>
      <c r="O1008" s="80"/>
      <c r="P1008" s="80"/>
      <c r="Q1008" s="80"/>
      <c r="R1008" s="80"/>
      <c r="S1008" s="80"/>
      <c r="T1008" s="80"/>
      <c r="U1008" s="80"/>
      <c r="V1008" s="80"/>
      <c r="W1008" s="80"/>
      <c r="X1008" s="80"/>
      <c r="Y1008" s="80"/>
      <c r="Z1008" s="80"/>
      <c r="AA1008" s="80"/>
      <c r="AB1008" s="80"/>
      <c r="AC1008" s="80"/>
      <c r="AD1008" s="80"/>
      <c r="AE1008" s="80"/>
      <c r="AF1008" s="80"/>
      <c r="AG1008" s="80"/>
    </row>
    <row r="1009" spans="1:33" ht="13.8">
      <c r="A1009" s="84"/>
      <c r="B1009" s="84"/>
      <c r="C1009" s="84"/>
      <c r="D1009" s="84"/>
      <c r="E1009" s="80"/>
      <c r="F1009" s="80"/>
      <c r="G1009" s="80"/>
      <c r="H1009" s="80"/>
      <c r="I1009" s="80"/>
      <c r="J1009" s="80"/>
      <c r="K1009" s="107"/>
      <c r="L1009" s="80"/>
      <c r="M1009" s="80"/>
      <c r="N1009" s="80"/>
      <c r="O1009" s="80"/>
      <c r="P1009" s="80"/>
      <c r="Q1009" s="80"/>
      <c r="R1009" s="80"/>
      <c r="S1009" s="80"/>
      <c r="T1009" s="80"/>
      <c r="U1009" s="80"/>
      <c r="V1009" s="80"/>
      <c r="W1009" s="80"/>
      <c r="X1009" s="80"/>
      <c r="Y1009" s="80"/>
      <c r="Z1009" s="80"/>
      <c r="AA1009" s="80"/>
      <c r="AB1009" s="80"/>
      <c r="AC1009" s="80"/>
      <c r="AD1009" s="80"/>
      <c r="AE1009" s="80"/>
      <c r="AF1009" s="80"/>
      <c r="AG1009" s="80"/>
    </row>
    <row r="1010" spans="1:33" ht="13.8">
      <c r="A1010" s="84"/>
      <c r="B1010" s="84"/>
      <c r="C1010" s="84"/>
      <c r="D1010" s="84"/>
      <c r="E1010" s="80"/>
      <c r="F1010" s="80"/>
      <c r="G1010" s="80"/>
      <c r="H1010" s="80"/>
      <c r="I1010" s="80"/>
      <c r="J1010" s="80"/>
      <c r="K1010" s="107"/>
      <c r="L1010" s="80"/>
      <c r="M1010" s="80"/>
      <c r="N1010" s="80"/>
      <c r="O1010" s="80"/>
      <c r="P1010" s="80"/>
      <c r="Q1010" s="80"/>
      <c r="R1010" s="80"/>
      <c r="S1010" s="80"/>
      <c r="T1010" s="80"/>
      <c r="U1010" s="80"/>
      <c r="V1010" s="80"/>
      <c r="W1010" s="80"/>
      <c r="X1010" s="80"/>
      <c r="Y1010" s="80"/>
      <c r="Z1010" s="80"/>
      <c r="AA1010" s="80"/>
      <c r="AB1010" s="80"/>
      <c r="AC1010" s="80"/>
      <c r="AD1010" s="80"/>
      <c r="AE1010" s="80"/>
      <c r="AF1010" s="80"/>
      <c r="AG1010" s="80"/>
    </row>
    <row r="1011" spans="1:33" ht="13.8">
      <c r="A1011" s="84"/>
      <c r="B1011" s="84"/>
      <c r="C1011" s="84"/>
      <c r="D1011" s="84"/>
      <c r="E1011" s="80"/>
      <c r="F1011" s="80"/>
      <c r="G1011" s="80"/>
      <c r="H1011" s="80"/>
      <c r="I1011" s="80"/>
      <c r="J1011" s="80"/>
      <c r="K1011" s="107"/>
      <c r="L1011" s="80"/>
      <c r="M1011" s="80"/>
      <c r="N1011" s="80"/>
      <c r="O1011" s="80"/>
      <c r="P1011" s="80"/>
      <c r="Q1011" s="80"/>
      <c r="R1011" s="80"/>
      <c r="S1011" s="80"/>
      <c r="T1011" s="80"/>
      <c r="U1011" s="80"/>
      <c r="V1011" s="80"/>
      <c r="W1011" s="80"/>
      <c r="X1011" s="80"/>
      <c r="Y1011" s="80"/>
      <c r="Z1011" s="80"/>
      <c r="AA1011" s="80"/>
      <c r="AB1011" s="80"/>
      <c r="AC1011" s="80"/>
      <c r="AD1011" s="80"/>
      <c r="AE1011" s="80"/>
      <c r="AF1011" s="80"/>
      <c r="AG1011" s="80"/>
    </row>
    <row r="1012" spans="1:33" ht="13.8">
      <c r="A1012" s="84"/>
      <c r="B1012" s="84"/>
      <c r="C1012" s="84"/>
      <c r="D1012" s="84"/>
      <c r="E1012" s="80"/>
      <c r="F1012" s="80"/>
      <c r="G1012" s="80"/>
      <c r="H1012" s="80"/>
      <c r="I1012" s="80"/>
      <c r="J1012" s="80"/>
      <c r="K1012" s="107"/>
      <c r="L1012" s="80"/>
      <c r="M1012" s="80"/>
      <c r="N1012" s="80"/>
      <c r="O1012" s="80"/>
      <c r="P1012" s="80"/>
      <c r="Q1012" s="80"/>
      <c r="R1012" s="80"/>
      <c r="S1012" s="80"/>
      <c r="T1012" s="80"/>
      <c r="U1012" s="80"/>
      <c r="V1012" s="80"/>
      <c r="W1012" s="80"/>
      <c r="X1012" s="80"/>
      <c r="Y1012" s="80"/>
      <c r="Z1012" s="80"/>
      <c r="AA1012" s="80"/>
      <c r="AB1012" s="80"/>
      <c r="AC1012" s="80"/>
      <c r="AD1012" s="80"/>
      <c r="AE1012" s="80"/>
      <c r="AF1012" s="80"/>
      <c r="AG1012" s="80"/>
    </row>
    <row r="1013" spans="1:33" ht="13.8">
      <c r="A1013" s="84"/>
      <c r="B1013" s="84"/>
      <c r="C1013" s="84"/>
      <c r="D1013" s="84"/>
      <c r="E1013" s="80"/>
      <c r="F1013" s="80"/>
      <c r="G1013" s="80"/>
      <c r="H1013" s="80"/>
      <c r="I1013" s="80"/>
      <c r="J1013" s="80"/>
      <c r="K1013" s="107"/>
      <c r="L1013" s="80"/>
      <c r="M1013" s="80"/>
      <c r="N1013" s="80"/>
      <c r="O1013" s="80"/>
      <c r="P1013" s="80"/>
      <c r="Q1013" s="80"/>
      <c r="R1013" s="80"/>
      <c r="S1013" s="80"/>
      <c r="T1013" s="80"/>
      <c r="U1013" s="80"/>
      <c r="V1013" s="80"/>
      <c r="W1013" s="80"/>
      <c r="X1013" s="80"/>
      <c r="Y1013" s="80"/>
      <c r="Z1013" s="80"/>
      <c r="AA1013" s="80"/>
      <c r="AB1013" s="80"/>
      <c r="AC1013" s="80"/>
      <c r="AD1013" s="80"/>
      <c r="AE1013" s="80"/>
      <c r="AF1013" s="80"/>
      <c r="AG1013" s="80"/>
    </row>
    <row r="1014" spans="1:33" ht="13.8">
      <c r="A1014" s="84"/>
      <c r="B1014" s="84"/>
      <c r="C1014" s="84"/>
      <c r="D1014" s="84"/>
      <c r="E1014" s="80"/>
      <c r="F1014" s="80"/>
      <c r="G1014" s="80"/>
      <c r="H1014" s="80"/>
      <c r="I1014" s="80"/>
      <c r="J1014" s="80"/>
      <c r="K1014" s="107"/>
      <c r="L1014" s="80"/>
      <c r="M1014" s="80"/>
      <c r="N1014" s="80"/>
      <c r="O1014" s="80"/>
      <c r="P1014" s="80"/>
      <c r="Q1014" s="80"/>
      <c r="R1014" s="80"/>
      <c r="S1014" s="80"/>
      <c r="T1014" s="80"/>
      <c r="U1014" s="80"/>
      <c r="V1014" s="80"/>
      <c r="W1014" s="80"/>
      <c r="X1014" s="80"/>
      <c r="Y1014" s="80"/>
      <c r="Z1014" s="80"/>
      <c r="AA1014" s="80"/>
      <c r="AB1014" s="80"/>
      <c r="AC1014" s="80"/>
      <c r="AD1014" s="80"/>
      <c r="AE1014" s="80"/>
      <c r="AF1014" s="80"/>
      <c r="AG1014" s="80"/>
    </row>
    <row r="1015" spans="1:33" ht="13.8">
      <c r="A1015" s="84"/>
      <c r="B1015" s="84"/>
      <c r="C1015" s="84"/>
      <c r="D1015" s="84"/>
      <c r="E1015" s="80"/>
      <c r="F1015" s="80"/>
      <c r="G1015" s="80"/>
      <c r="H1015" s="80"/>
      <c r="I1015" s="80"/>
      <c r="J1015" s="80"/>
      <c r="K1015" s="107"/>
      <c r="L1015" s="80"/>
      <c r="M1015" s="80"/>
      <c r="N1015" s="80"/>
      <c r="O1015" s="80"/>
      <c r="P1015" s="80"/>
      <c r="Q1015" s="80"/>
      <c r="R1015" s="80"/>
      <c r="S1015" s="80"/>
      <c r="T1015" s="80"/>
      <c r="U1015" s="80"/>
      <c r="V1015" s="80"/>
      <c r="W1015" s="80"/>
      <c r="X1015" s="80"/>
      <c r="Y1015" s="80"/>
      <c r="Z1015" s="80"/>
      <c r="AA1015" s="80"/>
      <c r="AB1015" s="80"/>
      <c r="AC1015" s="80"/>
      <c r="AD1015" s="80"/>
      <c r="AE1015" s="80"/>
      <c r="AF1015" s="80"/>
      <c r="AG1015" s="80"/>
    </row>
    <row r="1016" spans="1:33" ht="13.8">
      <c r="A1016" s="84"/>
      <c r="B1016" s="84"/>
      <c r="C1016" s="84"/>
      <c r="D1016" s="84"/>
      <c r="E1016" s="80"/>
      <c r="F1016" s="80"/>
      <c r="G1016" s="80"/>
      <c r="H1016" s="80"/>
      <c r="I1016" s="80"/>
      <c r="J1016" s="80"/>
      <c r="K1016" s="107"/>
      <c r="L1016" s="80"/>
      <c r="M1016" s="80"/>
      <c r="N1016" s="80"/>
      <c r="O1016" s="80"/>
      <c r="P1016" s="80"/>
      <c r="Q1016" s="80"/>
      <c r="R1016" s="80"/>
      <c r="S1016" s="80"/>
      <c r="T1016" s="80"/>
      <c r="U1016" s="80"/>
      <c r="V1016" s="80"/>
      <c r="W1016" s="80"/>
      <c r="X1016" s="80"/>
      <c r="Y1016" s="80"/>
      <c r="Z1016" s="80"/>
      <c r="AA1016" s="80"/>
      <c r="AB1016" s="80"/>
      <c r="AC1016" s="80"/>
      <c r="AD1016" s="80"/>
      <c r="AE1016" s="80"/>
      <c r="AF1016" s="80"/>
      <c r="AG1016" s="80"/>
    </row>
    <row r="1017" spans="1:33" ht="13.8">
      <c r="A1017" s="84"/>
      <c r="B1017" s="84"/>
      <c r="C1017" s="84"/>
      <c r="D1017" s="84"/>
      <c r="E1017" s="80"/>
      <c r="F1017" s="80"/>
      <c r="G1017" s="80"/>
      <c r="H1017" s="80"/>
      <c r="I1017" s="80"/>
      <c r="J1017" s="80"/>
      <c r="K1017" s="107"/>
      <c r="L1017" s="80"/>
      <c r="M1017" s="80"/>
      <c r="N1017" s="80"/>
      <c r="O1017" s="80"/>
      <c r="P1017" s="80"/>
      <c r="Q1017" s="80"/>
      <c r="R1017" s="80"/>
      <c r="S1017" s="80"/>
      <c r="T1017" s="80"/>
      <c r="U1017" s="80"/>
      <c r="V1017" s="80"/>
      <c r="W1017" s="80"/>
      <c r="X1017" s="80"/>
      <c r="Y1017" s="80"/>
      <c r="Z1017" s="80"/>
      <c r="AA1017" s="80"/>
      <c r="AB1017" s="80"/>
      <c r="AC1017" s="80"/>
      <c r="AD1017" s="80"/>
      <c r="AE1017" s="80"/>
      <c r="AF1017" s="80"/>
      <c r="AG1017" s="80"/>
    </row>
    <row r="1018" spans="1:33" ht="13.8">
      <c r="A1018" s="84"/>
      <c r="B1018" s="84"/>
      <c r="C1018" s="84"/>
      <c r="D1018" s="84"/>
      <c r="E1018" s="80"/>
      <c r="F1018" s="80"/>
      <c r="G1018" s="80"/>
      <c r="H1018" s="80"/>
      <c r="I1018" s="80"/>
      <c r="J1018" s="80"/>
      <c r="K1018" s="107"/>
      <c r="L1018" s="80"/>
      <c r="M1018" s="80"/>
      <c r="N1018" s="80"/>
      <c r="O1018" s="80"/>
      <c r="P1018" s="80"/>
      <c r="Q1018" s="80"/>
      <c r="R1018" s="80"/>
      <c r="S1018" s="80"/>
      <c r="T1018" s="80"/>
      <c r="U1018" s="80"/>
      <c r="V1018" s="80"/>
      <c r="W1018" s="80"/>
      <c r="X1018" s="80"/>
      <c r="Y1018" s="80"/>
      <c r="Z1018" s="80"/>
      <c r="AA1018" s="80"/>
      <c r="AB1018" s="80"/>
      <c r="AC1018" s="80"/>
      <c r="AD1018" s="80"/>
      <c r="AE1018" s="80"/>
      <c r="AF1018" s="80"/>
      <c r="AG1018" s="80"/>
    </row>
    <row r="1019" spans="1:33" ht="13.8">
      <c r="A1019" s="84"/>
      <c r="B1019" s="84"/>
      <c r="C1019" s="84"/>
      <c r="D1019" s="84"/>
      <c r="E1019" s="80"/>
      <c r="F1019" s="80"/>
      <c r="G1019" s="80"/>
      <c r="H1019" s="80"/>
      <c r="I1019" s="80"/>
      <c r="J1019" s="80"/>
      <c r="K1019" s="107"/>
      <c r="L1019" s="80"/>
      <c r="M1019" s="80"/>
      <c r="N1019" s="80"/>
      <c r="O1019" s="80"/>
      <c r="P1019" s="80"/>
      <c r="Q1019" s="80"/>
      <c r="R1019" s="80"/>
      <c r="S1019" s="80"/>
      <c r="T1019" s="80"/>
      <c r="U1019" s="80"/>
      <c r="V1019" s="80"/>
      <c r="W1019" s="80"/>
      <c r="X1019" s="80"/>
      <c r="Y1019" s="80"/>
      <c r="Z1019" s="80"/>
      <c r="AA1019" s="80"/>
      <c r="AB1019" s="80"/>
      <c r="AC1019" s="80"/>
      <c r="AD1019" s="80"/>
      <c r="AE1019" s="80"/>
      <c r="AF1019" s="80"/>
      <c r="AG1019" s="80"/>
    </row>
    <row r="1020" spans="1:33" ht="13.8">
      <c r="A1020" s="84"/>
      <c r="B1020" s="84"/>
      <c r="C1020" s="84"/>
      <c r="D1020" s="84"/>
      <c r="E1020" s="80"/>
      <c r="F1020" s="80"/>
      <c r="G1020" s="80"/>
      <c r="H1020" s="80"/>
      <c r="I1020" s="80"/>
      <c r="J1020" s="80"/>
      <c r="K1020" s="107"/>
      <c r="L1020" s="80"/>
      <c r="M1020" s="80"/>
      <c r="N1020" s="80"/>
      <c r="O1020" s="80"/>
      <c r="P1020" s="80"/>
      <c r="Q1020" s="80"/>
      <c r="R1020" s="80"/>
      <c r="S1020" s="80"/>
      <c r="T1020" s="80"/>
      <c r="U1020" s="80"/>
      <c r="V1020" s="80"/>
      <c r="W1020" s="80"/>
      <c r="X1020" s="80"/>
      <c r="Y1020" s="80"/>
      <c r="Z1020" s="80"/>
      <c r="AA1020" s="80"/>
      <c r="AB1020" s="80"/>
      <c r="AC1020" s="80"/>
      <c r="AD1020" s="80"/>
      <c r="AE1020" s="80"/>
      <c r="AF1020" s="80"/>
      <c r="AG1020" s="80"/>
    </row>
    <row r="1021" spans="1:33" ht="13.8">
      <c r="A1021" s="84"/>
      <c r="B1021" s="84"/>
      <c r="C1021" s="84"/>
      <c r="D1021" s="84"/>
      <c r="E1021" s="80"/>
      <c r="F1021" s="80"/>
      <c r="G1021" s="80"/>
      <c r="H1021" s="80"/>
      <c r="I1021" s="80"/>
      <c r="J1021" s="80"/>
      <c r="K1021" s="107"/>
      <c r="L1021" s="80"/>
      <c r="M1021" s="80"/>
      <c r="N1021" s="80"/>
      <c r="O1021" s="80"/>
      <c r="P1021" s="80"/>
      <c r="Q1021" s="80"/>
      <c r="R1021" s="80"/>
      <c r="S1021" s="80"/>
      <c r="T1021" s="80"/>
      <c r="U1021" s="80"/>
      <c r="V1021" s="80"/>
      <c r="W1021" s="80"/>
      <c r="X1021" s="80"/>
      <c r="Y1021" s="80"/>
      <c r="Z1021" s="80"/>
      <c r="AA1021" s="80"/>
      <c r="AB1021" s="80"/>
      <c r="AC1021" s="80"/>
      <c r="AD1021" s="80"/>
      <c r="AE1021" s="80"/>
      <c r="AF1021" s="80"/>
      <c r="AG1021" s="80"/>
    </row>
    <row r="1022" spans="1:33" ht="13.8">
      <c r="A1022" s="84"/>
      <c r="B1022" s="84"/>
      <c r="C1022" s="84"/>
      <c r="D1022" s="84"/>
      <c r="E1022" s="80"/>
      <c r="F1022" s="80"/>
      <c r="G1022" s="80"/>
      <c r="H1022" s="80"/>
      <c r="I1022" s="80"/>
      <c r="J1022" s="80"/>
      <c r="K1022" s="107"/>
      <c r="L1022" s="80"/>
      <c r="M1022" s="80"/>
      <c r="N1022" s="80"/>
      <c r="O1022" s="80"/>
      <c r="P1022" s="80"/>
      <c r="Q1022" s="80"/>
      <c r="R1022" s="80"/>
      <c r="S1022" s="80"/>
      <c r="T1022" s="80"/>
      <c r="U1022" s="80"/>
      <c r="V1022" s="80"/>
      <c r="W1022" s="80"/>
      <c r="X1022" s="80"/>
      <c r="Y1022" s="80"/>
      <c r="Z1022" s="80"/>
      <c r="AA1022" s="80"/>
      <c r="AB1022" s="80"/>
      <c r="AC1022" s="80"/>
      <c r="AD1022" s="80"/>
      <c r="AE1022" s="80"/>
      <c r="AF1022" s="80"/>
      <c r="AG1022" s="80"/>
    </row>
    <row r="1023" spans="1:33" ht="13.8">
      <c r="A1023" s="84"/>
      <c r="B1023" s="84"/>
      <c r="C1023" s="84"/>
      <c r="D1023" s="84"/>
      <c r="E1023" s="80"/>
      <c r="F1023" s="80"/>
      <c r="G1023" s="80"/>
      <c r="H1023" s="80"/>
      <c r="I1023" s="80"/>
      <c r="J1023" s="80"/>
      <c r="K1023" s="107"/>
      <c r="L1023" s="80"/>
      <c r="M1023" s="80"/>
      <c r="N1023" s="80"/>
      <c r="O1023" s="80"/>
      <c r="P1023" s="80"/>
      <c r="Q1023" s="80"/>
      <c r="R1023" s="80"/>
      <c r="S1023" s="80"/>
      <c r="T1023" s="80"/>
      <c r="U1023" s="80"/>
      <c r="V1023" s="80"/>
      <c r="W1023" s="80"/>
      <c r="X1023" s="80"/>
      <c r="Y1023" s="80"/>
      <c r="Z1023" s="80"/>
      <c r="AA1023" s="80"/>
      <c r="AB1023" s="80"/>
      <c r="AC1023" s="80"/>
      <c r="AD1023" s="80"/>
      <c r="AE1023" s="80"/>
      <c r="AF1023" s="80"/>
      <c r="AG1023" s="80"/>
    </row>
    <row r="1024" spans="1:33" ht="13.8">
      <c r="A1024" s="84"/>
      <c r="B1024" s="84"/>
      <c r="C1024" s="84"/>
      <c r="D1024" s="84"/>
      <c r="E1024" s="80"/>
      <c r="F1024" s="80"/>
      <c r="G1024" s="80"/>
      <c r="H1024" s="80"/>
      <c r="I1024" s="80"/>
      <c r="J1024" s="80"/>
      <c r="K1024" s="107"/>
      <c r="L1024" s="80"/>
      <c r="M1024" s="80"/>
      <c r="N1024" s="80"/>
      <c r="O1024" s="80"/>
      <c r="P1024" s="80"/>
      <c r="Q1024" s="80"/>
      <c r="R1024" s="80"/>
      <c r="S1024" s="80"/>
      <c r="T1024" s="80"/>
      <c r="U1024" s="80"/>
      <c r="V1024" s="80"/>
      <c r="W1024" s="80"/>
      <c r="X1024" s="80"/>
      <c r="Y1024" s="80"/>
      <c r="Z1024" s="80"/>
      <c r="AA1024" s="80"/>
      <c r="AB1024" s="80"/>
      <c r="AC1024" s="80"/>
      <c r="AD1024" s="80"/>
      <c r="AE1024" s="80"/>
      <c r="AF1024" s="80"/>
      <c r="AG1024" s="80"/>
    </row>
    <row r="1025" spans="1:33" ht="13.8">
      <c r="A1025" s="84"/>
      <c r="B1025" s="84"/>
      <c r="C1025" s="84"/>
      <c r="D1025" s="84"/>
      <c r="E1025" s="80"/>
      <c r="F1025" s="80"/>
      <c r="G1025" s="80"/>
      <c r="H1025" s="80"/>
      <c r="I1025" s="80"/>
      <c r="J1025" s="80"/>
      <c r="K1025" s="107"/>
      <c r="L1025" s="80"/>
      <c r="M1025" s="80"/>
      <c r="N1025" s="80"/>
      <c r="O1025" s="80"/>
      <c r="P1025" s="80"/>
      <c r="Q1025" s="80"/>
      <c r="R1025" s="80"/>
      <c r="S1025" s="80"/>
      <c r="T1025" s="80"/>
      <c r="U1025" s="80"/>
      <c r="V1025" s="80"/>
      <c r="W1025" s="80"/>
      <c r="X1025" s="80"/>
      <c r="Y1025" s="80"/>
      <c r="Z1025" s="80"/>
      <c r="AA1025" s="80"/>
      <c r="AB1025" s="80"/>
      <c r="AC1025" s="80"/>
      <c r="AD1025" s="80"/>
      <c r="AE1025" s="80"/>
      <c r="AF1025" s="80"/>
      <c r="AG1025" s="80"/>
    </row>
    <row r="1026" spans="1:33" ht="13.8">
      <c r="A1026" s="84"/>
      <c r="B1026" s="84"/>
      <c r="C1026" s="84"/>
      <c r="D1026" s="84"/>
      <c r="E1026" s="80"/>
      <c r="F1026" s="80"/>
      <c r="G1026" s="80"/>
      <c r="H1026" s="80"/>
      <c r="I1026" s="80"/>
      <c r="J1026" s="80"/>
      <c r="K1026" s="107"/>
      <c r="L1026" s="80"/>
      <c r="M1026" s="80"/>
      <c r="N1026" s="80"/>
      <c r="O1026" s="80"/>
      <c r="P1026" s="80"/>
      <c r="Q1026" s="80"/>
      <c r="R1026" s="80"/>
      <c r="S1026" s="80"/>
      <c r="T1026" s="80"/>
      <c r="U1026" s="80"/>
      <c r="V1026" s="80"/>
      <c r="W1026" s="80"/>
      <c r="X1026" s="80"/>
      <c r="Y1026" s="80"/>
      <c r="Z1026" s="80"/>
      <c r="AA1026" s="80"/>
      <c r="AB1026" s="80"/>
      <c r="AC1026" s="80"/>
      <c r="AD1026" s="80"/>
      <c r="AE1026" s="80"/>
      <c r="AF1026" s="80"/>
      <c r="AG1026" s="80"/>
    </row>
    <row r="1027" spans="1:33" ht="13.8">
      <c r="A1027" s="84"/>
      <c r="B1027" s="84"/>
      <c r="C1027" s="84"/>
      <c r="D1027" s="84"/>
      <c r="E1027" s="80"/>
      <c r="F1027" s="80"/>
      <c r="G1027" s="80"/>
      <c r="H1027" s="80"/>
      <c r="I1027" s="80"/>
      <c r="J1027" s="80"/>
      <c r="K1027" s="107"/>
      <c r="L1027" s="80"/>
      <c r="M1027" s="80"/>
      <c r="N1027" s="80"/>
      <c r="O1027" s="80"/>
      <c r="P1027" s="80"/>
      <c r="Q1027" s="80"/>
      <c r="R1027" s="80"/>
      <c r="S1027" s="80"/>
      <c r="T1027" s="80"/>
      <c r="U1027" s="80"/>
      <c r="V1027" s="80"/>
      <c r="W1027" s="80"/>
      <c r="X1027" s="80"/>
      <c r="Y1027" s="80"/>
      <c r="Z1027" s="80"/>
      <c r="AA1027" s="80"/>
      <c r="AB1027" s="80"/>
      <c r="AC1027" s="80"/>
      <c r="AD1027" s="80"/>
      <c r="AE1027" s="80"/>
      <c r="AF1027" s="80"/>
      <c r="AG1027" s="80"/>
    </row>
    <row r="1028" spans="1:33" ht="13.8">
      <c r="A1028" s="84"/>
      <c r="B1028" s="84"/>
      <c r="C1028" s="84"/>
      <c r="D1028" s="84"/>
      <c r="E1028" s="80"/>
      <c r="F1028" s="80"/>
      <c r="G1028" s="80"/>
      <c r="H1028" s="80"/>
      <c r="I1028" s="80"/>
      <c r="J1028" s="80"/>
      <c r="K1028" s="107"/>
      <c r="L1028" s="80"/>
      <c r="M1028" s="80"/>
      <c r="N1028" s="80"/>
      <c r="O1028" s="80"/>
      <c r="P1028" s="80"/>
      <c r="Q1028" s="80"/>
      <c r="R1028" s="80"/>
      <c r="S1028" s="80"/>
      <c r="T1028" s="80"/>
      <c r="U1028" s="80"/>
      <c r="V1028" s="80"/>
      <c r="W1028" s="80"/>
      <c r="X1028" s="80"/>
      <c r="Y1028" s="80"/>
      <c r="Z1028" s="80"/>
      <c r="AA1028" s="80"/>
      <c r="AB1028" s="80"/>
      <c r="AC1028" s="80"/>
      <c r="AD1028" s="80"/>
      <c r="AE1028" s="80"/>
      <c r="AF1028" s="80"/>
      <c r="AG1028" s="80"/>
    </row>
    <row r="1029" spans="1:33" ht="13.8">
      <c r="A1029" s="84"/>
      <c r="B1029" s="84"/>
      <c r="C1029" s="84"/>
      <c r="D1029" s="84"/>
      <c r="E1029" s="80"/>
      <c r="F1029" s="80"/>
      <c r="G1029" s="80"/>
      <c r="H1029" s="80"/>
      <c r="I1029" s="80"/>
      <c r="J1029" s="80"/>
      <c r="K1029" s="107"/>
      <c r="L1029" s="80"/>
      <c r="M1029" s="80"/>
      <c r="N1029" s="80"/>
      <c r="O1029" s="80"/>
      <c r="P1029" s="80"/>
      <c r="Q1029" s="80"/>
      <c r="R1029" s="80"/>
      <c r="S1029" s="80"/>
      <c r="T1029" s="80"/>
      <c r="U1029" s="80"/>
      <c r="V1029" s="80"/>
      <c r="W1029" s="80"/>
      <c r="X1029" s="80"/>
      <c r="Y1029" s="80"/>
      <c r="Z1029" s="80"/>
      <c r="AA1029" s="80"/>
      <c r="AB1029" s="80"/>
      <c r="AC1029" s="80"/>
      <c r="AD1029" s="80"/>
      <c r="AE1029" s="80"/>
      <c r="AF1029" s="80"/>
      <c r="AG1029" s="80"/>
    </row>
    <row r="1030" spans="1:33" ht="13.8">
      <c r="A1030" s="84"/>
      <c r="B1030" s="84"/>
      <c r="C1030" s="84"/>
      <c r="D1030" s="84"/>
      <c r="E1030" s="80"/>
      <c r="F1030" s="80"/>
      <c r="G1030" s="80"/>
      <c r="H1030" s="80"/>
      <c r="I1030" s="80"/>
      <c r="J1030" s="80"/>
      <c r="K1030" s="107"/>
      <c r="L1030" s="80"/>
      <c r="M1030" s="80"/>
      <c r="N1030" s="80"/>
      <c r="O1030" s="80"/>
      <c r="P1030" s="80"/>
      <c r="Q1030" s="80"/>
      <c r="R1030" s="80"/>
      <c r="S1030" s="80"/>
      <c r="T1030" s="80"/>
      <c r="U1030" s="80"/>
      <c r="V1030" s="80"/>
      <c r="W1030" s="80"/>
      <c r="X1030" s="80"/>
      <c r="Y1030" s="80"/>
      <c r="Z1030" s="80"/>
      <c r="AA1030" s="80"/>
      <c r="AB1030" s="80"/>
      <c r="AC1030" s="80"/>
      <c r="AD1030" s="80"/>
      <c r="AE1030" s="80"/>
      <c r="AF1030" s="80"/>
      <c r="AG1030" s="80"/>
    </row>
    <row r="1031" spans="1:33" ht="13.8">
      <c r="A1031" s="84"/>
      <c r="B1031" s="84"/>
      <c r="C1031" s="84"/>
      <c r="D1031" s="84"/>
      <c r="E1031" s="80"/>
      <c r="F1031" s="80"/>
      <c r="G1031" s="80"/>
      <c r="H1031" s="80"/>
      <c r="I1031" s="80"/>
      <c r="J1031" s="80"/>
      <c r="K1031" s="107"/>
      <c r="L1031" s="80"/>
      <c r="M1031" s="80"/>
      <c r="N1031" s="80"/>
      <c r="O1031" s="80"/>
      <c r="P1031" s="80"/>
      <c r="Q1031" s="80"/>
      <c r="R1031" s="80"/>
      <c r="S1031" s="80"/>
      <c r="T1031" s="80"/>
      <c r="U1031" s="80"/>
      <c r="V1031" s="80"/>
      <c r="W1031" s="80"/>
      <c r="X1031" s="80"/>
      <c r="Y1031" s="80"/>
      <c r="Z1031" s="80"/>
      <c r="AA1031" s="80"/>
      <c r="AB1031" s="80"/>
      <c r="AC1031" s="80"/>
      <c r="AD1031" s="80"/>
      <c r="AE1031" s="80"/>
      <c r="AF1031" s="80"/>
      <c r="AG1031" s="80"/>
    </row>
    <row r="1032" spans="1:33" ht="13.8">
      <c r="A1032" s="84"/>
      <c r="B1032" s="84"/>
      <c r="C1032" s="84"/>
      <c r="D1032" s="84"/>
      <c r="E1032" s="80"/>
      <c r="F1032" s="80"/>
      <c r="G1032" s="80"/>
      <c r="H1032" s="80"/>
      <c r="I1032" s="80"/>
      <c r="J1032" s="80"/>
      <c r="K1032" s="107"/>
      <c r="L1032" s="80"/>
      <c r="M1032" s="80"/>
      <c r="N1032" s="80"/>
      <c r="O1032" s="80"/>
      <c r="P1032" s="80"/>
      <c r="Q1032" s="80"/>
      <c r="R1032" s="80"/>
      <c r="S1032" s="80"/>
      <c r="T1032" s="80"/>
      <c r="U1032" s="80"/>
      <c r="V1032" s="80"/>
      <c r="W1032" s="80"/>
      <c r="X1032" s="80"/>
      <c r="Y1032" s="80"/>
      <c r="Z1032" s="80"/>
      <c r="AA1032" s="80"/>
      <c r="AB1032" s="80"/>
      <c r="AC1032" s="80"/>
      <c r="AD1032" s="80"/>
      <c r="AE1032" s="80"/>
      <c r="AF1032" s="80"/>
      <c r="AG1032" s="80"/>
    </row>
    <row r="1033" spans="1:33" ht="13.8">
      <c r="A1033" s="84"/>
      <c r="B1033" s="84"/>
      <c r="C1033" s="84"/>
      <c r="D1033" s="84"/>
      <c r="E1033" s="80"/>
      <c r="F1033" s="80"/>
      <c r="G1033" s="80"/>
      <c r="H1033" s="80"/>
      <c r="I1033" s="80"/>
      <c r="J1033" s="80"/>
      <c r="K1033" s="107"/>
      <c r="L1033" s="80"/>
      <c r="M1033" s="80"/>
      <c r="N1033" s="80"/>
      <c r="O1033" s="80"/>
      <c r="P1033" s="80"/>
      <c r="Q1033" s="80"/>
      <c r="R1033" s="80"/>
      <c r="S1033" s="80"/>
      <c r="T1033" s="80"/>
      <c r="U1033" s="80"/>
      <c r="V1033" s="80"/>
      <c r="W1033" s="80"/>
      <c r="X1033" s="80"/>
      <c r="Y1033" s="80"/>
      <c r="Z1033" s="80"/>
      <c r="AA1033" s="80"/>
      <c r="AB1033" s="80"/>
      <c r="AC1033" s="80"/>
      <c r="AD1033" s="80"/>
      <c r="AE1033" s="80"/>
      <c r="AF1033" s="80"/>
      <c r="AG1033" s="80"/>
    </row>
    <row r="1034" spans="1:33" ht="13.8">
      <c r="A1034" s="84"/>
      <c r="B1034" s="84"/>
      <c r="C1034" s="84"/>
      <c r="D1034" s="84"/>
      <c r="E1034" s="80"/>
      <c r="F1034" s="80"/>
      <c r="G1034" s="80"/>
      <c r="H1034" s="80"/>
      <c r="I1034" s="80"/>
      <c r="J1034" s="80"/>
      <c r="K1034" s="107"/>
      <c r="L1034" s="80"/>
      <c r="M1034" s="80"/>
      <c r="N1034" s="80"/>
      <c r="O1034" s="80"/>
      <c r="P1034" s="80"/>
      <c r="Q1034" s="80"/>
      <c r="R1034" s="80"/>
      <c r="S1034" s="80"/>
      <c r="T1034" s="80"/>
      <c r="U1034" s="80"/>
      <c r="V1034" s="80"/>
      <c r="W1034" s="80"/>
      <c r="X1034" s="80"/>
      <c r="Y1034" s="80"/>
      <c r="Z1034" s="80"/>
      <c r="AA1034" s="80"/>
      <c r="AB1034" s="80"/>
      <c r="AC1034" s="80"/>
      <c r="AD1034" s="80"/>
      <c r="AE1034" s="80"/>
      <c r="AF1034" s="80"/>
      <c r="AG1034" s="80"/>
    </row>
    <row r="1035" spans="1:33" ht="13.8">
      <c r="A1035" s="84"/>
      <c r="B1035" s="84"/>
      <c r="C1035" s="84"/>
      <c r="D1035" s="84"/>
      <c r="E1035" s="80"/>
      <c r="F1035" s="80"/>
      <c r="G1035" s="80"/>
      <c r="H1035" s="80"/>
      <c r="I1035" s="80"/>
      <c r="J1035" s="80"/>
      <c r="K1035" s="107"/>
      <c r="L1035" s="80"/>
      <c r="M1035" s="80"/>
      <c r="N1035" s="80"/>
      <c r="O1035" s="80"/>
      <c r="P1035" s="80"/>
      <c r="Q1035" s="80"/>
      <c r="R1035" s="80"/>
      <c r="S1035" s="80"/>
      <c r="T1035" s="80"/>
      <c r="U1035" s="80"/>
      <c r="V1035" s="80"/>
      <c r="W1035" s="80"/>
      <c r="X1035" s="80"/>
      <c r="Y1035" s="80"/>
      <c r="Z1035" s="80"/>
      <c r="AA1035" s="80"/>
      <c r="AB1035" s="80"/>
      <c r="AC1035" s="80"/>
      <c r="AD1035" s="80"/>
      <c r="AE1035" s="80"/>
      <c r="AF1035" s="80"/>
      <c r="AG1035" s="80"/>
    </row>
    <row r="1036" spans="1:33" ht="13.8">
      <c r="A1036" s="84"/>
      <c r="B1036" s="84"/>
      <c r="C1036" s="84"/>
      <c r="D1036" s="84"/>
      <c r="E1036" s="80"/>
      <c r="F1036" s="80"/>
      <c r="G1036" s="80"/>
      <c r="H1036" s="80"/>
      <c r="I1036" s="80"/>
      <c r="J1036" s="80"/>
      <c r="K1036" s="107"/>
      <c r="L1036" s="80"/>
      <c r="M1036" s="80"/>
      <c r="N1036" s="80"/>
      <c r="O1036" s="80"/>
      <c r="P1036" s="80"/>
      <c r="Q1036" s="80"/>
      <c r="R1036" s="80"/>
      <c r="S1036" s="80"/>
      <c r="T1036" s="80"/>
      <c r="U1036" s="80"/>
      <c r="V1036" s="80"/>
      <c r="W1036" s="80"/>
      <c r="X1036" s="80"/>
      <c r="Y1036" s="80"/>
      <c r="Z1036" s="80"/>
      <c r="AA1036" s="80"/>
      <c r="AB1036" s="80"/>
      <c r="AC1036" s="80"/>
      <c r="AD1036" s="80"/>
      <c r="AE1036" s="80"/>
      <c r="AF1036" s="80"/>
      <c r="AG1036" s="80"/>
    </row>
    <row r="1037" spans="1:33" ht="13.8">
      <c r="A1037" s="84"/>
      <c r="B1037" s="84"/>
      <c r="C1037" s="84"/>
      <c r="D1037" s="84"/>
      <c r="E1037" s="80"/>
      <c r="F1037" s="80"/>
      <c r="G1037" s="80"/>
      <c r="H1037" s="80"/>
      <c r="I1037" s="80"/>
      <c r="J1037" s="80"/>
      <c r="K1037" s="107"/>
      <c r="L1037" s="80"/>
      <c r="M1037" s="80"/>
      <c r="N1037" s="80"/>
      <c r="O1037" s="80"/>
      <c r="P1037" s="80"/>
      <c r="Q1037" s="80"/>
      <c r="R1037" s="80"/>
      <c r="S1037" s="80"/>
      <c r="T1037" s="80"/>
      <c r="U1037" s="80"/>
      <c r="V1037" s="80"/>
      <c r="W1037" s="80"/>
      <c r="X1037" s="80"/>
      <c r="Y1037" s="80"/>
      <c r="Z1037" s="80"/>
      <c r="AA1037" s="80"/>
      <c r="AB1037" s="80"/>
      <c r="AC1037" s="80"/>
      <c r="AD1037" s="80"/>
      <c r="AE1037" s="80"/>
      <c r="AF1037" s="80"/>
      <c r="AG1037" s="80"/>
    </row>
    <row r="1038" spans="1:33" ht="13.8">
      <c r="A1038" s="84"/>
      <c r="B1038" s="84"/>
      <c r="C1038" s="84"/>
      <c r="D1038" s="84"/>
      <c r="E1038" s="80"/>
      <c r="F1038" s="80"/>
      <c r="G1038" s="80"/>
      <c r="H1038" s="80"/>
      <c r="I1038" s="80"/>
      <c r="J1038" s="80"/>
      <c r="K1038" s="107"/>
      <c r="L1038" s="80"/>
      <c r="M1038" s="80"/>
      <c r="N1038" s="80"/>
      <c r="O1038" s="80"/>
      <c r="P1038" s="80"/>
      <c r="Q1038" s="80"/>
      <c r="R1038" s="80"/>
      <c r="S1038" s="80"/>
      <c r="T1038" s="80"/>
      <c r="U1038" s="80"/>
      <c r="V1038" s="80"/>
      <c r="W1038" s="80"/>
      <c r="X1038" s="80"/>
      <c r="Y1038" s="80"/>
      <c r="Z1038" s="80"/>
      <c r="AA1038" s="80"/>
      <c r="AB1038" s="80"/>
      <c r="AC1038" s="80"/>
      <c r="AD1038" s="80"/>
      <c r="AE1038" s="80"/>
      <c r="AF1038" s="80"/>
      <c r="AG1038" s="80"/>
    </row>
    <row r="1039" spans="1:33" ht="13.8">
      <c r="A1039" s="84"/>
      <c r="B1039" s="84"/>
      <c r="C1039" s="84"/>
      <c r="D1039" s="84"/>
      <c r="E1039" s="80"/>
      <c r="F1039" s="80"/>
      <c r="G1039" s="80"/>
      <c r="H1039" s="80"/>
      <c r="I1039" s="80"/>
      <c r="J1039" s="80"/>
      <c r="K1039" s="107"/>
      <c r="L1039" s="80"/>
      <c r="M1039" s="80"/>
      <c r="N1039" s="80"/>
      <c r="O1039" s="80"/>
      <c r="P1039" s="80"/>
      <c r="Q1039" s="80"/>
      <c r="R1039" s="80"/>
      <c r="S1039" s="80"/>
      <c r="T1039" s="80"/>
      <c r="U1039" s="80"/>
      <c r="V1039" s="80"/>
      <c r="W1039" s="80"/>
      <c r="X1039" s="80"/>
      <c r="Y1039" s="80"/>
      <c r="Z1039" s="80"/>
      <c r="AA1039" s="80"/>
      <c r="AB1039" s="80"/>
      <c r="AC1039" s="80"/>
      <c r="AD1039" s="80"/>
      <c r="AE1039" s="80"/>
      <c r="AF1039" s="80"/>
      <c r="AG1039" s="80"/>
    </row>
    <row r="1040" spans="1:33" ht="13.8">
      <c r="A1040" s="84"/>
      <c r="B1040" s="84"/>
      <c r="C1040" s="84"/>
      <c r="D1040" s="84"/>
      <c r="E1040" s="80"/>
      <c r="F1040" s="80"/>
      <c r="G1040" s="80"/>
      <c r="H1040" s="80"/>
      <c r="I1040" s="80"/>
      <c r="J1040" s="80"/>
      <c r="K1040" s="107"/>
      <c r="L1040" s="80"/>
      <c r="M1040" s="80"/>
      <c r="N1040" s="80"/>
      <c r="O1040" s="80"/>
      <c r="P1040" s="80"/>
      <c r="Q1040" s="80"/>
      <c r="R1040" s="80"/>
      <c r="S1040" s="80"/>
      <c r="T1040" s="80"/>
      <c r="U1040" s="80"/>
      <c r="V1040" s="80"/>
      <c r="W1040" s="80"/>
      <c r="X1040" s="80"/>
      <c r="Y1040" s="80"/>
      <c r="Z1040" s="80"/>
      <c r="AA1040" s="80"/>
      <c r="AB1040" s="80"/>
      <c r="AC1040" s="80"/>
      <c r="AD1040" s="80"/>
      <c r="AE1040" s="80"/>
      <c r="AF1040" s="80"/>
      <c r="AG1040" s="80"/>
    </row>
    <row r="1041" spans="1:33" ht="13.8">
      <c r="A1041" s="84"/>
      <c r="B1041" s="84"/>
      <c r="C1041" s="84"/>
      <c r="D1041" s="84"/>
      <c r="E1041" s="80"/>
      <c r="F1041" s="80"/>
      <c r="G1041" s="80"/>
      <c r="H1041" s="80"/>
      <c r="I1041" s="80"/>
      <c r="J1041" s="80"/>
      <c r="K1041" s="107"/>
      <c r="L1041" s="80"/>
      <c r="M1041" s="80"/>
      <c r="N1041" s="80"/>
      <c r="O1041" s="80"/>
      <c r="P1041" s="80"/>
      <c r="Q1041" s="80"/>
      <c r="R1041" s="80"/>
      <c r="S1041" s="80"/>
      <c r="T1041" s="80"/>
      <c r="U1041" s="80"/>
      <c r="V1041" s="80"/>
      <c r="W1041" s="80"/>
      <c r="X1041" s="80"/>
      <c r="Y1041" s="80"/>
      <c r="Z1041" s="80"/>
      <c r="AA1041" s="80"/>
      <c r="AB1041" s="80"/>
      <c r="AC1041" s="80"/>
      <c r="AD1041" s="80"/>
      <c r="AE1041" s="80"/>
      <c r="AF1041" s="80"/>
      <c r="AG1041" s="80"/>
    </row>
    <row r="1042" spans="1:33" ht="13.8">
      <c r="A1042" s="84"/>
      <c r="B1042" s="84"/>
      <c r="C1042" s="84"/>
      <c r="D1042" s="84"/>
      <c r="E1042" s="80"/>
      <c r="F1042" s="80"/>
      <c r="G1042" s="80"/>
      <c r="H1042" s="80"/>
      <c r="I1042" s="80"/>
      <c r="J1042" s="80"/>
      <c r="K1042" s="107"/>
      <c r="L1042" s="80"/>
      <c r="M1042" s="80"/>
      <c r="N1042" s="80"/>
      <c r="O1042" s="80"/>
      <c r="P1042" s="80"/>
      <c r="Q1042" s="80"/>
      <c r="R1042" s="80"/>
      <c r="S1042" s="80"/>
      <c r="T1042" s="80"/>
      <c r="U1042" s="80"/>
      <c r="V1042" s="80"/>
      <c r="W1042" s="80"/>
      <c r="X1042" s="80"/>
      <c r="Y1042" s="80"/>
      <c r="Z1042" s="80"/>
      <c r="AA1042" s="80"/>
      <c r="AB1042" s="80"/>
      <c r="AC1042" s="80"/>
      <c r="AD1042" s="80"/>
      <c r="AE1042" s="80"/>
      <c r="AF1042" s="80"/>
      <c r="AG1042" s="80"/>
    </row>
    <row r="1043" spans="1:33" ht="13.8">
      <c r="A1043" s="84"/>
      <c r="B1043" s="84"/>
      <c r="C1043" s="84"/>
      <c r="D1043" s="84"/>
      <c r="E1043" s="80"/>
      <c r="F1043" s="80"/>
      <c r="G1043" s="80"/>
      <c r="H1043" s="80"/>
      <c r="I1043" s="80"/>
      <c r="J1043" s="80"/>
      <c r="K1043" s="107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</row>
    <row r="1044" spans="1:33" ht="13.8">
      <c r="A1044" s="84"/>
      <c r="B1044" s="84"/>
      <c r="C1044" s="84"/>
      <c r="D1044" s="84"/>
      <c r="E1044" s="80"/>
      <c r="F1044" s="80"/>
      <c r="G1044" s="80"/>
      <c r="H1044" s="80"/>
      <c r="I1044" s="80"/>
      <c r="J1044" s="80"/>
      <c r="K1044" s="107"/>
      <c r="L1044" s="80"/>
      <c r="M1044" s="80"/>
      <c r="N1044" s="80"/>
      <c r="O1044" s="80"/>
      <c r="P1044" s="80"/>
      <c r="Q1044" s="80"/>
      <c r="R1044" s="80"/>
      <c r="S1044" s="80"/>
      <c r="T1044" s="80"/>
      <c r="U1044" s="80"/>
      <c r="V1044" s="80"/>
      <c r="W1044" s="80"/>
      <c r="X1044" s="80"/>
      <c r="Y1044" s="80"/>
      <c r="Z1044" s="80"/>
      <c r="AA1044" s="80"/>
      <c r="AB1044" s="80"/>
      <c r="AC1044" s="80"/>
      <c r="AD1044" s="80"/>
      <c r="AE1044" s="80"/>
      <c r="AF1044" s="80"/>
      <c r="AG1044" s="80"/>
    </row>
    <row r="1045" spans="1:33" ht="13.8">
      <c r="A1045" s="84"/>
      <c r="B1045" s="84"/>
      <c r="C1045" s="84"/>
      <c r="D1045" s="84"/>
      <c r="E1045" s="80"/>
      <c r="F1045" s="80"/>
      <c r="G1045" s="80"/>
      <c r="H1045" s="80"/>
      <c r="I1045" s="80"/>
      <c r="J1045" s="80"/>
      <c r="K1045" s="107"/>
      <c r="L1045" s="80"/>
      <c r="M1045" s="80"/>
      <c r="N1045" s="80"/>
      <c r="O1045" s="80"/>
      <c r="P1045" s="80"/>
      <c r="Q1045" s="80"/>
      <c r="R1045" s="80"/>
      <c r="S1045" s="80"/>
      <c r="T1045" s="80"/>
      <c r="U1045" s="80"/>
      <c r="V1045" s="80"/>
      <c r="W1045" s="80"/>
      <c r="X1045" s="80"/>
      <c r="Y1045" s="80"/>
      <c r="Z1045" s="80"/>
      <c r="AA1045" s="80"/>
      <c r="AB1045" s="80"/>
      <c r="AC1045" s="80"/>
      <c r="AD1045" s="80"/>
      <c r="AE1045" s="80"/>
      <c r="AF1045" s="80"/>
      <c r="AG1045" s="80"/>
    </row>
    <row r="1046" spans="1:33" ht="13.8">
      <c r="A1046" s="84"/>
      <c r="B1046" s="84"/>
      <c r="C1046" s="84"/>
      <c r="D1046" s="84"/>
      <c r="E1046" s="80"/>
      <c r="F1046" s="80"/>
      <c r="G1046" s="80"/>
      <c r="H1046" s="80"/>
      <c r="I1046" s="80"/>
      <c r="J1046" s="80"/>
      <c r="K1046" s="107"/>
      <c r="L1046" s="80"/>
      <c r="M1046" s="80"/>
      <c r="N1046" s="80"/>
      <c r="O1046" s="80"/>
      <c r="P1046" s="80"/>
      <c r="Q1046" s="80"/>
      <c r="R1046" s="80"/>
      <c r="S1046" s="80"/>
      <c r="T1046" s="80"/>
      <c r="U1046" s="80"/>
      <c r="V1046" s="80"/>
      <c r="W1046" s="80"/>
      <c r="X1046" s="80"/>
      <c r="Y1046" s="80"/>
      <c r="Z1046" s="80"/>
      <c r="AA1046" s="80"/>
      <c r="AB1046" s="80"/>
      <c r="AC1046" s="80"/>
      <c r="AD1046" s="80"/>
      <c r="AE1046" s="80"/>
      <c r="AF1046" s="80"/>
      <c r="AG1046" s="80"/>
    </row>
    <row r="1047" spans="1:33" ht="13.8">
      <c r="A1047" s="84"/>
      <c r="B1047" s="84"/>
      <c r="C1047" s="84"/>
      <c r="D1047" s="84"/>
      <c r="E1047" s="80"/>
      <c r="F1047" s="80"/>
      <c r="G1047" s="80"/>
      <c r="H1047" s="80"/>
      <c r="I1047" s="80"/>
      <c r="J1047" s="80"/>
      <c r="K1047" s="107"/>
      <c r="L1047" s="80"/>
      <c r="M1047" s="80"/>
      <c r="N1047" s="80"/>
      <c r="O1047" s="80"/>
      <c r="P1047" s="80"/>
      <c r="Q1047" s="80"/>
      <c r="R1047" s="80"/>
      <c r="S1047" s="80"/>
      <c r="T1047" s="80"/>
      <c r="U1047" s="80"/>
      <c r="V1047" s="80"/>
      <c r="W1047" s="80"/>
      <c r="X1047" s="80"/>
      <c r="Y1047" s="80"/>
      <c r="Z1047" s="80"/>
      <c r="AA1047" s="80"/>
      <c r="AB1047" s="80"/>
      <c r="AC1047" s="80"/>
      <c r="AD1047" s="80"/>
      <c r="AE1047" s="80"/>
      <c r="AF1047" s="80"/>
      <c r="AG1047" s="80"/>
    </row>
    <row r="1048" spans="1:33" ht="13.8">
      <c r="A1048" s="84"/>
      <c r="B1048" s="84"/>
      <c r="C1048" s="84"/>
      <c r="D1048" s="84"/>
      <c r="E1048" s="80"/>
      <c r="F1048" s="80"/>
      <c r="G1048" s="80"/>
      <c r="H1048" s="80"/>
      <c r="I1048" s="80"/>
      <c r="J1048" s="80"/>
      <c r="K1048" s="107"/>
      <c r="L1048" s="80"/>
      <c r="M1048" s="80"/>
      <c r="N1048" s="80"/>
      <c r="O1048" s="80"/>
      <c r="P1048" s="80"/>
      <c r="Q1048" s="80"/>
      <c r="R1048" s="80"/>
      <c r="S1048" s="80"/>
      <c r="T1048" s="80"/>
      <c r="U1048" s="80"/>
      <c r="V1048" s="80"/>
      <c r="W1048" s="80"/>
      <c r="X1048" s="80"/>
      <c r="Y1048" s="80"/>
      <c r="Z1048" s="80"/>
      <c r="AA1048" s="80"/>
      <c r="AB1048" s="80"/>
      <c r="AC1048" s="80"/>
      <c r="AD1048" s="80"/>
      <c r="AE1048" s="80"/>
      <c r="AF1048" s="80"/>
      <c r="AG1048" s="80"/>
    </row>
    <row r="1049" spans="1:33" ht="13.8">
      <c r="A1049" s="84"/>
      <c r="B1049" s="84"/>
      <c r="C1049" s="84"/>
      <c r="D1049" s="84"/>
      <c r="E1049" s="80"/>
      <c r="F1049" s="80"/>
      <c r="G1049" s="80"/>
      <c r="H1049" s="80"/>
      <c r="I1049" s="80"/>
      <c r="J1049" s="80"/>
      <c r="K1049" s="107"/>
      <c r="L1049" s="80"/>
      <c r="M1049" s="80"/>
      <c r="N1049" s="80"/>
      <c r="O1049" s="80"/>
      <c r="P1049" s="80"/>
      <c r="Q1049" s="80"/>
      <c r="R1049" s="80"/>
      <c r="S1049" s="80"/>
      <c r="T1049" s="80"/>
      <c r="U1049" s="80"/>
      <c r="V1049" s="80"/>
      <c r="W1049" s="80"/>
      <c r="X1049" s="80"/>
      <c r="Y1049" s="80"/>
      <c r="Z1049" s="80"/>
      <c r="AA1049" s="80"/>
      <c r="AB1049" s="80"/>
      <c r="AC1049" s="80"/>
      <c r="AD1049" s="80"/>
      <c r="AE1049" s="80"/>
      <c r="AF1049" s="80"/>
      <c r="AG1049" s="80"/>
    </row>
    <row r="1050" spans="1:33" ht="13.8">
      <c r="A1050" s="84"/>
      <c r="B1050" s="84"/>
      <c r="C1050" s="84"/>
      <c r="D1050" s="84"/>
      <c r="E1050" s="80"/>
      <c r="F1050" s="80"/>
      <c r="G1050" s="80"/>
      <c r="H1050" s="80"/>
      <c r="I1050" s="80"/>
      <c r="J1050" s="80"/>
      <c r="K1050" s="107"/>
      <c r="L1050" s="80"/>
      <c r="M1050" s="80"/>
      <c r="N1050" s="80"/>
      <c r="O1050" s="80"/>
      <c r="P1050" s="80"/>
      <c r="Q1050" s="80"/>
      <c r="R1050" s="80"/>
      <c r="S1050" s="80"/>
      <c r="T1050" s="80"/>
      <c r="U1050" s="80"/>
      <c r="V1050" s="80"/>
      <c r="W1050" s="80"/>
      <c r="X1050" s="80"/>
      <c r="Y1050" s="80"/>
      <c r="Z1050" s="80"/>
      <c r="AA1050" s="80"/>
      <c r="AB1050" s="80"/>
      <c r="AC1050" s="80"/>
      <c r="AD1050" s="80"/>
      <c r="AE1050" s="80"/>
      <c r="AF1050" s="80"/>
      <c r="AG1050" s="80"/>
    </row>
    <row r="1051" spans="1:33" ht="13.8">
      <c r="A1051" s="84"/>
      <c r="B1051" s="84"/>
      <c r="C1051" s="84"/>
      <c r="D1051" s="84"/>
      <c r="E1051" s="80"/>
      <c r="F1051" s="80"/>
      <c r="G1051" s="80"/>
      <c r="H1051" s="80"/>
      <c r="I1051" s="80"/>
      <c r="J1051" s="80"/>
      <c r="K1051" s="107"/>
      <c r="L1051" s="80"/>
      <c r="M1051" s="80"/>
      <c r="N1051" s="80"/>
      <c r="O1051" s="80"/>
      <c r="P1051" s="80"/>
      <c r="Q1051" s="80"/>
      <c r="R1051" s="80"/>
      <c r="S1051" s="80"/>
      <c r="T1051" s="80"/>
      <c r="U1051" s="80"/>
      <c r="V1051" s="80"/>
      <c r="W1051" s="80"/>
      <c r="X1051" s="80"/>
      <c r="Y1051" s="80"/>
      <c r="Z1051" s="80"/>
      <c r="AA1051" s="80"/>
      <c r="AB1051" s="80"/>
      <c r="AC1051" s="80"/>
      <c r="AD1051" s="80"/>
      <c r="AE1051" s="80"/>
      <c r="AF1051" s="80"/>
      <c r="AG1051" s="80"/>
    </row>
    <row r="1052" spans="1:33" ht="13.8">
      <c r="A1052" s="84"/>
      <c r="B1052" s="84"/>
      <c r="C1052" s="84"/>
      <c r="D1052" s="84"/>
      <c r="E1052" s="80"/>
      <c r="F1052" s="80"/>
      <c r="G1052" s="80"/>
      <c r="H1052" s="80"/>
      <c r="I1052" s="80"/>
      <c r="J1052" s="80"/>
      <c r="K1052" s="107"/>
      <c r="L1052" s="80"/>
      <c r="M1052" s="80"/>
      <c r="N1052" s="80"/>
      <c r="O1052" s="80"/>
      <c r="P1052" s="80"/>
      <c r="Q1052" s="80"/>
      <c r="R1052" s="80"/>
      <c r="S1052" s="80"/>
      <c r="T1052" s="80"/>
      <c r="U1052" s="80"/>
      <c r="V1052" s="80"/>
      <c r="W1052" s="80"/>
      <c r="X1052" s="80"/>
      <c r="Y1052" s="80"/>
      <c r="Z1052" s="80"/>
      <c r="AA1052" s="80"/>
      <c r="AB1052" s="80"/>
      <c r="AC1052" s="80"/>
      <c r="AD1052" s="80"/>
      <c r="AE1052" s="80"/>
      <c r="AF1052" s="80"/>
      <c r="AG1052" s="80"/>
    </row>
    <row r="1053" spans="1:33" ht="13.8">
      <c r="A1053" s="84"/>
      <c r="B1053" s="84"/>
      <c r="C1053" s="84"/>
      <c r="D1053" s="84"/>
      <c r="E1053" s="80"/>
      <c r="F1053" s="80"/>
      <c r="G1053" s="80"/>
      <c r="H1053" s="80"/>
      <c r="I1053" s="80"/>
      <c r="J1053" s="80"/>
      <c r="K1053" s="107"/>
      <c r="L1053" s="80"/>
      <c r="M1053" s="80"/>
      <c r="N1053" s="80"/>
      <c r="O1053" s="80"/>
      <c r="P1053" s="80"/>
      <c r="Q1053" s="80"/>
      <c r="R1053" s="80"/>
      <c r="S1053" s="80"/>
      <c r="T1053" s="80"/>
      <c r="U1053" s="80"/>
      <c r="V1053" s="80"/>
      <c r="W1053" s="80"/>
      <c r="X1053" s="80"/>
      <c r="Y1053" s="80"/>
      <c r="Z1053" s="80"/>
      <c r="AA1053" s="80"/>
      <c r="AB1053" s="80"/>
      <c r="AC1053" s="80"/>
      <c r="AD1053" s="80"/>
      <c r="AE1053" s="80"/>
      <c r="AF1053" s="80"/>
      <c r="AG1053" s="80"/>
    </row>
    <row r="1054" spans="1:33" ht="13.8">
      <c r="A1054" s="84"/>
      <c r="B1054" s="84"/>
      <c r="C1054" s="84"/>
      <c r="D1054" s="84"/>
      <c r="E1054" s="80"/>
      <c r="F1054" s="80"/>
      <c r="G1054" s="80"/>
      <c r="H1054" s="80"/>
      <c r="I1054" s="80"/>
      <c r="J1054" s="80"/>
      <c r="K1054" s="107"/>
      <c r="L1054" s="80"/>
      <c r="M1054" s="80"/>
      <c r="N1054" s="80"/>
      <c r="O1054" s="80"/>
      <c r="P1054" s="80"/>
      <c r="Q1054" s="80"/>
      <c r="R1054" s="80"/>
      <c r="S1054" s="80"/>
      <c r="T1054" s="80"/>
      <c r="U1054" s="80"/>
      <c r="V1054" s="80"/>
      <c r="W1054" s="80"/>
      <c r="X1054" s="80"/>
      <c r="Y1054" s="80"/>
      <c r="Z1054" s="80"/>
      <c r="AA1054" s="80"/>
      <c r="AB1054" s="80"/>
      <c r="AC1054" s="80"/>
      <c r="AD1054" s="80"/>
      <c r="AE1054" s="80"/>
      <c r="AF1054" s="80"/>
      <c r="AG1054" s="80"/>
    </row>
    <row r="1055" spans="1:33" ht="13.8">
      <c r="A1055" s="84"/>
      <c r="B1055" s="84"/>
      <c r="C1055" s="84"/>
      <c r="D1055" s="84"/>
      <c r="E1055" s="80"/>
      <c r="F1055" s="80"/>
      <c r="G1055" s="80"/>
      <c r="H1055" s="80"/>
      <c r="I1055" s="80"/>
      <c r="J1055" s="80"/>
      <c r="K1055" s="107"/>
      <c r="L1055" s="80"/>
      <c r="M1055" s="80"/>
      <c r="N1055" s="80"/>
      <c r="O1055" s="80"/>
      <c r="P1055" s="80"/>
      <c r="Q1055" s="80"/>
      <c r="R1055" s="80"/>
      <c r="S1055" s="80"/>
      <c r="T1055" s="80"/>
      <c r="U1055" s="80"/>
      <c r="V1055" s="80"/>
      <c r="W1055" s="80"/>
      <c r="X1055" s="80"/>
      <c r="Y1055" s="80"/>
      <c r="Z1055" s="80"/>
      <c r="AA1055" s="80"/>
      <c r="AB1055" s="80"/>
      <c r="AC1055" s="80"/>
      <c r="AD1055" s="80"/>
      <c r="AE1055" s="80"/>
      <c r="AF1055" s="80"/>
      <c r="AG1055" s="80"/>
    </row>
    <row r="1056" spans="1:33" ht="13.8">
      <c r="A1056" s="84"/>
      <c r="B1056" s="84"/>
      <c r="C1056" s="84"/>
      <c r="D1056" s="84"/>
      <c r="E1056" s="80"/>
      <c r="F1056" s="80"/>
      <c r="G1056" s="80"/>
      <c r="H1056" s="80"/>
      <c r="I1056" s="80"/>
      <c r="J1056" s="80"/>
      <c r="K1056" s="107"/>
      <c r="L1056" s="80"/>
      <c r="M1056" s="80"/>
      <c r="N1056" s="80"/>
      <c r="O1056" s="80"/>
      <c r="P1056" s="80"/>
      <c r="Q1056" s="80"/>
      <c r="R1056" s="80"/>
      <c r="S1056" s="80"/>
      <c r="T1056" s="80"/>
      <c r="U1056" s="80"/>
      <c r="V1056" s="80"/>
      <c r="W1056" s="80"/>
      <c r="X1056" s="80"/>
      <c r="Y1056" s="80"/>
      <c r="Z1056" s="80"/>
      <c r="AA1056" s="80"/>
      <c r="AB1056" s="80"/>
      <c r="AC1056" s="80"/>
      <c r="AD1056" s="80"/>
      <c r="AE1056" s="80"/>
      <c r="AF1056" s="80"/>
      <c r="AG1056" s="80"/>
    </row>
    <row r="1057" spans="1:33" ht="13.8">
      <c r="A1057" s="84"/>
      <c r="B1057" s="84"/>
      <c r="C1057" s="84"/>
      <c r="D1057" s="84"/>
      <c r="E1057" s="80"/>
      <c r="F1057" s="80"/>
      <c r="G1057" s="80"/>
      <c r="H1057" s="80"/>
      <c r="I1057" s="80"/>
      <c r="J1057" s="80"/>
      <c r="K1057" s="107"/>
      <c r="L1057" s="80"/>
      <c r="M1057" s="80"/>
      <c r="N1057" s="80"/>
      <c r="O1057" s="80"/>
      <c r="P1057" s="80"/>
      <c r="Q1057" s="80"/>
      <c r="R1057" s="80"/>
      <c r="S1057" s="80"/>
      <c r="T1057" s="80"/>
      <c r="U1057" s="80"/>
      <c r="V1057" s="80"/>
      <c r="W1057" s="80"/>
      <c r="X1057" s="80"/>
      <c r="Y1057" s="80"/>
      <c r="Z1057" s="80"/>
      <c r="AA1057" s="80"/>
      <c r="AB1057" s="80"/>
      <c r="AC1057" s="80"/>
      <c r="AD1057" s="80"/>
      <c r="AE1057" s="80"/>
      <c r="AF1057" s="80"/>
      <c r="AG1057" s="80"/>
    </row>
    <row r="1058" spans="1:33" ht="13.8">
      <c r="A1058" s="84"/>
      <c r="B1058" s="84"/>
      <c r="C1058" s="84"/>
      <c r="D1058" s="84"/>
      <c r="E1058" s="80"/>
      <c r="F1058" s="80"/>
      <c r="G1058" s="80"/>
      <c r="H1058" s="80"/>
      <c r="I1058" s="80"/>
      <c r="J1058" s="80"/>
      <c r="K1058" s="107"/>
      <c r="L1058" s="80"/>
      <c r="M1058" s="80"/>
      <c r="N1058" s="80"/>
      <c r="O1058" s="80"/>
      <c r="P1058" s="80"/>
      <c r="Q1058" s="80"/>
      <c r="R1058" s="80"/>
      <c r="S1058" s="80"/>
      <c r="T1058" s="80"/>
      <c r="U1058" s="80"/>
      <c r="V1058" s="80"/>
      <c r="W1058" s="80"/>
      <c r="X1058" s="80"/>
      <c r="Y1058" s="80"/>
      <c r="Z1058" s="80"/>
      <c r="AA1058" s="80"/>
      <c r="AB1058" s="80"/>
      <c r="AC1058" s="80"/>
      <c r="AD1058" s="80"/>
      <c r="AE1058" s="80"/>
      <c r="AF1058" s="80"/>
      <c r="AG1058" s="80"/>
    </row>
    <row r="1059" spans="1:33" ht="13.8">
      <c r="A1059" s="84"/>
      <c r="B1059" s="84"/>
      <c r="C1059" s="84"/>
      <c r="D1059" s="84"/>
      <c r="E1059" s="80"/>
      <c r="F1059" s="80"/>
      <c r="G1059" s="80"/>
      <c r="H1059" s="80"/>
      <c r="I1059" s="80"/>
      <c r="J1059" s="80"/>
      <c r="K1059" s="107"/>
      <c r="L1059" s="80"/>
      <c r="M1059" s="80"/>
      <c r="N1059" s="80"/>
      <c r="O1059" s="80"/>
      <c r="P1059" s="80"/>
      <c r="Q1059" s="80"/>
      <c r="R1059" s="80"/>
      <c r="S1059" s="80"/>
      <c r="T1059" s="80"/>
      <c r="U1059" s="80"/>
      <c r="V1059" s="80"/>
      <c r="W1059" s="80"/>
      <c r="X1059" s="80"/>
      <c r="Y1059" s="80"/>
      <c r="Z1059" s="80"/>
      <c r="AA1059" s="80"/>
      <c r="AB1059" s="80"/>
      <c r="AC1059" s="80"/>
      <c r="AD1059" s="80"/>
      <c r="AE1059" s="80"/>
      <c r="AF1059" s="80"/>
      <c r="AG1059" s="80"/>
    </row>
    <row r="1060" spans="1:33" ht="13.8">
      <c r="A1060" s="84"/>
      <c r="B1060" s="84"/>
      <c r="C1060" s="84"/>
      <c r="D1060" s="84"/>
      <c r="E1060" s="80"/>
      <c r="F1060" s="80"/>
      <c r="G1060" s="80"/>
      <c r="H1060" s="80"/>
      <c r="I1060" s="80"/>
      <c r="J1060" s="80"/>
      <c r="K1060" s="107"/>
      <c r="L1060" s="80"/>
      <c r="M1060" s="80"/>
      <c r="N1060" s="80"/>
      <c r="O1060" s="80"/>
      <c r="P1060" s="80"/>
      <c r="Q1060" s="80"/>
      <c r="R1060" s="80"/>
      <c r="S1060" s="80"/>
      <c r="T1060" s="80"/>
      <c r="U1060" s="80"/>
      <c r="V1060" s="80"/>
      <c r="W1060" s="80"/>
      <c r="X1060" s="80"/>
      <c r="Y1060" s="80"/>
      <c r="Z1060" s="80"/>
      <c r="AA1060" s="80"/>
      <c r="AB1060" s="80"/>
      <c r="AC1060" s="80"/>
      <c r="AD1060" s="80"/>
      <c r="AE1060" s="80"/>
      <c r="AF1060" s="80"/>
      <c r="AG1060" s="80"/>
    </row>
    <row r="1061" spans="1:33" ht="13.8">
      <c r="A1061" s="84"/>
      <c r="B1061" s="84"/>
      <c r="C1061" s="84"/>
      <c r="D1061" s="84"/>
      <c r="E1061" s="80"/>
      <c r="F1061" s="80"/>
      <c r="G1061" s="80"/>
      <c r="H1061" s="80"/>
      <c r="I1061" s="80"/>
      <c r="J1061" s="80"/>
      <c r="K1061" s="107"/>
      <c r="L1061" s="80"/>
      <c r="M1061" s="80"/>
      <c r="N1061" s="80"/>
      <c r="O1061" s="80"/>
      <c r="P1061" s="80"/>
      <c r="Q1061" s="80"/>
      <c r="R1061" s="80"/>
      <c r="S1061" s="80"/>
      <c r="T1061" s="80"/>
      <c r="U1061" s="80"/>
      <c r="V1061" s="80"/>
      <c r="W1061" s="80"/>
      <c r="X1061" s="80"/>
      <c r="Y1061" s="80"/>
      <c r="Z1061" s="80"/>
      <c r="AA1061" s="80"/>
      <c r="AB1061" s="80"/>
      <c r="AC1061" s="80"/>
      <c r="AD1061" s="80"/>
      <c r="AE1061" s="80"/>
      <c r="AF1061" s="80"/>
      <c r="AG1061" s="80"/>
    </row>
    <row r="1062" spans="1:33" ht="13.8">
      <c r="A1062" s="84"/>
      <c r="B1062" s="84"/>
      <c r="C1062" s="84"/>
      <c r="D1062" s="84"/>
      <c r="E1062" s="80"/>
      <c r="F1062" s="80"/>
      <c r="G1062" s="80"/>
      <c r="H1062" s="80"/>
      <c r="I1062" s="80"/>
      <c r="J1062" s="80"/>
      <c r="K1062" s="107"/>
      <c r="L1062" s="80"/>
      <c r="M1062" s="80"/>
      <c r="N1062" s="80"/>
      <c r="O1062" s="80"/>
      <c r="P1062" s="80"/>
      <c r="Q1062" s="80"/>
      <c r="R1062" s="80"/>
      <c r="S1062" s="80"/>
      <c r="T1062" s="80"/>
      <c r="U1062" s="80"/>
      <c r="V1062" s="80"/>
      <c r="W1062" s="80"/>
      <c r="X1062" s="80"/>
      <c r="Y1062" s="80"/>
      <c r="Z1062" s="80"/>
      <c r="AA1062" s="80"/>
      <c r="AB1062" s="80"/>
      <c r="AC1062" s="80"/>
      <c r="AD1062" s="80"/>
      <c r="AE1062" s="80"/>
      <c r="AF1062" s="80"/>
      <c r="AG1062" s="80"/>
    </row>
    <row r="1063" spans="1:33" ht="13.8">
      <c r="A1063" s="84"/>
      <c r="B1063" s="84"/>
      <c r="C1063" s="84"/>
      <c r="D1063" s="84"/>
      <c r="E1063" s="80"/>
      <c r="F1063" s="80"/>
      <c r="G1063" s="80"/>
      <c r="H1063" s="80"/>
      <c r="I1063" s="80"/>
      <c r="J1063" s="80"/>
      <c r="K1063" s="107"/>
      <c r="L1063" s="80"/>
      <c r="M1063" s="80"/>
      <c r="N1063" s="80"/>
      <c r="O1063" s="80"/>
      <c r="P1063" s="80"/>
      <c r="Q1063" s="80"/>
      <c r="R1063" s="80"/>
      <c r="S1063" s="80"/>
      <c r="T1063" s="80"/>
      <c r="U1063" s="80"/>
      <c r="V1063" s="80"/>
      <c r="W1063" s="80"/>
      <c r="X1063" s="80"/>
      <c r="Y1063" s="80"/>
      <c r="Z1063" s="80"/>
      <c r="AA1063" s="80"/>
      <c r="AB1063" s="80"/>
      <c r="AC1063" s="80"/>
      <c r="AD1063" s="80"/>
      <c r="AE1063" s="80"/>
      <c r="AF1063" s="80"/>
      <c r="AG1063" s="80"/>
    </row>
    <row r="1064" spans="1:33" ht="13.8">
      <c r="A1064" s="84"/>
      <c r="B1064" s="84"/>
      <c r="C1064" s="84"/>
      <c r="D1064" s="84"/>
      <c r="E1064" s="80"/>
      <c r="F1064" s="80"/>
      <c r="G1064" s="80"/>
      <c r="H1064" s="80"/>
      <c r="I1064" s="80"/>
      <c r="J1064" s="80"/>
      <c r="K1064" s="107"/>
      <c r="L1064" s="80"/>
      <c r="M1064" s="80"/>
      <c r="N1064" s="80"/>
      <c r="O1064" s="80"/>
      <c r="P1064" s="80"/>
      <c r="Q1064" s="80"/>
      <c r="R1064" s="80"/>
      <c r="S1064" s="80"/>
      <c r="T1064" s="80"/>
      <c r="U1064" s="80"/>
      <c r="V1064" s="80"/>
      <c r="W1064" s="80"/>
      <c r="X1064" s="80"/>
      <c r="Y1064" s="80"/>
      <c r="Z1064" s="80"/>
      <c r="AA1064" s="80"/>
      <c r="AB1064" s="80"/>
      <c r="AC1064" s="80"/>
      <c r="AD1064" s="80"/>
      <c r="AE1064" s="80"/>
      <c r="AF1064" s="80"/>
      <c r="AG1064" s="80"/>
    </row>
    <row r="1065" spans="1:33" ht="13.8">
      <c r="A1065" s="84"/>
      <c r="B1065" s="84"/>
      <c r="C1065" s="84"/>
      <c r="D1065" s="84"/>
      <c r="E1065" s="80"/>
      <c r="F1065" s="80"/>
      <c r="G1065" s="80"/>
      <c r="H1065" s="80"/>
      <c r="I1065" s="80"/>
      <c r="J1065" s="80"/>
      <c r="K1065" s="107"/>
      <c r="L1065" s="80"/>
      <c r="M1065" s="80"/>
      <c r="N1065" s="80"/>
      <c r="O1065" s="80"/>
      <c r="P1065" s="80"/>
      <c r="Q1065" s="80"/>
      <c r="R1065" s="80"/>
      <c r="S1065" s="80"/>
      <c r="T1065" s="80"/>
      <c r="U1065" s="80"/>
      <c r="V1065" s="80"/>
      <c r="W1065" s="80"/>
      <c r="X1065" s="80"/>
      <c r="Y1065" s="80"/>
      <c r="Z1065" s="80"/>
      <c r="AA1065" s="80"/>
      <c r="AB1065" s="80"/>
      <c r="AC1065" s="80"/>
      <c r="AD1065" s="80"/>
      <c r="AE1065" s="80"/>
      <c r="AF1065" s="80"/>
      <c r="AG1065" s="80"/>
    </row>
    <row r="1066" spans="1:33" ht="13.8">
      <c r="A1066" s="84"/>
      <c r="B1066" s="84"/>
      <c r="C1066" s="84"/>
      <c r="D1066" s="84"/>
      <c r="E1066" s="80"/>
      <c r="F1066" s="80"/>
      <c r="G1066" s="80"/>
      <c r="H1066" s="80"/>
      <c r="I1066" s="80"/>
      <c r="J1066" s="80"/>
      <c r="K1066" s="107"/>
      <c r="L1066" s="80"/>
      <c r="M1066" s="80"/>
      <c r="N1066" s="80"/>
      <c r="O1066" s="80"/>
      <c r="P1066" s="80"/>
      <c r="Q1066" s="80"/>
      <c r="R1066" s="80"/>
      <c r="S1066" s="80"/>
      <c r="T1066" s="80"/>
      <c r="U1066" s="80"/>
      <c r="V1066" s="80"/>
      <c r="W1066" s="80"/>
      <c r="X1066" s="80"/>
      <c r="Y1066" s="80"/>
      <c r="Z1066" s="80"/>
      <c r="AA1066" s="80"/>
      <c r="AB1066" s="80"/>
      <c r="AC1066" s="80"/>
      <c r="AD1066" s="80"/>
      <c r="AE1066" s="80"/>
      <c r="AF1066" s="80"/>
      <c r="AG1066" s="80"/>
    </row>
    <row r="1067" spans="1:33" ht="13.8">
      <c r="A1067" s="84"/>
      <c r="B1067" s="84"/>
      <c r="C1067" s="84"/>
      <c r="D1067" s="84"/>
      <c r="E1067" s="80"/>
      <c r="F1067" s="80"/>
      <c r="G1067" s="80"/>
      <c r="H1067" s="80"/>
      <c r="I1067" s="80"/>
      <c r="J1067" s="80"/>
      <c r="K1067" s="107"/>
      <c r="L1067" s="80"/>
      <c r="M1067" s="80"/>
      <c r="N1067" s="80"/>
      <c r="O1067" s="80"/>
      <c r="P1067" s="80"/>
      <c r="Q1067" s="80"/>
      <c r="R1067" s="80"/>
      <c r="S1067" s="80"/>
      <c r="T1067" s="80"/>
      <c r="U1067" s="80"/>
      <c r="V1067" s="80"/>
      <c r="W1067" s="80"/>
      <c r="X1067" s="80"/>
      <c r="Y1067" s="80"/>
      <c r="Z1067" s="80"/>
      <c r="AA1067" s="80"/>
      <c r="AB1067" s="80"/>
      <c r="AC1067" s="80"/>
      <c r="AD1067" s="80"/>
      <c r="AE1067" s="80"/>
      <c r="AF1067" s="80"/>
      <c r="AG1067" s="80"/>
    </row>
    <row r="1068" spans="1:33" ht="13.8">
      <c r="A1068" s="84"/>
      <c r="B1068" s="84"/>
      <c r="C1068" s="84"/>
      <c r="D1068" s="84"/>
      <c r="E1068" s="80"/>
      <c r="F1068" s="80"/>
      <c r="G1068" s="80"/>
      <c r="H1068" s="80"/>
      <c r="I1068" s="80"/>
      <c r="J1068" s="80"/>
      <c r="K1068" s="107"/>
      <c r="L1068" s="80"/>
      <c r="M1068" s="80"/>
      <c r="N1068" s="80"/>
      <c r="O1068" s="80"/>
      <c r="P1068" s="80"/>
      <c r="Q1068" s="80"/>
      <c r="R1068" s="80"/>
      <c r="S1068" s="80"/>
      <c r="T1068" s="80"/>
      <c r="U1068" s="80"/>
      <c r="V1068" s="80"/>
      <c r="W1068" s="80"/>
      <c r="X1068" s="80"/>
      <c r="Y1068" s="80"/>
      <c r="Z1068" s="80"/>
      <c r="AA1068" s="80"/>
      <c r="AB1068" s="80"/>
      <c r="AC1068" s="80"/>
      <c r="AD1068" s="80"/>
      <c r="AE1068" s="80"/>
      <c r="AF1068" s="80"/>
      <c r="AG1068" s="80"/>
    </row>
    <row r="1069" spans="1:33" ht="13.8">
      <c r="A1069" s="84"/>
      <c r="B1069" s="84"/>
      <c r="C1069" s="84"/>
      <c r="D1069" s="84"/>
      <c r="E1069" s="80"/>
      <c r="F1069" s="80"/>
      <c r="G1069" s="80"/>
      <c r="H1069" s="80"/>
      <c r="I1069" s="80"/>
      <c r="J1069" s="80"/>
      <c r="K1069" s="107"/>
      <c r="L1069" s="80"/>
      <c r="M1069" s="80"/>
      <c r="N1069" s="80"/>
      <c r="O1069" s="80"/>
      <c r="P1069" s="80"/>
      <c r="Q1069" s="80"/>
      <c r="R1069" s="80"/>
      <c r="S1069" s="80"/>
      <c r="T1069" s="80"/>
      <c r="U1069" s="80"/>
      <c r="V1069" s="80"/>
      <c r="W1069" s="80"/>
      <c r="X1069" s="80"/>
      <c r="Y1069" s="80"/>
      <c r="Z1069" s="80"/>
      <c r="AA1069" s="80"/>
      <c r="AB1069" s="80"/>
      <c r="AC1069" s="80"/>
      <c r="AD1069" s="80"/>
      <c r="AE1069" s="80"/>
      <c r="AF1069" s="80"/>
      <c r="AG1069" s="80"/>
    </row>
    <row r="1070" spans="1:33" ht="13.8">
      <c r="A1070" s="84"/>
      <c r="B1070" s="84"/>
      <c r="C1070" s="84"/>
      <c r="D1070" s="84"/>
      <c r="E1070" s="80"/>
      <c r="F1070" s="80"/>
      <c r="G1070" s="80"/>
      <c r="H1070" s="80"/>
      <c r="I1070" s="80"/>
      <c r="J1070" s="80"/>
      <c r="K1070" s="107"/>
      <c r="L1070" s="80"/>
      <c r="M1070" s="80"/>
      <c r="N1070" s="80"/>
      <c r="O1070" s="80"/>
      <c r="P1070" s="80"/>
      <c r="Q1070" s="80"/>
      <c r="R1070" s="80"/>
      <c r="S1070" s="80"/>
      <c r="T1070" s="80"/>
      <c r="U1070" s="80"/>
      <c r="V1070" s="80"/>
      <c r="W1070" s="80"/>
      <c r="X1070" s="80"/>
      <c r="Y1070" s="80"/>
      <c r="Z1070" s="80"/>
      <c r="AA1070" s="80"/>
      <c r="AB1070" s="80"/>
      <c r="AC1070" s="80"/>
      <c r="AD1070" s="80"/>
      <c r="AE1070" s="80"/>
      <c r="AF1070" s="80"/>
      <c r="AG1070" s="80"/>
    </row>
    <row r="1071" spans="1:33" ht="13.8">
      <c r="A1071" s="84"/>
      <c r="B1071" s="84"/>
      <c r="C1071" s="84"/>
      <c r="D1071" s="84"/>
      <c r="E1071" s="80"/>
      <c r="F1071" s="80"/>
      <c r="G1071" s="80"/>
      <c r="H1071" s="80"/>
      <c r="I1071" s="80"/>
      <c r="J1071" s="80"/>
      <c r="K1071" s="107"/>
      <c r="L1071" s="80"/>
      <c r="M1071" s="80"/>
      <c r="N1071" s="80"/>
      <c r="O1071" s="80"/>
      <c r="P1071" s="80"/>
      <c r="Q1071" s="80"/>
      <c r="R1071" s="80"/>
      <c r="S1071" s="80"/>
      <c r="T1071" s="80"/>
      <c r="U1071" s="80"/>
      <c r="V1071" s="80"/>
      <c r="W1071" s="80"/>
      <c r="X1071" s="80"/>
      <c r="Y1071" s="80"/>
      <c r="Z1071" s="80"/>
      <c r="AA1071" s="80"/>
      <c r="AB1071" s="80"/>
      <c r="AC1071" s="80"/>
      <c r="AD1071" s="80"/>
      <c r="AE1071" s="80"/>
      <c r="AF1071" s="80"/>
      <c r="AG1071" s="80"/>
    </row>
    <row r="1072" spans="1:33" ht="13.8">
      <c r="A1072" s="84"/>
      <c r="B1072" s="84"/>
      <c r="C1072" s="84"/>
      <c r="D1072" s="84"/>
      <c r="E1072" s="80"/>
      <c r="F1072" s="80"/>
      <c r="G1072" s="80"/>
      <c r="H1072" s="80"/>
      <c r="I1072" s="80"/>
      <c r="J1072" s="80"/>
      <c r="K1072" s="107"/>
      <c r="L1072" s="80"/>
      <c r="M1072" s="80"/>
      <c r="N1072" s="80"/>
      <c r="O1072" s="80"/>
      <c r="P1072" s="80"/>
      <c r="Q1072" s="80"/>
      <c r="R1072" s="80"/>
      <c r="S1072" s="80"/>
      <c r="T1072" s="80"/>
      <c r="U1072" s="80"/>
      <c r="V1072" s="80"/>
      <c r="W1072" s="80"/>
      <c r="X1072" s="80"/>
      <c r="Y1072" s="80"/>
      <c r="Z1072" s="80"/>
      <c r="AA1072" s="80"/>
      <c r="AB1072" s="80"/>
      <c r="AC1072" s="80"/>
      <c r="AD1072" s="80"/>
      <c r="AE1072" s="80"/>
      <c r="AF1072" s="80"/>
      <c r="AG1072" s="80"/>
    </row>
    <row r="1073" spans="1:33" ht="13.8">
      <c r="A1073" s="84"/>
      <c r="B1073" s="84"/>
      <c r="C1073" s="84"/>
      <c r="D1073" s="84"/>
      <c r="E1073" s="80"/>
      <c r="F1073" s="80"/>
      <c r="G1073" s="80"/>
      <c r="H1073" s="80"/>
      <c r="I1073" s="80"/>
      <c r="J1073" s="80"/>
      <c r="K1073" s="107"/>
      <c r="L1073" s="80"/>
      <c r="M1073" s="80"/>
      <c r="N1073" s="80"/>
      <c r="O1073" s="80"/>
      <c r="P1073" s="80"/>
      <c r="Q1073" s="80"/>
      <c r="R1073" s="80"/>
      <c r="S1073" s="80"/>
      <c r="T1073" s="80"/>
      <c r="U1073" s="80"/>
      <c r="V1073" s="80"/>
      <c r="W1073" s="80"/>
      <c r="X1073" s="80"/>
      <c r="Y1073" s="80"/>
      <c r="Z1073" s="80"/>
      <c r="AA1073" s="80"/>
      <c r="AB1073" s="80"/>
      <c r="AC1073" s="80"/>
      <c r="AD1073" s="80"/>
      <c r="AE1073" s="80"/>
      <c r="AF1073" s="80"/>
      <c r="AG1073" s="80"/>
    </row>
    <row r="1074" spans="1:33" ht="13.8">
      <c r="A1074" s="84"/>
      <c r="B1074" s="84"/>
      <c r="C1074" s="84"/>
      <c r="D1074" s="84"/>
      <c r="E1074" s="80"/>
      <c r="F1074" s="80"/>
      <c r="G1074" s="80"/>
      <c r="H1074" s="80"/>
      <c r="I1074" s="80"/>
      <c r="J1074" s="80"/>
      <c r="K1074" s="107"/>
      <c r="L1074" s="80"/>
      <c r="M1074" s="80"/>
      <c r="N1074" s="80"/>
      <c r="O1074" s="80"/>
      <c r="P1074" s="80"/>
      <c r="Q1074" s="80"/>
      <c r="R1074" s="80"/>
      <c r="S1074" s="80"/>
      <c r="T1074" s="80"/>
      <c r="U1074" s="80"/>
      <c r="V1074" s="80"/>
      <c r="W1074" s="80"/>
      <c r="X1074" s="80"/>
      <c r="Y1074" s="80"/>
      <c r="Z1074" s="80"/>
      <c r="AA1074" s="80"/>
      <c r="AB1074" s="80"/>
      <c r="AC1074" s="80"/>
      <c r="AD1074" s="80"/>
      <c r="AE1074" s="80"/>
      <c r="AF1074" s="80"/>
      <c r="AG1074" s="80"/>
    </row>
    <row r="1075" spans="1:33" ht="13.8">
      <c r="A1075" s="84"/>
      <c r="B1075" s="84"/>
      <c r="C1075" s="84"/>
      <c r="D1075" s="84"/>
      <c r="E1075" s="80"/>
      <c r="F1075" s="80"/>
      <c r="G1075" s="80"/>
      <c r="H1075" s="80"/>
      <c r="I1075" s="80"/>
      <c r="J1075" s="80"/>
      <c r="K1075" s="107"/>
      <c r="L1075" s="80"/>
      <c r="M1075" s="80"/>
      <c r="N1075" s="80"/>
      <c r="O1075" s="80"/>
      <c r="P1075" s="80"/>
      <c r="Q1075" s="80"/>
      <c r="R1075" s="80"/>
      <c r="S1075" s="80"/>
      <c r="T1075" s="80"/>
      <c r="U1075" s="80"/>
      <c r="V1075" s="80"/>
      <c r="W1075" s="80"/>
      <c r="X1075" s="80"/>
      <c r="Y1075" s="80"/>
      <c r="Z1075" s="80"/>
      <c r="AA1075" s="80"/>
      <c r="AB1075" s="80"/>
      <c r="AC1075" s="80"/>
      <c r="AD1075" s="80"/>
      <c r="AE1075" s="80"/>
      <c r="AF1075" s="80"/>
      <c r="AG1075" s="80"/>
    </row>
    <row r="1076" spans="1:33" ht="13.8">
      <c r="A1076" s="84"/>
      <c r="B1076" s="84"/>
      <c r="C1076" s="84"/>
      <c r="D1076" s="84"/>
      <c r="E1076" s="80"/>
      <c r="F1076" s="80"/>
      <c r="G1076" s="80"/>
      <c r="H1076" s="80"/>
      <c r="I1076" s="80"/>
      <c r="J1076" s="80"/>
      <c r="K1076" s="107"/>
      <c r="L1076" s="80"/>
      <c r="M1076" s="80"/>
      <c r="N1076" s="80"/>
      <c r="O1076" s="80"/>
      <c r="P1076" s="80"/>
      <c r="Q1076" s="80"/>
      <c r="R1076" s="80"/>
      <c r="S1076" s="80"/>
      <c r="T1076" s="80"/>
      <c r="U1076" s="80"/>
      <c r="V1076" s="80"/>
      <c r="W1076" s="80"/>
      <c r="X1076" s="80"/>
      <c r="Y1076" s="80"/>
      <c r="Z1076" s="80"/>
      <c r="AA1076" s="80"/>
      <c r="AB1076" s="80"/>
      <c r="AC1076" s="80"/>
      <c r="AD1076" s="80"/>
      <c r="AE1076" s="80"/>
      <c r="AF1076" s="80"/>
      <c r="AG1076" s="80"/>
    </row>
    <row r="1077" spans="1:33" ht="13.8">
      <c r="A1077" s="84"/>
      <c r="B1077" s="84"/>
      <c r="C1077" s="84"/>
      <c r="D1077" s="84"/>
      <c r="E1077" s="80"/>
      <c r="F1077" s="80"/>
      <c r="G1077" s="80"/>
      <c r="H1077" s="80"/>
      <c r="I1077" s="80"/>
      <c r="J1077" s="80"/>
      <c r="K1077" s="107"/>
      <c r="L1077" s="80"/>
      <c r="M1077" s="80"/>
      <c r="N1077" s="80"/>
      <c r="O1077" s="80"/>
      <c r="P1077" s="80"/>
      <c r="Q1077" s="80"/>
      <c r="R1077" s="80"/>
      <c r="S1077" s="80"/>
      <c r="T1077" s="80"/>
      <c r="U1077" s="80"/>
      <c r="V1077" s="80"/>
      <c r="W1077" s="80"/>
      <c r="X1077" s="80"/>
      <c r="Y1077" s="80"/>
      <c r="Z1077" s="80"/>
      <c r="AA1077" s="80"/>
      <c r="AB1077" s="80"/>
      <c r="AC1077" s="80"/>
      <c r="AD1077" s="80"/>
      <c r="AE1077" s="80"/>
      <c r="AF1077" s="80"/>
      <c r="AG1077" s="80"/>
    </row>
    <row r="1078" spans="1:33" ht="13.8">
      <c r="A1078" s="84"/>
      <c r="B1078" s="84"/>
      <c r="C1078" s="84"/>
      <c r="D1078" s="84"/>
      <c r="E1078" s="80"/>
      <c r="F1078" s="80"/>
      <c r="G1078" s="80"/>
      <c r="H1078" s="80"/>
      <c r="I1078" s="80"/>
      <c r="J1078" s="80"/>
      <c r="K1078" s="107"/>
      <c r="L1078" s="80"/>
      <c r="M1078" s="80"/>
      <c r="N1078" s="80"/>
      <c r="O1078" s="80"/>
      <c r="P1078" s="80"/>
      <c r="Q1078" s="80"/>
      <c r="R1078" s="80"/>
      <c r="S1078" s="80"/>
      <c r="T1078" s="80"/>
      <c r="U1078" s="80"/>
      <c r="V1078" s="80"/>
      <c r="W1078" s="80"/>
      <c r="X1078" s="80"/>
      <c r="Y1078" s="80"/>
      <c r="Z1078" s="80"/>
      <c r="AA1078" s="80"/>
      <c r="AB1078" s="80"/>
      <c r="AC1078" s="80"/>
      <c r="AD1078" s="80"/>
      <c r="AE1078" s="80"/>
      <c r="AF1078" s="80"/>
      <c r="AG1078" s="80"/>
    </row>
    <row r="1079" spans="1:33" ht="13.8">
      <c r="A1079" s="84"/>
      <c r="B1079" s="84"/>
      <c r="C1079" s="84"/>
      <c r="D1079" s="84"/>
      <c r="E1079" s="80"/>
      <c r="F1079" s="80"/>
      <c r="G1079" s="80"/>
      <c r="H1079" s="80"/>
      <c r="I1079" s="80"/>
      <c r="J1079" s="80"/>
      <c r="K1079" s="107"/>
      <c r="L1079" s="80"/>
      <c r="M1079" s="80"/>
      <c r="N1079" s="80"/>
      <c r="O1079" s="80"/>
      <c r="P1079" s="80"/>
      <c r="Q1079" s="80"/>
      <c r="R1079" s="80"/>
      <c r="S1079" s="80"/>
      <c r="T1079" s="80"/>
      <c r="U1079" s="80"/>
      <c r="V1079" s="80"/>
      <c r="W1079" s="80"/>
      <c r="X1079" s="80"/>
      <c r="Y1079" s="80"/>
      <c r="Z1079" s="80"/>
      <c r="AA1079" s="80"/>
      <c r="AB1079" s="80"/>
      <c r="AC1079" s="80"/>
      <c r="AD1079" s="80"/>
      <c r="AE1079" s="80"/>
      <c r="AF1079" s="80"/>
      <c r="AG1079" s="80"/>
    </row>
    <row r="1080" spans="1:33" ht="13.8">
      <c r="A1080" s="84"/>
      <c r="B1080" s="84"/>
      <c r="C1080" s="84"/>
      <c r="D1080" s="84"/>
      <c r="E1080" s="80"/>
      <c r="F1080" s="80"/>
      <c r="G1080" s="80"/>
      <c r="H1080" s="80"/>
      <c r="I1080" s="80"/>
      <c r="J1080" s="80"/>
      <c r="K1080" s="107"/>
      <c r="L1080" s="80"/>
      <c r="M1080" s="80"/>
      <c r="N1080" s="80"/>
      <c r="O1080" s="80"/>
      <c r="P1080" s="80"/>
      <c r="Q1080" s="80"/>
      <c r="R1080" s="80"/>
      <c r="S1080" s="80"/>
      <c r="T1080" s="80"/>
      <c r="U1080" s="80"/>
      <c r="V1080" s="80"/>
      <c r="W1080" s="80"/>
      <c r="X1080" s="80"/>
      <c r="Y1080" s="80"/>
      <c r="Z1080" s="80"/>
      <c r="AA1080" s="80"/>
      <c r="AB1080" s="80"/>
      <c r="AC1080" s="80"/>
      <c r="AD1080" s="80"/>
      <c r="AE1080" s="80"/>
      <c r="AF1080" s="80"/>
      <c r="AG1080" s="80"/>
    </row>
    <row r="1081" spans="1:33" ht="13.8">
      <c r="A1081" s="84"/>
      <c r="B1081" s="84"/>
      <c r="C1081" s="84"/>
      <c r="D1081" s="84"/>
      <c r="E1081" s="80"/>
      <c r="F1081" s="80"/>
      <c r="G1081" s="80"/>
      <c r="H1081" s="80"/>
      <c r="I1081" s="80"/>
      <c r="J1081" s="80"/>
      <c r="K1081" s="107"/>
      <c r="L1081" s="80"/>
      <c r="M1081" s="80"/>
      <c r="N1081" s="80"/>
      <c r="O1081" s="80"/>
      <c r="P1081" s="80"/>
      <c r="Q1081" s="80"/>
      <c r="R1081" s="80"/>
      <c r="S1081" s="80"/>
      <c r="T1081" s="80"/>
      <c r="U1081" s="80"/>
      <c r="V1081" s="80"/>
      <c r="W1081" s="80"/>
      <c r="X1081" s="80"/>
      <c r="Y1081" s="80"/>
      <c r="Z1081" s="80"/>
      <c r="AA1081" s="80"/>
      <c r="AB1081" s="80"/>
      <c r="AC1081" s="80"/>
      <c r="AD1081" s="80"/>
      <c r="AE1081" s="80"/>
      <c r="AF1081" s="80"/>
      <c r="AG1081" s="80"/>
    </row>
    <row r="1082" spans="1:33" ht="13.8">
      <c r="A1082" s="84"/>
      <c r="B1082" s="84"/>
      <c r="C1082" s="84"/>
      <c r="D1082" s="84"/>
      <c r="E1082" s="80"/>
      <c r="F1082" s="80"/>
      <c r="G1082" s="80"/>
      <c r="H1082" s="80"/>
      <c r="I1082" s="80"/>
      <c r="J1082" s="80"/>
      <c r="K1082" s="107"/>
      <c r="L1082" s="80"/>
      <c r="M1082" s="80"/>
      <c r="N1082" s="80"/>
      <c r="O1082" s="80"/>
      <c r="P1082" s="80"/>
      <c r="Q1082" s="80"/>
      <c r="R1082" s="80"/>
      <c r="S1082" s="80"/>
      <c r="T1082" s="80"/>
      <c r="U1082" s="80"/>
      <c r="V1082" s="80"/>
      <c r="W1082" s="80"/>
      <c r="X1082" s="80"/>
      <c r="Y1082" s="80"/>
      <c r="Z1082" s="80"/>
      <c r="AA1082" s="80"/>
      <c r="AB1082" s="80"/>
      <c r="AC1082" s="80"/>
      <c r="AD1082" s="80"/>
      <c r="AE1082" s="80"/>
      <c r="AF1082" s="80"/>
      <c r="AG1082" s="80"/>
    </row>
    <row r="1083" spans="1:33" ht="13.8">
      <c r="A1083" s="84"/>
      <c r="B1083" s="84"/>
      <c r="C1083" s="84"/>
      <c r="D1083" s="84"/>
      <c r="E1083" s="80"/>
      <c r="F1083" s="80"/>
      <c r="G1083" s="80"/>
      <c r="H1083" s="80"/>
      <c r="I1083" s="80"/>
      <c r="J1083" s="80"/>
      <c r="K1083" s="107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</row>
  </sheetData>
  <autoFilter ref="A1:N90" xr:uid="{00000000-0009-0000-0000-000008000000}"/>
  <dataValidations count="4">
    <dataValidation type="list" allowBlank="1" showErrorMessage="1" sqref="D3:D52 D54:D95" xr:uid="{00000000-0002-0000-0800-000001000000}">
      <formula1>"1,0"</formula1>
    </dataValidation>
    <dataValidation type="list" allowBlank="1" showErrorMessage="1" sqref="H3:H52 H54:H95" xr:uid="{00000000-0002-0000-0800-000002000000}">
      <formula1>"คุณนพคุณ คำเพ็ง,คุณพงศกร จันทวรรณ,คุณธานี สุทธิจรัสโรจน์,คุณวิรัตน์ แก้วมณี,คุณวีระศักดิ์ สะมะลิ ,คุณภาณุพันธ์,คุณชวนินทร์,โอม,ไม่มี,คุณกฤษดา  ทองเนตร,คุณอนวัช กิตติคุณปกรณ์,คุณเกษม นาสุข,คุณอภิสิทธิ์  ศีลสัตย์ ,คุณชวนินทร์  ภักดี"</formula1>
    </dataValidation>
    <dataValidation type="list" allowBlank="1" showErrorMessage="1" sqref="K3:K52 K54:K95" xr:uid="{00000000-0002-0000-0800-000004000000}">
      <formula1>"เสนอ Solution,เสนอราคา,จัดทำ TOR,อยู่ระหว่างพิจารณา,ได้รับ PO รอปิดงาน,ได้งาน+มีงานต่อเนื่อง,ได้งาน+ปิดโครงการ,Holding,ไม่ได้งาน+ปิดโครงการ,อื่นๆ"</formula1>
    </dataValidation>
    <dataValidation type="list" allowBlank="1" showErrorMessage="1" sqref="I2:I95" xr:uid="{00000000-0002-0000-0800-000000000000}">
      <formula1>"คุณธนากร (มอส),คุณจิรานุวัฒน์ (คุณเต้),คุณเจษฎา (กอล์ฟ),คุณวชิระ (บี),คุณอธิป (ฟลุ๊ค),ไม่มี,คุณกาฟีลัน (คาลัง),คุณกฤษฎา (แอร์)"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K1048"/>
  <sheetViews>
    <sheetView workbookViewId="0">
      <selection activeCell="I17" sqref="I17"/>
    </sheetView>
  </sheetViews>
  <sheetFormatPr defaultColWidth="12.5546875" defaultRowHeight="15.75" customHeight="1"/>
  <cols>
    <col min="1" max="1" width="18.5546875" customWidth="1"/>
    <col min="2" max="19" width="12.33203125" customWidth="1"/>
    <col min="20" max="20" width="14.109375" customWidth="1"/>
  </cols>
  <sheetData>
    <row r="1" spans="1:37">
      <c r="A1" s="115" t="s">
        <v>46</v>
      </c>
      <c r="B1" s="116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</row>
    <row r="2" spans="1:37">
      <c r="A2" s="119" t="s">
        <v>115</v>
      </c>
      <c r="B2" s="120" t="s">
        <v>116</v>
      </c>
      <c r="C2" s="120" t="s">
        <v>117</v>
      </c>
      <c r="D2" s="120" t="s">
        <v>118</v>
      </c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</row>
    <row r="3" spans="1:37">
      <c r="A3" s="115" t="s">
        <v>48</v>
      </c>
      <c r="B3" s="122">
        <v>23440</v>
      </c>
      <c r="C3" s="122">
        <v>151270</v>
      </c>
      <c r="D3" s="123">
        <v>9730</v>
      </c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5">
        <f>SUM(B3:S3)</f>
        <v>184440</v>
      </c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</row>
    <row r="4" spans="1:37">
      <c r="A4" s="119" t="s">
        <v>119</v>
      </c>
      <c r="B4" s="119" t="s">
        <v>120</v>
      </c>
      <c r="C4" s="119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</row>
    <row r="5" spans="1:37">
      <c r="A5" s="115" t="s">
        <v>49</v>
      </c>
      <c r="B5" s="122">
        <v>5000</v>
      </c>
      <c r="C5" s="126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5">
        <f>SUM(B5:S5)</f>
        <v>5000</v>
      </c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</row>
    <row r="6" spans="1:37">
      <c r="A6" s="119" t="s">
        <v>121</v>
      </c>
      <c r="B6" s="119" t="s">
        <v>122</v>
      </c>
      <c r="C6" s="120" t="s">
        <v>123</v>
      </c>
      <c r="D6" s="120" t="s">
        <v>124</v>
      </c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</row>
    <row r="7" spans="1:37">
      <c r="A7" s="115" t="s">
        <v>50</v>
      </c>
      <c r="B7" s="126">
        <v>237330</v>
      </c>
      <c r="C7" s="126">
        <v>18000</v>
      </c>
      <c r="D7" s="127">
        <v>32890</v>
      </c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5">
        <f>SUM(B7:S7)</f>
        <v>288220</v>
      </c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</row>
    <row r="8" spans="1:37">
      <c r="A8" s="119" t="s">
        <v>125</v>
      </c>
      <c r="B8" s="119" t="s">
        <v>126</v>
      </c>
      <c r="C8" s="119" t="s">
        <v>127</v>
      </c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</row>
    <row r="9" spans="1:37">
      <c r="A9" s="115" t="s">
        <v>52</v>
      </c>
      <c r="B9" s="126">
        <v>2400</v>
      </c>
      <c r="C9" s="126">
        <v>14770</v>
      </c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25">
        <f>SUM(B9:S9)</f>
        <v>17170</v>
      </c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</row>
    <row r="10" spans="1:37">
      <c r="A10" s="120" t="s">
        <v>128</v>
      </c>
      <c r="B10" s="120" t="s">
        <v>129</v>
      </c>
      <c r="C10" s="120" t="s">
        <v>130</v>
      </c>
      <c r="D10" s="120" t="s">
        <v>131</v>
      </c>
      <c r="E10" s="120" t="s">
        <v>132</v>
      </c>
      <c r="F10" s="120" t="s">
        <v>133</v>
      </c>
      <c r="G10" s="120" t="s">
        <v>134</v>
      </c>
      <c r="H10" s="120" t="s">
        <v>135</v>
      </c>
      <c r="I10" s="120" t="s">
        <v>136</v>
      </c>
      <c r="J10" s="120" t="s">
        <v>137</v>
      </c>
      <c r="K10" s="120" t="s">
        <v>138</v>
      </c>
      <c r="L10" s="120" t="s">
        <v>139</v>
      </c>
      <c r="M10" s="120" t="s">
        <v>140</v>
      </c>
      <c r="N10" s="120" t="s">
        <v>141</v>
      </c>
      <c r="O10" s="120" t="s">
        <v>142</v>
      </c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</row>
    <row r="11" spans="1:37">
      <c r="A11" s="115" t="s">
        <v>60</v>
      </c>
      <c r="B11" s="126">
        <v>1351239</v>
      </c>
      <c r="C11" s="126">
        <v>79560</v>
      </c>
      <c r="D11" s="126">
        <v>5500</v>
      </c>
      <c r="E11" s="126">
        <v>1046106</v>
      </c>
      <c r="F11" s="126">
        <v>47175</v>
      </c>
      <c r="G11" s="126">
        <v>27703.73</v>
      </c>
      <c r="H11" s="126">
        <v>107781</v>
      </c>
      <c r="I11" s="126">
        <v>130614</v>
      </c>
      <c r="J11" s="126">
        <v>21300</v>
      </c>
      <c r="K11" s="126">
        <v>12240</v>
      </c>
      <c r="L11" s="126">
        <v>1600</v>
      </c>
      <c r="M11" s="126">
        <v>15734</v>
      </c>
      <c r="N11" s="123">
        <v>64559</v>
      </c>
      <c r="O11" s="123">
        <v>9957</v>
      </c>
      <c r="P11" s="124"/>
      <c r="Q11" s="124"/>
      <c r="R11" s="124"/>
      <c r="S11" s="124"/>
      <c r="T11" s="125">
        <f>SUM(B11:S11)</f>
        <v>2921068.73</v>
      </c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</row>
    <row r="12" spans="1:37">
      <c r="A12" s="128" t="s">
        <v>143</v>
      </c>
      <c r="B12" s="120" t="s">
        <v>144</v>
      </c>
      <c r="C12" s="120"/>
      <c r="D12" s="120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</row>
    <row r="13" spans="1:37">
      <c r="A13" s="115" t="s">
        <v>63</v>
      </c>
      <c r="B13" s="122">
        <v>107640</v>
      </c>
      <c r="C13" s="126"/>
      <c r="D13" s="126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5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</row>
    <row r="14" spans="1:37">
      <c r="A14" s="120" t="s">
        <v>145</v>
      </c>
      <c r="B14" s="120" t="s">
        <v>146</v>
      </c>
      <c r="C14" s="120" t="s">
        <v>147</v>
      </c>
      <c r="D14" s="120" t="s">
        <v>148</v>
      </c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</row>
    <row r="15" spans="1:37">
      <c r="A15" s="115" t="s">
        <v>64</v>
      </c>
      <c r="B15" s="122">
        <v>93730</v>
      </c>
      <c r="C15" s="126">
        <v>6675</v>
      </c>
      <c r="D15" s="126">
        <v>36840</v>
      </c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5">
        <f>SUM(B15:S15)</f>
        <v>137245</v>
      </c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</row>
    <row r="16" spans="1:37">
      <c r="A16" s="119" t="s">
        <v>149</v>
      </c>
      <c r="B16" s="119" t="s">
        <v>150</v>
      </c>
      <c r="C16" s="119" t="s">
        <v>151</v>
      </c>
      <c r="D16" s="119" t="s">
        <v>152</v>
      </c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</row>
    <row r="17" spans="1:37">
      <c r="A17" s="115" t="s">
        <v>83</v>
      </c>
      <c r="B17" s="126">
        <v>82380</v>
      </c>
      <c r="C17" s="126">
        <v>92420</v>
      </c>
      <c r="D17" s="126">
        <v>178990</v>
      </c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5">
        <f>SUM(B17:S17)</f>
        <v>353790</v>
      </c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</row>
    <row r="18" spans="1:37">
      <c r="A18" s="120" t="s">
        <v>153</v>
      </c>
      <c r="B18" s="120" t="s">
        <v>154</v>
      </c>
      <c r="C18" s="120" t="s">
        <v>155</v>
      </c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</row>
    <row r="19" spans="1:37">
      <c r="A19" s="115" t="s">
        <v>53</v>
      </c>
      <c r="B19" s="126">
        <v>11000</v>
      </c>
      <c r="C19" s="126">
        <v>107440</v>
      </c>
      <c r="D19" s="126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5">
        <f>SUM(B19:S19)</f>
        <v>118440</v>
      </c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</row>
    <row r="20" spans="1:37">
      <c r="A20" s="120" t="s">
        <v>156</v>
      </c>
      <c r="B20" s="120" t="s">
        <v>157</v>
      </c>
      <c r="C20" s="120" t="s">
        <v>158</v>
      </c>
      <c r="D20" s="120" t="s">
        <v>159</v>
      </c>
      <c r="E20" s="120" t="s">
        <v>160</v>
      </c>
      <c r="F20" s="120" t="s">
        <v>161</v>
      </c>
      <c r="G20" s="120" t="s">
        <v>162</v>
      </c>
      <c r="H20" s="120" t="s">
        <v>163</v>
      </c>
      <c r="I20" s="120" t="s">
        <v>164</v>
      </c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</row>
    <row r="21" spans="1:37">
      <c r="A21" s="115" t="s">
        <v>55</v>
      </c>
      <c r="B21" s="126">
        <v>15000</v>
      </c>
      <c r="C21" s="126">
        <v>215020</v>
      </c>
      <c r="D21" s="126">
        <v>29000</v>
      </c>
      <c r="E21" s="126">
        <v>29000</v>
      </c>
      <c r="F21" s="126">
        <v>10000</v>
      </c>
      <c r="G21" s="126">
        <v>15000</v>
      </c>
      <c r="H21" s="126">
        <v>17380</v>
      </c>
      <c r="I21" s="126">
        <v>10210</v>
      </c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5">
        <f>SUM(B21:S21)</f>
        <v>340610</v>
      </c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</row>
    <row r="22" spans="1:37">
      <c r="A22" s="120" t="s">
        <v>165</v>
      </c>
      <c r="B22" s="120" t="s">
        <v>166</v>
      </c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</row>
    <row r="23" spans="1:37">
      <c r="A23" s="115" t="s">
        <v>56</v>
      </c>
      <c r="B23" s="126">
        <v>571470</v>
      </c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5">
        <f>SUM(B23:S23)</f>
        <v>571470</v>
      </c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</row>
    <row r="24" spans="1:37">
      <c r="A24" s="120" t="s">
        <v>167</v>
      </c>
      <c r="B24" s="120" t="s">
        <v>168</v>
      </c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</row>
    <row r="25" spans="1:37">
      <c r="A25" s="115" t="s">
        <v>59</v>
      </c>
      <c r="B25" s="126">
        <v>62610</v>
      </c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5">
        <f>SUM(B25:S25)</f>
        <v>62610</v>
      </c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</row>
    <row r="26" spans="1:37">
      <c r="A26" s="120" t="s">
        <v>169</v>
      </c>
      <c r="B26" s="120" t="s">
        <v>170</v>
      </c>
      <c r="C26" s="120" t="s">
        <v>171</v>
      </c>
      <c r="D26" s="120" t="s">
        <v>172</v>
      </c>
      <c r="E26" s="120" t="s">
        <v>173</v>
      </c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</row>
    <row r="27" spans="1:37">
      <c r="A27" s="115" t="s">
        <v>61</v>
      </c>
      <c r="B27" s="126">
        <v>65000</v>
      </c>
      <c r="C27" s="126">
        <v>198785</v>
      </c>
      <c r="D27" s="126">
        <v>2360</v>
      </c>
      <c r="E27" s="126">
        <v>208790</v>
      </c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5">
        <f>SUM(B27:S27)</f>
        <v>474935</v>
      </c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</row>
    <row r="28" spans="1:37">
      <c r="A28" s="120" t="s">
        <v>174</v>
      </c>
      <c r="B28" s="120" t="s">
        <v>175</v>
      </c>
      <c r="C28" s="120"/>
      <c r="D28" s="120"/>
      <c r="E28" s="120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</row>
    <row r="29" spans="1:37">
      <c r="A29" s="115" t="s">
        <v>75</v>
      </c>
      <c r="B29" s="126">
        <v>31880</v>
      </c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5">
        <f>SUM(B29:S29)</f>
        <v>31880</v>
      </c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</row>
    <row r="30" spans="1:37">
      <c r="A30" s="120" t="s">
        <v>176</v>
      </c>
      <c r="B30" s="120" t="s">
        <v>177</v>
      </c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</row>
    <row r="31" spans="1:37">
      <c r="A31" s="115" t="s">
        <v>65</v>
      </c>
      <c r="B31" s="126">
        <v>346545</v>
      </c>
      <c r="C31" s="126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5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</row>
    <row r="32" spans="1:37">
      <c r="A32" s="119" t="s">
        <v>178</v>
      </c>
      <c r="B32" s="119" t="s">
        <v>179</v>
      </c>
      <c r="C32" s="119" t="s">
        <v>180</v>
      </c>
      <c r="D32" s="120" t="s">
        <v>181</v>
      </c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</row>
    <row r="33" spans="1:37">
      <c r="A33" s="115" t="s">
        <v>88</v>
      </c>
      <c r="B33" s="126">
        <v>8220</v>
      </c>
      <c r="C33" s="126">
        <v>5940</v>
      </c>
      <c r="D33" s="126">
        <v>828506</v>
      </c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5">
        <f>SUM(B33:S33)</f>
        <v>842666</v>
      </c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</row>
    <row r="34" spans="1:37">
      <c r="A34" s="119"/>
      <c r="B34" s="119" t="s">
        <v>182</v>
      </c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</row>
    <row r="35" spans="1:37">
      <c r="A35" s="115" t="s">
        <v>77</v>
      </c>
      <c r="B35" s="126">
        <v>157000</v>
      </c>
      <c r="C35" s="126"/>
      <c r="D35" s="126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5">
        <f>SUM(B35:S35)</f>
        <v>157000</v>
      </c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</row>
    <row r="36" spans="1:37">
      <c r="A36" s="120" t="s">
        <v>183</v>
      </c>
      <c r="B36" s="120" t="s">
        <v>184</v>
      </c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</row>
    <row r="37" spans="1:37">
      <c r="A37" s="115" t="s">
        <v>90</v>
      </c>
      <c r="B37" s="126">
        <v>434250</v>
      </c>
      <c r="C37" s="126"/>
      <c r="D37" s="126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5">
        <f>SUM(B37:S37)</f>
        <v>434250</v>
      </c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</row>
    <row r="38" spans="1:37">
      <c r="A38" s="120" t="s">
        <v>185</v>
      </c>
      <c r="B38" s="120" t="s">
        <v>186</v>
      </c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</row>
    <row r="39" spans="1:37">
      <c r="A39" s="115" t="s">
        <v>95</v>
      </c>
      <c r="B39" s="126">
        <v>33930</v>
      </c>
      <c r="C39" s="126"/>
      <c r="D39" s="126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5">
        <f>SUM(B39:S39)</f>
        <v>33930</v>
      </c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</row>
    <row r="40" spans="1:37">
      <c r="A40" s="120" t="s">
        <v>187</v>
      </c>
      <c r="B40" s="120" t="s">
        <v>188</v>
      </c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</row>
    <row r="41" spans="1:37">
      <c r="A41" s="115" t="s">
        <v>96</v>
      </c>
      <c r="B41" s="126">
        <v>177840</v>
      </c>
      <c r="C41" s="126"/>
      <c r="D41" s="126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5">
        <f>SUM(B41:S41)</f>
        <v>177840</v>
      </c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</row>
    <row r="42" spans="1:37">
      <c r="A42" s="120" t="s">
        <v>189</v>
      </c>
      <c r="B42" s="120" t="s">
        <v>190</v>
      </c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</row>
    <row r="43" spans="1:37">
      <c r="A43" s="115" t="s">
        <v>101</v>
      </c>
      <c r="B43" s="122">
        <v>19530</v>
      </c>
      <c r="C43" s="126"/>
      <c r="D43" s="126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5">
        <f>SUM(B43:S43)</f>
        <v>19530</v>
      </c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</row>
    <row r="44" spans="1:37">
      <c r="A44" s="129"/>
      <c r="B44" s="130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</row>
    <row r="45" spans="1:37">
      <c r="A45" s="132" t="s">
        <v>67</v>
      </c>
      <c r="B45" s="133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</row>
    <row r="46" spans="1:37">
      <c r="A46" s="120" t="s">
        <v>191</v>
      </c>
      <c r="B46" s="120" t="s">
        <v>192</v>
      </c>
      <c r="C46" s="135" t="s">
        <v>193</v>
      </c>
      <c r="D46" s="120" t="s">
        <v>194</v>
      </c>
      <c r="E46" s="120" t="s">
        <v>195</v>
      </c>
      <c r="F46" s="120" t="s">
        <v>196</v>
      </c>
      <c r="G46" s="120" t="s">
        <v>197</v>
      </c>
      <c r="H46" s="120" t="s">
        <v>198</v>
      </c>
      <c r="I46" s="120" t="s">
        <v>199</v>
      </c>
      <c r="J46" s="120" t="s">
        <v>200</v>
      </c>
      <c r="K46" s="120" t="s">
        <v>201</v>
      </c>
      <c r="L46" s="120" t="s">
        <v>202</v>
      </c>
      <c r="M46" s="120" t="s">
        <v>203</v>
      </c>
      <c r="N46" s="120" t="s">
        <v>204</v>
      </c>
      <c r="O46" s="120" t="s">
        <v>205</v>
      </c>
      <c r="P46" s="120" t="s">
        <v>206</v>
      </c>
      <c r="Q46" s="120" t="s">
        <v>207</v>
      </c>
      <c r="R46" s="119" t="s">
        <v>208</v>
      </c>
      <c r="S46" s="120" t="s">
        <v>209</v>
      </c>
      <c r="T46" s="119"/>
      <c r="U46" s="119"/>
      <c r="V46" s="120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</row>
    <row r="47" spans="1:37">
      <c r="A47" s="136" t="s">
        <v>66</v>
      </c>
      <c r="B47" s="137">
        <v>300303.95</v>
      </c>
      <c r="C47" s="126">
        <v>160280.28</v>
      </c>
      <c r="D47" s="126">
        <v>41780</v>
      </c>
      <c r="E47" s="137">
        <v>18080</v>
      </c>
      <c r="F47" s="137">
        <v>106183.79</v>
      </c>
      <c r="G47" s="137">
        <v>44400</v>
      </c>
      <c r="H47" s="137">
        <v>10170</v>
      </c>
      <c r="I47" s="137">
        <v>118659.67</v>
      </c>
      <c r="J47" s="137">
        <v>8640</v>
      </c>
      <c r="K47" s="137">
        <v>2945</v>
      </c>
      <c r="L47" s="137">
        <v>3120</v>
      </c>
      <c r="M47" s="137">
        <v>183061.72</v>
      </c>
      <c r="N47" s="137">
        <v>2940</v>
      </c>
      <c r="O47" s="137">
        <v>13790</v>
      </c>
      <c r="P47" s="126">
        <v>121524.33</v>
      </c>
      <c r="Q47" s="126">
        <v>40302.76</v>
      </c>
      <c r="R47" s="137">
        <v>34172.160000000003</v>
      </c>
      <c r="S47" s="137">
        <v>2260</v>
      </c>
      <c r="T47" s="125">
        <f>SUM(B47:S47)</f>
        <v>1212613.6599999999</v>
      </c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  <c r="AH47" s="118"/>
      <c r="AI47" s="118"/>
      <c r="AJ47" s="118"/>
      <c r="AK47" s="118"/>
    </row>
    <row r="48" spans="1:37">
      <c r="A48" s="131"/>
      <c r="B48" s="130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</row>
    <row r="49" spans="1:37">
      <c r="A49" s="138" t="s">
        <v>47</v>
      </c>
      <c r="B49" s="139"/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31"/>
      <c r="AI49" s="131"/>
      <c r="AJ49" s="131"/>
      <c r="AK49" s="131"/>
    </row>
    <row r="50" spans="1:37">
      <c r="A50" s="119"/>
      <c r="B50" s="119" t="s">
        <v>210</v>
      </c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</row>
    <row r="51" spans="1:37">
      <c r="A51" s="138" t="s">
        <v>71</v>
      </c>
      <c r="B51" s="126">
        <v>2574355.17</v>
      </c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5">
        <f>SUM(B51:S51)</f>
        <v>2574355.17</v>
      </c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8"/>
      <c r="AJ51" s="118"/>
      <c r="AK51" s="118"/>
    </row>
    <row r="52" spans="1:37">
      <c r="A52" s="131"/>
      <c r="B52" s="130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</row>
    <row r="53" spans="1:37">
      <c r="A53" s="141" t="s">
        <v>211</v>
      </c>
      <c r="B53" s="142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  <c r="AG53" s="131"/>
      <c r="AH53" s="131"/>
      <c r="AI53" s="131"/>
      <c r="AJ53" s="131"/>
      <c r="AK53" s="131"/>
    </row>
    <row r="54" spans="1:37">
      <c r="A54" s="119"/>
      <c r="B54" s="119" t="s">
        <v>212</v>
      </c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</row>
    <row r="55" spans="1:37">
      <c r="A55" s="141" t="s">
        <v>65</v>
      </c>
      <c r="B55" s="122">
        <v>1182910</v>
      </c>
      <c r="C55" s="124"/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5">
        <f>SUM(B55:S55)</f>
        <v>1182910</v>
      </c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8"/>
      <c r="AH55" s="118"/>
      <c r="AI55" s="118"/>
      <c r="AJ55" s="118"/>
      <c r="AK55" s="118"/>
    </row>
    <row r="56" spans="1:37">
      <c r="A56" s="131"/>
      <c r="B56" s="131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  <c r="AH56" s="118"/>
      <c r="AI56" s="118"/>
      <c r="AJ56" s="118"/>
      <c r="AK56" s="118"/>
    </row>
    <row r="57" spans="1:37">
      <c r="A57" s="144" t="s">
        <v>99</v>
      </c>
      <c r="B57" s="145"/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  <c r="AG57" s="131"/>
      <c r="AH57" s="131"/>
      <c r="AI57" s="131"/>
      <c r="AJ57" s="131"/>
      <c r="AK57" s="131"/>
    </row>
    <row r="58" spans="1:37">
      <c r="A58" s="119"/>
      <c r="B58" s="119" t="s">
        <v>213</v>
      </c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119"/>
      <c r="AD58" s="119"/>
      <c r="AE58" s="119"/>
      <c r="AF58" s="119"/>
      <c r="AG58" s="119"/>
      <c r="AH58" s="119"/>
      <c r="AI58" s="119"/>
      <c r="AJ58" s="119"/>
      <c r="AK58" s="119"/>
    </row>
    <row r="59" spans="1:37">
      <c r="A59" s="144" t="s">
        <v>98</v>
      </c>
      <c r="B59" s="122">
        <v>415929</v>
      </c>
      <c r="C59" s="124"/>
      <c r="D59" s="124"/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5">
        <f>SUM(B59:S59)</f>
        <v>415929</v>
      </c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  <c r="AH59" s="118"/>
      <c r="AI59" s="118"/>
      <c r="AJ59" s="118"/>
      <c r="AK59" s="118"/>
    </row>
    <row r="60" spans="1:37">
      <c r="A60" s="131"/>
      <c r="B60" s="131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18"/>
      <c r="AI60" s="118"/>
      <c r="AJ60" s="118"/>
      <c r="AK60" s="118"/>
    </row>
    <row r="61" spans="1:37">
      <c r="A61" s="147" t="s">
        <v>214</v>
      </c>
      <c r="B61" s="148"/>
      <c r="C61" s="149"/>
      <c r="D61" s="149"/>
      <c r="E61" s="149"/>
      <c r="F61" s="149"/>
      <c r="G61" s="149"/>
      <c r="H61" s="149"/>
      <c r="I61" s="149"/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31"/>
      <c r="AI61" s="131"/>
      <c r="AJ61" s="131"/>
      <c r="AK61" s="131"/>
    </row>
    <row r="62" spans="1:37">
      <c r="A62" s="119"/>
      <c r="B62" s="119" t="s">
        <v>215</v>
      </c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  <c r="AF62" s="119"/>
      <c r="AG62" s="119"/>
      <c r="AH62" s="119"/>
      <c r="AI62" s="119"/>
      <c r="AJ62" s="119"/>
      <c r="AK62" s="119"/>
    </row>
    <row r="63" spans="1:37">
      <c r="A63" s="147" t="s">
        <v>97</v>
      </c>
      <c r="B63" s="122">
        <v>913020</v>
      </c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5">
        <f>SUM(B63:S63)</f>
        <v>913020</v>
      </c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18"/>
      <c r="AI63" s="118"/>
      <c r="AJ63" s="118"/>
      <c r="AK63" s="118"/>
    </row>
    <row r="64" spans="1:37">
      <c r="A64" s="131"/>
      <c r="B64" s="131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18"/>
      <c r="AI64" s="118"/>
      <c r="AJ64" s="118"/>
      <c r="AK64" s="118"/>
    </row>
    <row r="65" spans="1:37">
      <c r="A65" s="131"/>
      <c r="B65" s="131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  <c r="AH65" s="118"/>
      <c r="AI65" s="118"/>
      <c r="AJ65" s="118"/>
      <c r="AK65" s="118"/>
    </row>
    <row r="66" spans="1:37">
      <c r="A66" s="150" t="s">
        <v>58</v>
      </c>
      <c r="B66" s="151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31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1"/>
      <c r="AG66" s="131"/>
      <c r="AH66" s="131"/>
      <c r="AI66" s="131"/>
      <c r="AJ66" s="131"/>
      <c r="AK66" s="131"/>
    </row>
    <row r="67" spans="1:37">
      <c r="A67" s="120" t="s">
        <v>216</v>
      </c>
      <c r="B67" s="119" t="s">
        <v>217</v>
      </c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  <c r="AH67" s="119"/>
      <c r="AI67" s="119"/>
      <c r="AJ67" s="119"/>
      <c r="AK67" s="119"/>
    </row>
    <row r="68" spans="1:37">
      <c r="A68" s="150" t="s">
        <v>57</v>
      </c>
      <c r="B68" s="122">
        <v>277900</v>
      </c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5">
        <f>SUM(B68:S68)</f>
        <v>277900</v>
      </c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  <c r="AH68" s="118"/>
      <c r="AI68" s="118"/>
      <c r="AJ68" s="118"/>
      <c r="AK68" s="118"/>
    </row>
    <row r="69" spans="1:37">
      <c r="A69" s="131"/>
      <c r="B69" s="131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  <c r="AH69" s="118"/>
      <c r="AI69" s="118"/>
      <c r="AJ69" s="118"/>
      <c r="AK69" s="118"/>
    </row>
    <row r="70" spans="1:37">
      <c r="A70" s="153"/>
      <c r="B70" s="154"/>
      <c r="C70" s="155"/>
      <c r="D70" s="155"/>
      <c r="E70" s="155"/>
      <c r="F70" s="155"/>
      <c r="G70" s="155"/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155"/>
      <c r="S70" s="155"/>
      <c r="T70" s="155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  <c r="AG70" s="131"/>
      <c r="AH70" s="131"/>
      <c r="AI70" s="131"/>
      <c r="AJ70" s="131"/>
      <c r="AK70" s="131"/>
    </row>
    <row r="71" spans="1:37">
      <c r="A71" s="120" t="s">
        <v>218</v>
      </c>
      <c r="B71" s="120" t="s">
        <v>219</v>
      </c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19"/>
      <c r="AD71" s="119"/>
      <c r="AE71" s="119"/>
      <c r="AF71" s="119"/>
      <c r="AG71" s="119"/>
      <c r="AH71" s="119"/>
      <c r="AI71" s="119"/>
      <c r="AJ71" s="119"/>
      <c r="AK71" s="119"/>
    </row>
    <row r="72" spans="1:37">
      <c r="A72" s="153" t="s">
        <v>68</v>
      </c>
      <c r="B72" s="122">
        <v>963940</v>
      </c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5">
        <f>SUM(B72:S72)</f>
        <v>963940</v>
      </c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  <c r="AH72" s="118"/>
      <c r="AI72" s="118"/>
      <c r="AJ72" s="118"/>
      <c r="AK72" s="118"/>
    </row>
    <row r="73" spans="1:37">
      <c r="A73" s="131"/>
      <c r="B73" s="131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  <c r="AH73" s="118"/>
      <c r="AI73" s="118"/>
      <c r="AJ73" s="118"/>
      <c r="AK73" s="118"/>
    </row>
    <row r="74" spans="1:37">
      <c r="A74" s="156"/>
      <c r="B74" s="157"/>
      <c r="C74" s="158"/>
      <c r="D74" s="158"/>
      <c r="E74" s="158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31"/>
      <c r="V74" s="131"/>
      <c r="W74" s="131"/>
      <c r="X74" s="131"/>
      <c r="Y74" s="131"/>
      <c r="Z74" s="131"/>
      <c r="AA74" s="131"/>
      <c r="AB74" s="131"/>
      <c r="AC74" s="131"/>
      <c r="AD74" s="131"/>
      <c r="AE74" s="131"/>
      <c r="AF74" s="131"/>
      <c r="AG74" s="131"/>
      <c r="AH74" s="131"/>
      <c r="AI74" s="131"/>
      <c r="AJ74" s="131"/>
      <c r="AK74" s="131"/>
    </row>
    <row r="75" spans="1:37">
      <c r="A75" s="120" t="s">
        <v>220</v>
      </c>
      <c r="B75" s="120" t="s">
        <v>221</v>
      </c>
      <c r="C75" s="120" t="s">
        <v>222</v>
      </c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9"/>
      <c r="AI75" s="119"/>
      <c r="AJ75" s="119"/>
      <c r="AK75" s="119"/>
    </row>
    <row r="76" spans="1:37">
      <c r="A76" s="156" t="s">
        <v>74</v>
      </c>
      <c r="B76" s="126">
        <v>89050</v>
      </c>
      <c r="C76" s="126">
        <v>13000</v>
      </c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5">
        <f>SUM(B76:S76)</f>
        <v>102050</v>
      </c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  <c r="AH76" s="118"/>
      <c r="AI76" s="118"/>
      <c r="AJ76" s="118"/>
      <c r="AK76" s="118"/>
    </row>
    <row r="77" spans="1:37">
      <c r="A77" s="131"/>
      <c r="B77" s="131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  <c r="AH77" s="118"/>
      <c r="AI77" s="118"/>
      <c r="AJ77" s="118"/>
      <c r="AK77" s="118"/>
    </row>
    <row r="78" spans="1:37">
      <c r="A78" s="131"/>
      <c r="B78" s="131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  <c r="AH78" s="118"/>
      <c r="AI78" s="118"/>
      <c r="AJ78" s="118"/>
      <c r="AK78" s="118"/>
    </row>
    <row r="79" spans="1:37">
      <c r="A79" s="131"/>
      <c r="B79" s="131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  <c r="AI79" s="118"/>
      <c r="AJ79" s="118"/>
      <c r="AK79" s="118"/>
    </row>
    <row r="80" spans="1:37">
      <c r="A80" s="131"/>
      <c r="B80" s="131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  <c r="AH80" s="118"/>
      <c r="AI80" s="118"/>
      <c r="AJ80" s="118"/>
      <c r="AK80" s="118"/>
    </row>
    <row r="81" spans="1:37">
      <c r="A81" s="131"/>
      <c r="B81" s="131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  <c r="AH81" s="118"/>
      <c r="AI81" s="118"/>
      <c r="AJ81" s="118"/>
      <c r="AK81" s="118"/>
    </row>
    <row r="82" spans="1:37">
      <c r="A82" s="131"/>
      <c r="B82" s="131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  <c r="AH82" s="118"/>
      <c r="AI82" s="118"/>
      <c r="AJ82" s="118"/>
      <c r="AK82" s="118"/>
    </row>
    <row r="83" spans="1:37">
      <c r="A83" s="131"/>
      <c r="B83" s="131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  <c r="AH83" s="118"/>
      <c r="AI83" s="118"/>
      <c r="AJ83" s="118"/>
      <c r="AK83" s="118"/>
    </row>
    <row r="84" spans="1:37">
      <c r="A84" s="131"/>
      <c r="B84" s="131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  <c r="AH84" s="118"/>
      <c r="AI84" s="118"/>
      <c r="AJ84" s="118"/>
      <c r="AK84" s="118"/>
    </row>
    <row r="85" spans="1:37">
      <c r="A85" s="131"/>
      <c r="B85" s="131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</row>
    <row r="86" spans="1:37">
      <c r="A86" s="131"/>
      <c r="B86" s="131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  <c r="AH86" s="118"/>
      <c r="AI86" s="118"/>
      <c r="AJ86" s="118"/>
      <c r="AK86" s="118"/>
    </row>
    <row r="87" spans="1:37">
      <c r="A87" s="131"/>
      <c r="B87" s="131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  <c r="AK87" s="118"/>
    </row>
    <row r="88" spans="1:37">
      <c r="A88" s="131"/>
      <c r="B88" s="131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  <c r="AH88" s="118"/>
      <c r="AI88" s="118"/>
      <c r="AJ88" s="118"/>
      <c r="AK88" s="118"/>
    </row>
    <row r="89" spans="1:37">
      <c r="A89" s="131"/>
      <c r="B89" s="131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  <c r="AH89" s="118"/>
      <c r="AI89" s="118"/>
      <c r="AJ89" s="118"/>
      <c r="AK89" s="118"/>
    </row>
    <row r="90" spans="1:37">
      <c r="A90" s="131"/>
      <c r="B90" s="131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  <c r="AH90" s="118"/>
      <c r="AI90" s="118"/>
      <c r="AJ90" s="118"/>
      <c r="AK90" s="118"/>
    </row>
    <row r="91" spans="1:37">
      <c r="A91" s="131"/>
      <c r="B91" s="131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  <c r="AH91" s="118"/>
      <c r="AI91" s="118"/>
      <c r="AJ91" s="118"/>
      <c r="AK91" s="118"/>
    </row>
    <row r="92" spans="1:37">
      <c r="A92" s="131"/>
      <c r="B92" s="131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  <c r="AH92" s="118"/>
      <c r="AI92" s="118"/>
      <c r="AJ92" s="118"/>
      <c r="AK92" s="118"/>
    </row>
    <row r="93" spans="1:37">
      <c r="A93" s="131"/>
      <c r="B93" s="131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  <c r="AH93" s="118"/>
      <c r="AI93" s="118"/>
      <c r="AJ93" s="118"/>
      <c r="AK93" s="118"/>
    </row>
    <row r="94" spans="1:37">
      <c r="A94" s="131"/>
      <c r="B94" s="131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  <c r="AI94" s="118"/>
      <c r="AJ94" s="118"/>
      <c r="AK94" s="118"/>
    </row>
    <row r="95" spans="1:37">
      <c r="A95" s="131"/>
      <c r="B95" s="131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</row>
    <row r="96" spans="1:37">
      <c r="A96" s="131"/>
      <c r="B96" s="131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  <c r="AH96" s="118"/>
      <c r="AI96" s="118"/>
      <c r="AJ96" s="118"/>
      <c r="AK96" s="118"/>
    </row>
    <row r="97" spans="1:37">
      <c r="A97" s="131"/>
      <c r="B97" s="131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  <c r="AH97" s="118"/>
      <c r="AI97" s="118"/>
      <c r="AJ97" s="118"/>
      <c r="AK97" s="118"/>
    </row>
    <row r="98" spans="1:37">
      <c r="A98" s="131"/>
      <c r="B98" s="131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  <c r="AH98" s="118"/>
      <c r="AI98" s="118"/>
      <c r="AJ98" s="118"/>
      <c r="AK98" s="118"/>
    </row>
    <row r="99" spans="1:37">
      <c r="A99" s="131"/>
      <c r="B99" s="131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  <c r="AH99" s="118"/>
      <c r="AI99" s="118"/>
      <c r="AJ99" s="118"/>
      <c r="AK99" s="118"/>
    </row>
    <row r="100" spans="1:37">
      <c r="A100" s="131"/>
      <c r="B100" s="131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</row>
    <row r="101" spans="1:37">
      <c r="A101" s="131"/>
      <c r="B101" s="131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8"/>
      <c r="AG101" s="118"/>
      <c r="AH101" s="118"/>
      <c r="AI101" s="118"/>
      <c r="AJ101" s="118"/>
      <c r="AK101" s="118"/>
    </row>
    <row r="102" spans="1:37">
      <c r="A102" s="131"/>
      <c r="B102" s="131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8"/>
      <c r="AG102" s="118"/>
      <c r="AH102" s="118"/>
      <c r="AI102" s="118"/>
      <c r="AJ102" s="118"/>
      <c r="AK102" s="118"/>
    </row>
    <row r="103" spans="1:37">
      <c r="A103" s="131"/>
      <c r="B103" s="131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8"/>
      <c r="AG103" s="118"/>
      <c r="AH103" s="118"/>
      <c r="AI103" s="118"/>
      <c r="AJ103" s="118"/>
      <c r="AK103" s="118"/>
    </row>
    <row r="104" spans="1:37">
      <c r="A104" s="131"/>
      <c r="B104" s="131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  <c r="AH104" s="118"/>
      <c r="AI104" s="118"/>
      <c r="AJ104" s="118"/>
      <c r="AK104" s="118"/>
    </row>
    <row r="105" spans="1:37">
      <c r="A105" s="131"/>
      <c r="B105" s="131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  <c r="AH105" s="118"/>
      <c r="AI105" s="118"/>
      <c r="AJ105" s="118"/>
      <c r="AK105" s="118"/>
    </row>
    <row r="106" spans="1:37">
      <c r="A106" s="131"/>
      <c r="B106" s="131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  <c r="AH106" s="118"/>
      <c r="AI106" s="118"/>
      <c r="AJ106" s="118"/>
      <c r="AK106" s="118"/>
    </row>
    <row r="107" spans="1:37">
      <c r="A107" s="131"/>
      <c r="B107" s="131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  <c r="AI107" s="118"/>
      <c r="AJ107" s="118"/>
      <c r="AK107" s="118"/>
    </row>
    <row r="108" spans="1:37">
      <c r="A108" s="131"/>
      <c r="B108" s="131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  <c r="AI108" s="118"/>
      <c r="AJ108" s="118"/>
      <c r="AK108" s="118"/>
    </row>
    <row r="109" spans="1:37">
      <c r="A109" s="131"/>
      <c r="B109" s="131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  <c r="AH109" s="118"/>
      <c r="AI109" s="118"/>
      <c r="AJ109" s="118"/>
      <c r="AK109" s="118"/>
    </row>
    <row r="110" spans="1:37">
      <c r="A110" s="131"/>
      <c r="B110" s="131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  <c r="AI110" s="118"/>
      <c r="AJ110" s="118"/>
      <c r="AK110" s="118"/>
    </row>
    <row r="111" spans="1:37">
      <c r="A111" s="131"/>
      <c r="B111" s="131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  <c r="AE111" s="118"/>
      <c r="AF111" s="118"/>
      <c r="AG111" s="118"/>
      <c r="AH111" s="118"/>
      <c r="AI111" s="118"/>
      <c r="AJ111" s="118"/>
      <c r="AK111" s="118"/>
    </row>
    <row r="112" spans="1:37">
      <c r="A112" s="131"/>
      <c r="B112" s="131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  <c r="AH112" s="118"/>
      <c r="AI112" s="118"/>
      <c r="AJ112" s="118"/>
      <c r="AK112" s="118"/>
    </row>
    <row r="113" spans="1:37">
      <c r="A113" s="131"/>
      <c r="B113" s="131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  <c r="AH113" s="118"/>
      <c r="AI113" s="118"/>
      <c r="AJ113" s="118"/>
      <c r="AK113" s="118"/>
    </row>
    <row r="114" spans="1:37">
      <c r="A114" s="131"/>
      <c r="B114" s="131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  <c r="AG114" s="118"/>
      <c r="AH114" s="118"/>
      <c r="AI114" s="118"/>
      <c r="AJ114" s="118"/>
      <c r="AK114" s="118"/>
    </row>
    <row r="115" spans="1:37">
      <c r="A115" s="131"/>
      <c r="B115" s="131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  <c r="AG115" s="118"/>
      <c r="AH115" s="118"/>
      <c r="AI115" s="118"/>
      <c r="AJ115" s="118"/>
      <c r="AK115" s="118"/>
    </row>
    <row r="116" spans="1:37">
      <c r="A116" s="131"/>
      <c r="B116" s="131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/>
      <c r="AF116" s="118"/>
      <c r="AG116" s="118"/>
      <c r="AH116" s="118"/>
      <c r="AI116" s="118"/>
      <c r="AJ116" s="118"/>
      <c r="AK116" s="118"/>
    </row>
    <row r="117" spans="1:37">
      <c r="A117" s="131"/>
      <c r="B117" s="131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  <c r="AH117" s="118"/>
      <c r="AI117" s="118"/>
      <c r="AJ117" s="118"/>
      <c r="AK117" s="118"/>
    </row>
    <row r="118" spans="1:37">
      <c r="A118" s="131"/>
      <c r="B118" s="131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  <c r="AH118" s="118"/>
      <c r="AI118" s="118"/>
      <c r="AJ118" s="118"/>
      <c r="AK118" s="118"/>
    </row>
    <row r="119" spans="1:37">
      <c r="A119" s="131"/>
      <c r="B119" s="131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  <c r="AG119" s="118"/>
      <c r="AH119" s="118"/>
      <c r="AI119" s="118"/>
      <c r="AJ119" s="118"/>
      <c r="AK119" s="118"/>
    </row>
    <row r="120" spans="1:37">
      <c r="A120" s="131"/>
      <c r="B120" s="131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  <c r="AF120" s="118"/>
      <c r="AG120" s="118"/>
      <c r="AH120" s="118"/>
      <c r="AI120" s="118"/>
      <c r="AJ120" s="118"/>
      <c r="AK120" s="118"/>
    </row>
    <row r="121" spans="1:37">
      <c r="A121" s="131"/>
      <c r="B121" s="131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  <c r="AE121" s="118"/>
      <c r="AF121" s="118"/>
      <c r="AG121" s="118"/>
      <c r="AH121" s="118"/>
      <c r="AI121" s="118"/>
      <c r="AJ121" s="118"/>
      <c r="AK121" s="118"/>
    </row>
    <row r="122" spans="1:37">
      <c r="A122" s="131"/>
      <c r="B122" s="131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/>
      <c r="AF122" s="118"/>
      <c r="AG122" s="118"/>
      <c r="AH122" s="118"/>
      <c r="AI122" s="118"/>
      <c r="AJ122" s="118"/>
      <c r="AK122" s="118"/>
    </row>
    <row r="123" spans="1:37">
      <c r="A123" s="131"/>
      <c r="B123" s="131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  <c r="AF123" s="118"/>
      <c r="AG123" s="118"/>
      <c r="AH123" s="118"/>
      <c r="AI123" s="118"/>
      <c r="AJ123" s="118"/>
      <c r="AK123" s="118"/>
    </row>
    <row r="124" spans="1:37">
      <c r="A124" s="131"/>
      <c r="B124" s="131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8"/>
      <c r="AG124" s="118"/>
      <c r="AH124" s="118"/>
      <c r="AI124" s="118"/>
      <c r="AJ124" s="118"/>
      <c r="AK124" s="118"/>
    </row>
    <row r="125" spans="1:37">
      <c r="A125" s="131"/>
      <c r="B125" s="131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  <c r="AE125" s="118"/>
      <c r="AF125" s="118"/>
      <c r="AG125" s="118"/>
      <c r="AH125" s="118"/>
      <c r="AI125" s="118"/>
      <c r="AJ125" s="118"/>
      <c r="AK125" s="118"/>
    </row>
    <row r="126" spans="1:37">
      <c r="A126" s="131"/>
      <c r="B126" s="131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  <c r="AF126" s="118"/>
      <c r="AG126" s="118"/>
      <c r="AH126" s="118"/>
      <c r="AI126" s="118"/>
      <c r="AJ126" s="118"/>
      <c r="AK126" s="118"/>
    </row>
    <row r="127" spans="1:37">
      <c r="A127" s="131"/>
      <c r="B127" s="131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  <c r="AF127" s="118"/>
      <c r="AG127" s="118"/>
      <c r="AH127" s="118"/>
      <c r="AI127" s="118"/>
      <c r="AJ127" s="118"/>
      <c r="AK127" s="118"/>
    </row>
    <row r="128" spans="1:37">
      <c r="A128" s="131"/>
      <c r="B128" s="131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8"/>
      <c r="AB128" s="118"/>
      <c r="AC128" s="118"/>
      <c r="AD128" s="118"/>
      <c r="AE128" s="118"/>
      <c r="AF128" s="118"/>
      <c r="AG128" s="118"/>
      <c r="AH128" s="118"/>
      <c r="AI128" s="118"/>
      <c r="AJ128" s="118"/>
      <c r="AK128" s="118"/>
    </row>
    <row r="129" spans="1:37">
      <c r="A129" s="131"/>
      <c r="B129" s="131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  <c r="AF129" s="118"/>
      <c r="AG129" s="118"/>
      <c r="AH129" s="118"/>
      <c r="AI129" s="118"/>
      <c r="AJ129" s="118"/>
      <c r="AK129" s="118"/>
    </row>
    <row r="130" spans="1:37">
      <c r="A130" s="131"/>
      <c r="B130" s="131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  <c r="AE130" s="118"/>
      <c r="AF130" s="118"/>
      <c r="AG130" s="118"/>
      <c r="AH130" s="118"/>
      <c r="AI130" s="118"/>
      <c r="AJ130" s="118"/>
      <c r="AK130" s="118"/>
    </row>
    <row r="131" spans="1:37">
      <c r="A131" s="131"/>
      <c r="B131" s="131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  <c r="AE131" s="118"/>
      <c r="AF131" s="118"/>
      <c r="AG131" s="118"/>
      <c r="AH131" s="118"/>
      <c r="AI131" s="118"/>
      <c r="AJ131" s="118"/>
      <c r="AK131" s="118"/>
    </row>
    <row r="132" spans="1:37">
      <c r="A132" s="131"/>
      <c r="B132" s="131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  <c r="AE132" s="118"/>
      <c r="AF132" s="118"/>
      <c r="AG132" s="118"/>
      <c r="AH132" s="118"/>
      <c r="AI132" s="118"/>
      <c r="AJ132" s="118"/>
      <c r="AK132" s="118"/>
    </row>
    <row r="133" spans="1:37">
      <c r="A133" s="131"/>
      <c r="B133" s="131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  <c r="AB133" s="118"/>
      <c r="AC133" s="118"/>
      <c r="AD133" s="118"/>
      <c r="AE133" s="118"/>
      <c r="AF133" s="118"/>
      <c r="AG133" s="118"/>
      <c r="AH133" s="118"/>
      <c r="AI133" s="118"/>
      <c r="AJ133" s="118"/>
      <c r="AK133" s="118"/>
    </row>
    <row r="134" spans="1:37">
      <c r="A134" s="131"/>
      <c r="B134" s="131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  <c r="AE134" s="118"/>
      <c r="AF134" s="118"/>
      <c r="AG134" s="118"/>
      <c r="AH134" s="118"/>
      <c r="AI134" s="118"/>
      <c r="AJ134" s="118"/>
      <c r="AK134" s="118"/>
    </row>
    <row r="135" spans="1:37">
      <c r="A135" s="131"/>
      <c r="B135" s="131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  <c r="AE135" s="118"/>
      <c r="AF135" s="118"/>
      <c r="AG135" s="118"/>
      <c r="AH135" s="118"/>
      <c r="AI135" s="118"/>
      <c r="AJ135" s="118"/>
      <c r="AK135" s="118"/>
    </row>
    <row r="136" spans="1:37">
      <c r="A136" s="131"/>
      <c r="B136" s="131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  <c r="AH136" s="118"/>
      <c r="AI136" s="118"/>
      <c r="AJ136" s="118"/>
      <c r="AK136" s="118"/>
    </row>
    <row r="137" spans="1:37">
      <c r="A137" s="131"/>
      <c r="B137" s="131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  <c r="AC137" s="118"/>
      <c r="AD137" s="118"/>
      <c r="AE137" s="118"/>
      <c r="AF137" s="118"/>
      <c r="AG137" s="118"/>
      <c r="AH137" s="118"/>
      <c r="AI137" s="118"/>
      <c r="AJ137" s="118"/>
      <c r="AK137" s="118"/>
    </row>
    <row r="138" spans="1:37">
      <c r="A138" s="131"/>
      <c r="B138" s="131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</row>
    <row r="139" spans="1:37">
      <c r="A139" s="131"/>
      <c r="B139" s="131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  <c r="AE139" s="118"/>
      <c r="AF139" s="118"/>
      <c r="AG139" s="118"/>
      <c r="AH139" s="118"/>
      <c r="AI139" s="118"/>
      <c r="AJ139" s="118"/>
      <c r="AK139" s="118"/>
    </row>
    <row r="140" spans="1:37">
      <c r="A140" s="131"/>
      <c r="B140" s="131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  <c r="AE140" s="118"/>
      <c r="AF140" s="118"/>
      <c r="AG140" s="118"/>
      <c r="AH140" s="118"/>
      <c r="AI140" s="118"/>
      <c r="AJ140" s="118"/>
      <c r="AK140" s="118"/>
    </row>
    <row r="141" spans="1:37">
      <c r="A141" s="131"/>
      <c r="B141" s="131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118"/>
      <c r="AG141" s="118"/>
      <c r="AH141" s="118"/>
      <c r="AI141" s="118"/>
      <c r="AJ141" s="118"/>
      <c r="AK141" s="118"/>
    </row>
    <row r="142" spans="1:37">
      <c r="A142" s="131"/>
      <c r="B142" s="131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  <c r="AF142" s="118"/>
      <c r="AG142" s="118"/>
      <c r="AH142" s="118"/>
      <c r="AI142" s="118"/>
      <c r="AJ142" s="118"/>
      <c r="AK142" s="118"/>
    </row>
    <row r="143" spans="1:37">
      <c r="A143" s="131"/>
      <c r="B143" s="131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  <c r="AE143" s="118"/>
      <c r="AF143" s="118"/>
      <c r="AG143" s="118"/>
      <c r="AH143" s="118"/>
      <c r="AI143" s="118"/>
      <c r="AJ143" s="118"/>
      <c r="AK143" s="118"/>
    </row>
    <row r="144" spans="1:37">
      <c r="A144" s="131"/>
      <c r="B144" s="131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  <c r="AG144" s="118"/>
      <c r="AH144" s="118"/>
      <c r="AI144" s="118"/>
      <c r="AJ144" s="118"/>
      <c r="AK144" s="118"/>
    </row>
    <row r="145" spans="1:37">
      <c r="A145" s="131"/>
      <c r="B145" s="131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  <c r="AE145" s="118"/>
      <c r="AF145" s="118"/>
      <c r="AG145" s="118"/>
      <c r="AH145" s="118"/>
      <c r="AI145" s="118"/>
      <c r="AJ145" s="118"/>
      <c r="AK145" s="118"/>
    </row>
    <row r="146" spans="1:37">
      <c r="A146" s="131"/>
      <c r="B146" s="131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  <c r="AB146" s="118"/>
      <c r="AC146" s="118"/>
      <c r="AD146" s="118"/>
      <c r="AE146" s="118"/>
      <c r="AF146" s="118"/>
      <c r="AG146" s="118"/>
      <c r="AH146" s="118"/>
      <c r="AI146" s="118"/>
      <c r="AJ146" s="118"/>
      <c r="AK146" s="118"/>
    </row>
    <row r="147" spans="1:37">
      <c r="A147" s="131"/>
      <c r="B147" s="131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  <c r="AE147" s="118"/>
      <c r="AF147" s="118"/>
      <c r="AG147" s="118"/>
      <c r="AH147" s="118"/>
      <c r="AI147" s="118"/>
      <c r="AJ147" s="118"/>
      <c r="AK147" s="118"/>
    </row>
    <row r="148" spans="1:37">
      <c r="A148" s="131"/>
      <c r="B148" s="131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  <c r="AB148" s="118"/>
      <c r="AC148" s="118"/>
      <c r="AD148" s="118"/>
      <c r="AE148" s="118"/>
      <c r="AF148" s="118"/>
      <c r="AG148" s="118"/>
      <c r="AH148" s="118"/>
      <c r="AI148" s="118"/>
      <c r="AJ148" s="118"/>
      <c r="AK148" s="118"/>
    </row>
    <row r="149" spans="1:37">
      <c r="A149" s="131"/>
      <c r="B149" s="131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  <c r="AF149" s="118"/>
      <c r="AG149" s="118"/>
      <c r="AH149" s="118"/>
      <c r="AI149" s="118"/>
      <c r="AJ149" s="118"/>
      <c r="AK149" s="118"/>
    </row>
    <row r="150" spans="1:37">
      <c r="A150" s="131"/>
      <c r="B150" s="131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  <c r="AF150" s="118"/>
      <c r="AG150" s="118"/>
      <c r="AH150" s="118"/>
      <c r="AI150" s="118"/>
      <c r="AJ150" s="118"/>
      <c r="AK150" s="118"/>
    </row>
    <row r="151" spans="1:37">
      <c r="A151" s="131"/>
      <c r="B151" s="131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  <c r="AE151" s="118"/>
      <c r="AF151" s="118"/>
      <c r="AG151" s="118"/>
      <c r="AH151" s="118"/>
      <c r="AI151" s="118"/>
      <c r="AJ151" s="118"/>
      <c r="AK151" s="118"/>
    </row>
    <row r="152" spans="1:37">
      <c r="A152" s="131"/>
      <c r="B152" s="131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8"/>
      <c r="AE152" s="118"/>
      <c r="AF152" s="118"/>
      <c r="AG152" s="118"/>
      <c r="AH152" s="118"/>
      <c r="AI152" s="118"/>
      <c r="AJ152" s="118"/>
      <c r="AK152" s="118"/>
    </row>
    <row r="153" spans="1:37">
      <c r="A153" s="131"/>
      <c r="B153" s="131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  <c r="AE153" s="118"/>
      <c r="AF153" s="118"/>
      <c r="AG153" s="118"/>
      <c r="AH153" s="118"/>
      <c r="AI153" s="118"/>
      <c r="AJ153" s="118"/>
      <c r="AK153" s="118"/>
    </row>
    <row r="154" spans="1:37">
      <c r="A154" s="131"/>
      <c r="B154" s="131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  <c r="AE154" s="118"/>
      <c r="AF154" s="118"/>
      <c r="AG154" s="118"/>
      <c r="AH154" s="118"/>
      <c r="AI154" s="118"/>
      <c r="AJ154" s="118"/>
      <c r="AK154" s="118"/>
    </row>
    <row r="155" spans="1:37">
      <c r="A155" s="131"/>
      <c r="B155" s="131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  <c r="AE155" s="118"/>
      <c r="AF155" s="118"/>
      <c r="AG155" s="118"/>
      <c r="AH155" s="118"/>
      <c r="AI155" s="118"/>
      <c r="AJ155" s="118"/>
      <c r="AK155" s="118"/>
    </row>
    <row r="156" spans="1:37">
      <c r="A156" s="131"/>
      <c r="B156" s="131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  <c r="AE156" s="118"/>
      <c r="AF156" s="118"/>
      <c r="AG156" s="118"/>
      <c r="AH156" s="118"/>
      <c r="AI156" s="118"/>
      <c r="AJ156" s="118"/>
      <c r="AK156" s="118"/>
    </row>
    <row r="157" spans="1:37">
      <c r="A157" s="131"/>
      <c r="B157" s="131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  <c r="AE157" s="118"/>
      <c r="AF157" s="118"/>
      <c r="AG157" s="118"/>
      <c r="AH157" s="118"/>
      <c r="AI157" s="118"/>
      <c r="AJ157" s="118"/>
      <c r="AK157" s="118"/>
    </row>
    <row r="158" spans="1:37">
      <c r="A158" s="131"/>
      <c r="B158" s="131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  <c r="AE158" s="118"/>
      <c r="AF158" s="118"/>
      <c r="AG158" s="118"/>
      <c r="AH158" s="118"/>
      <c r="AI158" s="118"/>
      <c r="AJ158" s="118"/>
      <c r="AK158" s="118"/>
    </row>
    <row r="159" spans="1:37">
      <c r="A159" s="131"/>
      <c r="B159" s="131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8"/>
      <c r="AE159" s="118"/>
      <c r="AF159" s="118"/>
      <c r="AG159" s="118"/>
      <c r="AH159" s="118"/>
      <c r="AI159" s="118"/>
      <c r="AJ159" s="118"/>
      <c r="AK159" s="118"/>
    </row>
    <row r="160" spans="1:37">
      <c r="A160" s="131"/>
      <c r="B160" s="131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  <c r="AE160" s="118"/>
      <c r="AF160" s="118"/>
      <c r="AG160" s="118"/>
      <c r="AH160" s="118"/>
      <c r="AI160" s="118"/>
      <c r="AJ160" s="118"/>
      <c r="AK160" s="118"/>
    </row>
    <row r="161" spans="1:37">
      <c r="A161" s="131"/>
      <c r="B161" s="131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8"/>
      <c r="AE161" s="118"/>
      <c r="AF161" s="118"/>
      <c r="AG161" s="118"/>
      <c r="AH161" s="118"/>
      <c r="AI161" s="118"/>
      <c r="AJ161" s="118"/>
      <c r="AK161" s="118"/>
    </row>
    <row r="162" spans="1:37">
      <c r="A162" s="131"/>
      <c r="B162" s="131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8"/>
      <c r="AE162" s="118"/>
      <c r="AF162" s="118"/>
      <c r="AG162" s="118"/>
      <c r="AH162" s="118"/>
      <c r="AI162" s="118"/>
      <c r="AJ162" s="118"/>
      <c r="AK162" s="118"/>
    </row>
    <row r="163" spans="1:37">
      <c r="A163" s="131"/>
      <c r="B163" s="131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  <c r="AB163" s="118"/>
      <c r="AC163" s="118"/>
      <c r="AD163" s="118"/>
      <c r="AE163" s="118"/>
      <c r="AF163" s="118"/>
      <c r="AG163" s="118"/>
      <c r="AH163" s="118"/>
      <c r="AI163" s="118"/>
      <c r="AJ163" s="118"/>
      <c r="AK163" s="118"/>
    </row>
    <row r="164" spans="1:37">
      <c r="A164" s="131"/>
      <c r="B164" s="131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8"/>
      <c r="AG164" s="118"/>
      <c r="AH164" s="118"/>
      <c r="AI164" s="118"/>
      <c r="AJ164" s="118"/>
      <c r="AK164" s="118"/>
    </row>
    <row r="165" spans="1:37">
      <c r="A165" s="131"/>
      <c r="B165" s="131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  <c r="AF165" s="118"/>
      <c r="AG165" s="118"/>
      <c r="AH165" s="118"/>
      <c r="AI165" s="118"/>
      <c r="AJ165" s="118"/>
      <c r="AK165" s="118"/>
    </row>
    <row r="166" spans="1:37">
      <c r="A166" s="131"/>
      <c r="B166" s="131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  <c r="AE166" s="118"/>
      <c r="AF166" s="118"/>
      <c r="AG166" s="118"/>
      <c r="AH166" s="118"/>
      <c r="AI166" s="118"/>
      <c r="AJ166" s="118"/>
      <c r="AK166" s="118"/>
    </row>
    <row r="167" spans="1:37">
      <c r="A167" s="131"/>
      <c r="B167" s="131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  <c r="AE167" s="118"/>
      <c r="AF167" s="118"/>
      <c r="AG167" s="118"/>
      <c r="AH167" s="118"/>
      <c r="AI167" s="118"/>
      <c r="AJ167" s="118"/>
      <c r="AK167" s="118"/>
    </row>
    <row r="168" spans="1:37">
      <c r="A168" s="131"/>
      <c r="B168" s="131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  <c r="AG168" s="118"/>
      <c r="AH168" s="118"/>
      <c r="AI168" s="118"/>
      <c r="AJ168" s="118"/>
      <c r="AK168" s="118"/>
    </row>
    <row r="169" spans="1:37">
      <c r="A169" s="131"/>
      <c r="B169" s="131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8"/>
      <c r="AH169" s="118"/>
      <c r="AI169" s="118"/>
      <c r="AJ169" s="118"/>
      <c r="AK169" s="118"/>
    </row>
    <row r="170" spans="1:37">
      <c r="A170" s="131"/>
      <c r="B170" s="131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8"/>
      <c r="AH170" s="118"/>
      <c r="AI170" s="118"/>
      <c r="AJ170" s="118"/>
      <c r="AK170" s="118"/>
    </row>
    <row r="171" spans="1:37">
      <c r="A171" s="131"/>
      <c r="B171" s="131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8"/>
      <c r="AH171" s="118"/>
      <c r="AI171" s="118"/>
      <c r="AJ171" s="118"/>
      <c r="AK171" s="118"/>
    </row>
    <row r="172" spans="1:37">
      <c r="A172" s="131"/>
      <c r="B172" s="131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8"/>
      <c r="AH172" s="118"/>
      <c r="AI172" s="118"/>
      <c r="AJ172" s="118"/>
      <c r="AK172" s="118"/>
    </row>
    <row r="173" spans="1:37">
      <c r="A173" s="131"/>
      <c r="B173" s="131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8"/>
      <c r="AH173" s="118"/>
      <c r="AI173" s="118"/>
      <c r="AJ173" s="118"/>
      <c r="AK173" s="118"/>
    </row>
    <row r="174" spans="1:37">
      <c r="A174" s="131"/>
      <c r="B174" s="131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8"/>
      <c r="AH174" s="118"/>
      <c r="AI174" s="118"/>
      <c r="AJ174" s="118"/>
      <c r="AK174" s="118"/>
    </row>
    <row r="175" spans="1:37">
      <c r="A175" s="131"/>
      <c r="B175" s="131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8"/>
      <c r="AH175" s="118"/>
      <c r="AI175" s="118"/>
      <c r="AJ175" s="118"/>
      <c r="AK175" s="118"/>
    </row>
    <row r="176" spans="1:37">
      <c r="A176" s="131"/>
      <c r="B176" s="131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</row>
    <row r="177" spans="1:37">
      <c r="A177" s="131"/>
      <c r="B177" s="131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8"/>
      <c r="AH177" s="118"/>
      <c r="AI177" s="118"/>
      <c r="AJ177" s="118"/>
      <c r="AK177" s="118"/>
    </row>
    <row r="178" spans="1:37">
      <c r="A178" s="131"/>
      <c r="B178" s="131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8"/>
      <c r="AE178" s="118"/>
      <c r="AF178" s="118"/>
      <c r="AG178" s="118"/>
      <c r="AH178" s="118"/>
      <c r="AI178" s="118"/>
      <c r="AJ178" s="118"/>
      <c r="AK178" s="118"/>
    </row>
    <row r="179" spans="1:37">
      <c r="A179" s="131"/>
      <c r="B179" s="131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8"/>
      <c r="AE179" s="118"/>
      <c r="AF179" s="118"/>
      <c r="AG179" s="118"/>
      <c r="AH179" s="118"/>
      <c r="AI179" s="118"/>
      <c r="AJ179" s="118"/>
      <c r="AK179" s="118"/>
    </row>
    <row r="180" spans="1:37">
      <c r="A180" s="131"/>
      <c r="B180" s="131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  <c r="AE180" s="118"/>
      <c r="AF180" s="118"/>
      <c r="AG180" s="118"/>
      <c r="AH180" s="118"/>
      <c r="AI180" s="118"/>
      <c r="AJ180" s="118"/>
      <c r="AK180" s="118"/>
    </row>
    <row r="181" spans="1:37">
      <c r="A181" s="131"/>
      <c r="B181" s="131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8"/>
      <c r="AE181" s="118"/>
      <c r="AF181" s="118"/>
      <c r="AG181" s="118"/>
      <c r="AH181" s="118"/>
      <c r="AI181" s="118"/>
      <c r="AJ181" s="118"/>
      <c r="AK181" s="118"/>
    </row>
    <row r="182" spans="1:37">
      <c r="A182" s="131"/>
      <c r="B182" s="131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  <c r="AF182" s="118"/>
      <c r="AG182" s="118"/>
      <c r="AH182" s="118"/>
      <c r="AI182" s="118"/>
      <c r="AJ182" s="118"/>
      <c r="AK182" s="118"/>
    </row>
    <row r="183" spans="1:37">
      <c r="A183" s="131"/>
      <c r="B183" s="131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  <c r="AF183" s="118"/>
      <c r="AG183" s="118"/>
      <c r="AH183" s="118"/>
      <c r="AI183" s="118"/>
      <c r="AJ183" s="118"/>
      <c r="AK183" s="118"/>
    </row>
    <row r="184" spans="1:37">
      <c r="A184" s="131"/>
      <c r="B184" s="131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8"/>
      <c r="AE184" s="118"/>
      <c r="AF184" s="118"/>
      <c r="AG184" s="118"/>
      <c r="AH184" s="118"/>
      <c r="AI184" s="118"/>
      <c r="AJ184" s="118"/>
      <c r="AK184" s="118"/>
    </row>
    <row r="185" spans="1:37">
      <c r="A185" s="131"/>
      <c r="B185" s="131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  <c r="AB185" s="118"/>
      <c r="AC185" s="118"/>
      <c r="AD185" s="118"/>
      <c r="AE185" s="118"/>
      <c r="AF185" s="118"/>
      <c r="AG185" s="118"/>
      <c r="AH185" s="118"/>
      <c r="AI185" s="118"/>
      <c r="AJ185" s="118"/>
      <c r="AK185" s="118"/>
    </row>
    <row r="186" spans="1:37">
      <c r="A186" s="131"/>
      <c r="B186" s="131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8"/>
      <c r="AE186" s="118"/>
      <c r="AF186" s="118"/>
      <c r="AG186" s="118"/>
      <c r="AH186" s="118"/>
      <c r="AI186" s="118"/>
      <c r="AJ186" s="118"/>
      <c r="AK186" s="118"/>
    </row>
    <row r="187" spans="1:37">
      <c r="A187" s="131"/>
      <c r="B187" s="131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8"/>
      <c r="AG187" s="118"/>
      <c r="AH187" s="118"/>
      <c r="AI187" s="118"/>
      <c r="AJ187" s="118"/>
      <c r="AK187" s="118"/>
    </row>
    <row r="188" spans="1:37">
      <c r="A188" s="131"/>
      <c r="B188" s="131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8"/>
      <c r="AE188" s="118"/>
      <c r="AF188" s="118"/>
      <c r="AG188" s="118"/>
      <c r="AH188" s="118"/>
      <c r="AI188" s="118"/>
      <c r="AJ188" s="118"/>
      <c r="AK188" s="118"/>
    </row>
    <row r="189" spans="1:37">
      <c r="A189" s="131"/>
      <c r="B189" s="131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  <c r="AE189" s="118"/>
      <c r="AF189" s="118"/>
      <c r="AG189" s="118"/>
      <c r="AH189" s="118"/>
      <c r="AI189" s="118"/>
      <c r="AJ189" s="118"/>
      <c r="AK189" s="118"/>
    </row>
    <row r="190" spans="1:37">
      <c r="A190" s="131"/>
      <c r="B190" s="131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8"/>
      <c r="AE190" s="118"/>
      <c r="AF190" s="118"/>
      <c r="AG190" s="118"/>
      <c r="AH190" s="118"/>
      <c r="AI190" s="118"/>
      <c r="AJ190" s="118"/>
      <c r="AK190" s="118"/>
    </row>
    <row r="191" spans="1:37">
      <c r="A191" s="131"/>
      <c r="B191" s="131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8"/>
      <c r="AE191" s="118"/>
      <c r="AF191" s="118"/>
      <c r="AG191" s="118"/>
      <c r="AH191" s="118"/>
      <c r="AI191" s="118"/>
      <c r="AJ191" s="118"/>
      <c r="AK191" s="118"/>
    </row>
    <row r="192" spans="1:37">
      <c r="A192" s="131"/>
      <c r="B192" s="131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8"/>
      <c r="AE192" s="118"/>
      <c r="AF192" s="118"/>
      <c r="AG192" s="118"/>
      <c r="AH192" s="118"/>
      <c r="AI192" s="118"/>
      <c r="AJ192" s="118"/>
      <c r="AK192" s="118"/>
    </row>
    <row r="193" spans="1:37">
      <c r="A193" s="131"/>
      <c r="B193" s="131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  <c r="AB193" s="118"/>
      <c r="AC193" s="118"/>
      <c r="AD193" s="118"/>
      <c r="AE193" s="118"/>
      <c r="AF193" s="118"/>
      <c r="AG193" s="118"/>
      <c r="AH193" s="118"/>
      <c r="AI193" s="118"/>
      <c r="AJ193" s="118"/>
      <c r="AK193" s="118"/>
    </row>
    <row r="194" spans="1:37">
      <c r="A194" s="131"/>
      <c r="B194" s="131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8"/>
      <c r="AE194" s="118"/>
      <c r="AF194" s="118"/>
      <c r="AG194" s="118"/>
      <c r="AH194" s="118"/>
      <c r="AI194" s="118"/>
      <c r="AJ194" s="118"/>
      <c r="AK194" s="118"/>
    </row>
    <row r="195" spans="1:37">
      <c r="A195" s="131"/>
      <c r="B195" s="131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8"/>
      <c r="AE195" s="118"/>
      <c r="AF195" s="118"/>
      <c r="AG195" s="118"/>
      <c r="AH195" s="118"/>
      <c r="AI195" s="118"/>
      <c r="AJ195" s="118"/>
      <c r="AK195" s="118"/>
    </row>
    <row r="196" spans="1:37">
      <c r="A196" s="131"/>
      <c r="B196" s="131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8"/>
      <c r="AE196" s="118"/>
      <c r="AF196" s="118"/>
      <c r="AG196" s="118"/>
      <c r="AH196" s="118"/>
      <c r="AI196" s="118"/>
      <c r="AJ196" s="118"/>
      <c r="AK196" s="118"/>
    </row>
    <row r="197" spans="1:37">
      <c r="A197" s="131"/>
      <c r="B197" s="131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8"/>
      <c r="AE197" s="118"/>
      <c r="AF197" s="118"/>
      <c r="AG197" s="118"/>
      <c r="AH197" s="118"/>
      <c r="AI197" s="118"/>
      <c r="AJ197" s="118"/>
      <c r="AK197" s="118"/>
    </row>
    <row r="198" spans="1:37">
      <c r="A198" s="131"/>
      <c r="B198" s="131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  <c r="AF198" s="118"/>
      <c r="AG198" s="118"/>
      <c r="AH198" s="118"/>
      <c r="AI198" s="118"/>
      <c r="AJ198" s="118"/>
      <c r="AK198" s="118"/>
    </row>
    <row r="199" spans="1:37">
      <c r="A199" s="131"/>
      <c r="B199" s="131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8"/>
      <c r="AE199" s="118"/>
      <c r="AF199" s="118"/>
      <c r="AG199" s="118"/>
      <c r="AH199" s="118"/>
      <c r="AI199" s="118"/>
      <c r="AJ199" s="118"/>
      <c r="AK199" s="118"/>
    </row>
    <row r="200" spans="1:37">
      <c r="A200" s="131"/>
      <c r="B200" s="131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  <c r="AH200" s="118"/>
      <c r="AI200" s="118"/>
      <c r="AJ200" s="118"/>
      <c r="AK200" s="118"/>
    </row>
    <row r="201" spans="1:37">
      <c r="A201" s="131"/>
      <c r="B201" s="131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  <c r="AE201" s="118"/>
      <c r="AF201" s="118"/>
      <c r="AG201" s="118"/>
      <c r="AH201" s="118"/>
      <c r="AI201" s="118"/>
      <c r="AJ201" s="118"/>
      <c r="AK201" s="118"/>
    </row>
    <row r="202" spans="1:37">
      <c r="A202" s="131"/>
      <c r="B202" s="131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  <c r="AH202" s="118"/>
      <c r="AI202" s="118"/>
      <c r="AJ202" s="118"/>
      <c r="AK202" s="118"/>
    </row>
    <row r="203" spans="1:37">
      <c r="A203" s="131"/>
      <c r="B203" s="131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  <c r="AG203" s="118"/>
      <c r="AH203" s="118"/>
      <c r="AI203" s="118"/>
      <c r="AJ203" s="118"/>
      <c r="AK203" s="118"/>
    </row>
    <row r="204" spans="1:37">
      <c r="A204" s="131"/>
      <c r="B204" s="131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  <c r="AE204" s="118"/>
      <c r="AF204" s="118"/>
      <c r="AG204" s="118"/>
      <c r="AH204" s="118"/>
      <c r="AI204" s="118"/>
      <c r="AJ204" s="118"/>
      <c r="AK204" s="118"/>
    </row>
    <row r="205" spans="1:37">
      <c r="A205" s="131"/>
      <c r="B205" s="131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  <c r="AE205" s="118"/>
      <c r="AF205" s="118"/>
      <c r="AG205" s="118"/>
      <c r="AH205" s="118"/>
      <c r="AI205" s="118"/>
      <c r="AJ205" s="118"/>
      <c r="AK205" s="118"/>
    </row>
    <row r="206" spans="1:37">
      <c r="A206" s="131"/>
      <c r="B206" s="131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8"/>
      <c r="AE206" s="118"/>
      <c r="AF206" s="118"/>
      <c r="AG206" s="118"/>
      <c r="AH206" s="118"/>
      <c r="AI206" s="118"/>
      <c r="AJ206" s="118"/>
      <c r="AK206" s="118"/>
    </row>
    <row r="207" spans="1:37">
      <c r="A207" s="131"/>
      <c r="B207" s="131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8"/>
      <c r="AE207" s="118"/>
      <c r="AF207" s="118"/>
      <c r="AG207" s="118"/>
      <c r="AH207" s="118"/>
      <c r="AI207" s="118"/>
      <c r="AJ207" s="118"/>
      <c r="AK207" s="118"/>
    </row>
    <row r="208" spans="1:37">
      <c r="A208" s="131"/>
      <c r="B208" s="131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8"/>
      <c r="AE208" s="118"/>
      <c r="AF208" s="118"/>
      <c r="AG208" s="118"/>
      <c r="AH208" s="118"/>
      <c r="AI208" s="118"/>
      <c r="AJ208" s="118"/>
      <c r="AK208" s="118"/>
    </row>
    <row r="209" spans="1:37">
      <c r="A209" s="131"/>
      <c r="B209" s="131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8"/>
      <c r="AE209" s="118"/>
      <c r="AF209" s="118"/>
      <c r="AG209" s="118"/>
      <c r="AH209" s="118"/>
      <c r="AI209" s="118"/>
      <c r="AJ209" s="118"/>
      <c r="AK209" s="118"/>
    </row>
    <row r="210" spans="1:37">
      <c r="A210" s="131"/>
      <c r="B210" s="131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8"/>
      <c r="AE210" s="118"/>
      <c r="AF210" s="118"/>
      <c r="AG210" s="118"/>
      <c r="AH210" s="118"/>
      <c r="AI210" s="118"/>
      <c r="AJ210" s="118"/>
      <c r="AK210" s="118"/>
    </row>
    <row r="211" spans="1:37">
      <c r="A211" s="131"/>
      <c r="B211" s="131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  <c r="AB211" s="118"/>
      <c r="AC211" s="118"/>
      <c r="AD211" s="118"/>
      <c r="AE211" s="118"/>
      <c r="AF211" s="118"/>
      <c r="AG211" s="118"/>
      <c r="AH211" s="118"/>
      <c r="AI211" s="118"/>
      <c r="AJ211" s="118"/>
      <c r="AK211" s="118"/>
    </row>
    <row r="212" spans="1:37">
      <c r="A212" s="131"/>
      <c r="B212" s="131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  <c r="AB212" s="118"/>
      <c r="AC212" s="118"/>
      <c r="AD212" s="118"/>
      <c r="AE212" s="118"/>
      <c r="AF212" s="118"/>
      <c r="AG212" s="118"/>
      <c r="AH212" s="118"/>
      <c r="AI212" s="118"/>
      <c r="AJ212" s="118"/>
      <c r="AK212" s="118"/>
    </row>
    <row r="213" spans="1:37">
      <c r="A213" s="131"/>
      <c r="B213" s="131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18"/>
      <c r="AC213" s="118"/>
      <c r="AD213" s="118"/>
      <c r="AE213" s="118"/>
      <c r="AF213" s="118"/>
      <c r="AG213" s="118"/>
      <c r="AH213" s="118"/>
      <c r="AI213" s="118"/>
      <c r="AJ213" s="118"/>
      <c r="AK213" s="118"/>
    </row>
    <row r="214" spans="1:37">
      <c r="A214" s="131"/>
      <c r="B214" s="131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</row>
    <row r="215" spans="1:37">
      <c r="A215" s="131"/>
      <c r="B215" s="131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8"/>
      <c r="AE215" s="118"/>
      <c r="AF215" s="118"/>
      <c r="AG215" s="118"/>
      <c r="AH215" s="118"/>
      <c r="AI215" s="118"/>
      <c r="AJ215" s="118"/>
      <c r="AK215" s="118"/>
    </row>
    <row r="216" spans="1:37">
      <c r="A216" s="131"/>
      <c r="B216" s="131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  <c r="AB216" s="118"/>
      <c r="AC216" s="118"/>
      <c r="AD216" s="118"/>
      <c r="AE216" s="118"/>
      <c r="AF216" s="118"/>
      <c r="AG216" s="118"/>
      <c r="AH216" s="118"/>
      <c r="AI216" s="118"/>
      <c r="AJ216" s="118"/>
      <c r="AK216" s="118"/>
    </row>
    <row r="217" spans="1:37">
      <c r="A217" s="131"/>
      <c r="B217" s="131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8"/>
      <c r="AE217" s="118"/>
      <c r="AF217" s="118"/>
      <c r="AG217" s="118"/>
      <c r="AH217" s="118"/>
      <c r="AI217" s="118"/>
      <c r="AJ217" s="118"/>
      <c r="AK217" s="118"/>
    </row>
    <row r="218" spans="1:37">
      <c r="A218" s="131"/>
      <c r="B218" s="131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8"/>
      <c r="AE218" s="118"/>
      <c r="AF218" s="118"/>
      <c r="AG218" s="118"/>
      <c r="AH218" s="118"/>
      <c r="AI218" s="118"/>
      <c r="AJ218" s="118"/>
      <c r="AK218" s="118"/>
    </row>
    <row r="219" spans="1:37">
      <c r="A219" s="131"/>
      <c r="B219" s="131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8"/>
      <c r="AE219" s="118"/>
      <c r="AF219" s="118"/>
      <c r="AG219" s="118"/>
      <c r="AH219" s="118"/>
      <c r="AI219" s="118"/>
      <c r="AJ219" s="118"/>
      <c r="AK219" s="118"/>
    </row>
    <row r="220" spans="1:37">
      <c r="A220" s="131"/>
      <c r="B220" s="131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  <c r="AE220" s="118"/>
      <c r="AF220" s="118"/>
      <c r="AG220" s="118"/>
      <c r="AH220" s="118"/>
      <c r="AI220" s="118"/>
      <c r="AJ220" s="118"/>
      <c r="AK220" s="118"/>
    </row>
    <row r="221" spans="1:37">
      <c r="A221" s="131"/>
      <c r="B221" s="131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8"/>
      <c r="AH221" s="118"/>
      <c r="AI221" s="118"/>
      <c r="AJ221" s="118"/>
      <c r="AK221" s="118"/>
    </row>
    <row r="222" spans="1:37">
      <c r="A222" s="131"/>
      <c r="B222" s="131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8"/>
      <c r="AH222" s="118"/>
      <c r="AI222" s="118"/>
      <c r="AJ222" s="118"/>
      <c r="AK222" s="118"/>
    </row>
    <row r="223" spans="1:37">
      <c r="A223" s="131"/>
      <c r="B223" s="131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8"/>
      <c r="AH223" s="118"/>
      <c r="AI223" s="118"/>
      <c r="AJ223" s="118"/>
      <c r="AK223" s="118"/>
    </row>
    <row r="224" spans="1:37">
      <c r="A224" s="131"/>
      <c r="B224" s="131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8"/>
      <c r="AH224" s="118"/>
      <c r="AI224" s="118"/>
      <c r="AJ224" s="118"/>
      <c r="AK224" s="118"/>
    </row>
    <row r="225" spans="1:37">
      <c r="A225" s="131"/>
      <c r="B225" s="131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8"/>
      <c r="AH225" s="118"/>
      <c r="AI225" s="118"/>
      <c r="AJ225" s="118"/>
      <c r="AK225" s="118"/>
    </row>
    <row r="226" spans="1:37">
      <c r="A226" s="131"/>
      <c r="B226" s="131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8"/>
      <c r="AH226" s="118"/>
      <c r="AI226" s="118"/>
      <c r="AJ226" s="118"/>
      <c r="AK226" s="118"/>
    </row>
    <row r="227" spans="1:37">
      <c r="A227" s="131"/>
      <c r="B227" s="131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8"/>
      <c r="AH227" s="118"/>
      <c r="AI227" s="118"/>
      <c r="AJ227" s="118"/>
      <c r="AK227" s="118"/>
    </row>
    <row r="228" spans="1:37">
      <c r="A228" s="131"/>
      <c r="B228" s="131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8"/>
      <c r="AH228" s="118"/>
      <c r="AI228" s="118"/>
      <c r="AJ228" s="118"/>
      <c r="AK228" s="118"/>
    </row>
    <row r="229" spans="1:37">
      <c r="A229" s="131"/>
      <c r="B229" s="131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8"/>
      <c r="AH229" s="118"/>
      <c r="AI229" s="118"/>
      <c r="AJ229" s="118"/>
      <c r="AK229" s="118"/>
    </row>
    <row r="230" spans="1:37">
      <c r="A230" s="131"/>
      <c r="B230" s="131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  <c r="AB230" s="118"/>
      <c r="AC230" s="118"/>
      <c r="AD230" s="118"/>
      <c r="AE230" s="118"/>
      <c r="AF230" s="118"/>
      <c r="AG230" s="118"/>
      <c r="AH230" s="118"/>
      <c r="AI230" s="118"/>
      <c r="AJ230" s="118"/>
      <c r="AK230" s="118"/>
    </row>
    <row r="231" spans="1:37">
      <c r="A231" s="131"/>
      <c r="B231" s="131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  <c r="AB231" s="118"/>
      <c r="AC231" s="118"/>
      <c r="AD231" s="118"/>
      <c r="AE231" s="118"/>
      <c r="AF231" s="118"/>
      <c r="AG231" s="118"/>
      <c r="AH231" s="118"/>
      <c r="AI231" s="118"/>
      <c r="AJ231" s="118"/>
      <c r="AK231" s="118"/>
    </row>
    <row r="232" spans="1:37">
      <c r="A232" s="131"/>
      <c r="B232" s="131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  <c r="AB232" s="118"/>
      <c r="AC232" s="118"/>
      <c r="AD232" s="118"/>
      <c r="AE232" s="118"/>
      <c r="AF232" s="118"/>
      <c r="AG232" s="118"/>
      <c r="AH232" s="118"/>
      <c r="AI232" s="118"/>
      <c r="AJ232" s="118"/>
      <c r="AK232" s="118"/>
    </row>
    <row r="233" spans="1:37">
      <c r="A233" s="131"/>
      <c r="B233" s="131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  <c r="AB233" s="118"/>
      <c r="AC233" s="118"/>
      <c r="AD233" s="118"/>
      <c r="AE233" s="118"/>
      <c r="AF233" s="118"/>
      <c r="AG233" s="118"/>
      <c r="AH233" s="118"/>
      <c r="AI233" s="118"/>
      <c r="AJ233" s="118"/>
      <c r="AK233" s="118"/>
    </row>
    <row r="234" spans="1:37">
      <c r="A234" s="131"/>
      <c r="B234" s="131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  <c r="AB234" s="118"/>
      <c r="AC234" s="118"/>
      <c r="AD234" s="118"/>
      <c r="AE234" s="118"/>
      <c r="AF234" s="118"/>
      <c r="AG234" s="118"/>
      <c r="AH234" s="118"/>
      <c r="AI234" s="118"/>
      <c r="AJ234" s="118"/>
      <c r="AK234" s="118"/>
    </row>
    <row r="235" spans="1:37">
      <c r="A235" s="131"/>
      <c r="B235" s="131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  <c r="AB235" s="118"/>
      <c r="AC235" s="118"/>
      <c r="AD235" s="118"/>
      <c r="AE235" s="118"/>
      <c r="AF235" s="118"/>
      <c r="AG235" s="118"/>
      <c r="AH235" s="118"/>
      <c r="AI235" s="118"/>
      <c r="AJ235" s="118"/>
      <c r="AK235" s="118"/>
    </row>
    <row r="236" spans="1:37">
      <c r="A236" s="131"/>
      <c r="B236" s="131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  <c r="AA236" s="118"/>
      <c r="AB236" s="118"/>
      <c r="AC236" s="118"/>
      <c r="AD236" s="118"/>
      <c r="AE236" s="118"/>
      <c r="AF236" s="118"/>
      <c r="AG236" s="118"/>
      <c r="AH236" s="118"/>
      <c r="AI236" s="118"/>
      <c r="AJ236" s="118"/>
      <c r="AK236" s="118"/>
    </row>
    <row r="237" spans="1:37">
      <c r="A237" s="131"/>
      <c r="B237" s="131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8"/>
      <c r="AE237" s="118"/>
      <c r="AF237" s="118"/>
      <c r="AG237" s="118"/>
      <c r="AH237" s="118"/>
      <c r="AI237" s="118"/>
      <c r="AJ237" s="118"/>
      <c r="AK237" s="118"/>
    </row>
    <row r="238" spans="1:37">
      <c r="A238" s="131"/>
      <c r="B238" s="131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  <c r="AB238" s="118"/>
      <c r="AC238" s="118"/>
      <c r="AD238" s="118"/>
      <c r="AE238" s="118"/>
      <c r="AF238" s="118"/>
      <c r="AG238" s="118"/>
      <c r="AH238" s="118"/>
      <c r="AI238" s="118"/>
      <c r="AJ238" s="118"/>
      <c r="AK238" s="118"/>
    </row>
    <row r="239" spans="1:37">
      <c r="A239" s="131"/>
      <c r="B239" s="131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8"/>
      <c r="AE239" s="118"/>
      <c r="AF239" s="118"/>
      <c r="AG239" s="118"/>
      <c r="AH239" s="118"/>
      <c r="AI239" s="118"/>
      <c r="AJ239" s="118"/>
      <c r="AK239" s="118"/>
    </row>
    <row r="240" spans="1:37">
      <c r="A240" s="131"/>
      <c r="B240" s="131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8"/>
      <c r="AE240" s="118"/>
      <c r="AF240" s="118"/>
      <c r="AG240" s="118"/>
      <c r="AH240" s="118"/>
      <c r="AI240" s="118"/>
      <c r="AJ240" s="118"/>
      <c r="AK240" s="118"/>
    </row>
    <row r="241" spans="1:37">
      <c r="A241" s="131"/>
      <c r="B241" s="131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  <c r="AB241" s="118"/>
      <c r="AC241" s="118"/>
      <c r="AD241" s="118"/>
      <c r="AE241" s="118"/>
      <c r="AF241" s="118"/>
      <c r="AG241" s="118"/>
      <c r="AH241" s="118"/>
      <c r="AI241" s="118"/>
      <c r="AJ241" s="118"/>
      <c r="AK241" s="118"/>
    </row>
    <row r="242" spans="1:37">
      <c r="A242" s="131"/>
      <c r="B242" s="131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  <c r="AB242" s="118"/>
      <c r="AC242" s="118"/>
      <c r="AD242" s="118"/>
      <c r="AE242" s="118"/>
      <c r="AF242" s="118"/>
      <c r="AG242" s="118"/>
      <c r="AH242" s="118"/>
      <c r="AI242" s="118"/>
      <c r="AJ242" s="118"/>
      <c r="AK242" s="118"/>
    </row>
    <row r="243" spans="1:37">
      <c r="A243" s="131"/>
      <c r="B243" s="131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8"/>
      <c r="AE243" s="118"/>
      <c r="AF243" s="118"/>
      <c r="AG243" s="118"/>
      <c r="AH243" s="118"/>
      <c r="AI243" s="118"/>
      <c r="AJ243" s="118"/>
      <c r="AK243" s="118"/>
    </row>
    <row r="244" spans="1:37">
      <c r="A244" s="131"/>
      <c r="B244" s="131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  <c r="AA244" s="118"/>
      <c r="AB244" s="118"/>
      <c r="AC244" s="118"/>
      <c r="AD244" s="118"/>
      <c r="AE244" s="118"/>
      <c r="AF244" s="118"/>
      <c r="AG244" s="118"/>
      <c r="AH244" s="118"/>
      <c r="AI244" s="118"/>
      <c r="AJ244" s="118"/>
      <c r="AK244" s="118"/>
    </row>
    <row r="245" spans="1:37">
      <c r="A245" s="131"/>
      <c r="B245" s="131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  <c r="AA245" s="118"/>
      <c r="AB245" s="118"/>
      <c r="AC245" s="118"/>
      <c r="AD245" s="118"/>
      <c r="AE245" s="118"/>
      <c r="AF245" s="118"/>
      <c r="AG245" s="118"/>
      <c r="AH245" s="118"/>
      <c r="AI245" s="118"/>
      <c r="AJ245" s="118"/>
      <c r="AK245" s="118"/>
    </row>
    <row r="246" spans="1:37">
      <c r="A246" s="131"/>
      <c r="B246" s="131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  <c r="AA246" s="118"/>
      <c r="AB246" s="118"/>
      <c r="AC246" s="118"/>
      <c r="AD246" s="118"/>
      <c r="AE246" s="118"/>
      <c r="AF246" s="118"/>
      <c r="AG246" s="118"/>
      <c r="AH246" s="118"/>
      <c r="AI246" s="118"/>
      <c r="AJ246" s="118"/>
      <c r="AK246" s="118"/>
    </row>
    <row r="247" spans="1:37">
      <c r="A247" s="131"/>
      <c r="B247" s="131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  <c r="AA247" s="118"/>
      <c r="AB247" s="118"/>
      <c r="AC247" s="118"/>
      <c r="AD247" s="118"/>
      <c r="AE247" s="118"/>
      <c r="AF247" s="118"/>
      <c r="AG247" s="118"/>
      <c r="AH247" s="118"/>
      <c r="AI247" s="118"/>
      <c r="AJ247" s="118"/>
      <c r="AK247" s="118"/>
    </row>
    <row r="248" spans="1:37">
      <c r="A248" s="131"/>
      <c r="B248" s="131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  <c r="AA248" s="118"/>
      <c r="AB248" s="118"/>
      <c r="AC248" s="118"/>
      <c r="AD248" s="118"/>
      <c r="AE248" s="118"/>
      <c r="AF248" s="118"/>
      <c r="AG248" s="118"/>
      <c r="AH248" s="118"/>
      <c r="AI248" s="118"/>
      <c r="AJ248" s="118"/>
      <c r="AK248" s="118"/>
    </row>
    <row r="249" spans="1:37">
      <c r="A249" s="131"/>
      <c r="B249" s="131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  <c r="AA249" s="118"/>
      <c r="AB249" s="118"/>
      <c r="AC249" s="118"/>
      <c r="AD249" s="118"/>
      <c r="AE249" s="118"/>
      <c r="AF249" s="118"/>
      <c r="AG249" s="118"/>
      <c r="AH249" s="118"/>
      <c r="AI249" s="118"/>
      <c r="AJ249" s="118"/>
      <c r="AK249" s="118"/>
    </row>
    <row r="250" spans="1:37">
      <c r="A250" s="131"/>
      <c r="B250" s="131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  <c r="AA250" s="118"/>
      <c r="AB250" s="118"/>
      <c r="AC250" s="118"/>
      <c r="AD250" s="118"/>
      <c r="AE250" s="118"/>
      <c r="AF250" s="118"/>
      <c r="AG250" s="118"/>
      <c r="AH250" s="118"/>
      <c r="AI250" s="118"/>
      <c r="AJ250" s="118"/>
      <c r="AK250" s="118"/>
    </row>
    <row r="251" spans="1:37">
      <c r="A251" s="131"/>
      <c r="B251" s="131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  <c r="AA251" s="118"/>
      <c r="AB251" s="118"/>
      <c r="AC251" s="118"/>
      <c r="AD251" s="118"/>
      <c r="AE251" s="118"/>
      <c r="AF251" s="118"/>
      <c r="AG251" s="118"/>
      <c r="AH251" s="118"/>
      <c r="AI251" s="118"/>
      <c r="AJ251" s="118"/>
      <c r="AK251" s="118"/>
    </row>
    <row r="252" spans="1:37">
      <c r="A252" s="131"/>
      <c r="B252" s="131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</row>
    <row r="253" spans="1:37">
      <c r="A253" s="131"/>
      <c r="B253" s="131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  <c r="AB253" s="118"/>
      <c r="AC253" s="118"/>
      <c r="AD253" s="118"/>
      <c r="AE253" s="118"/>
      <c r="AF253" s="118"/>
      <c r="AG253" s="118"/>
      <c r="AH253" s="118"/>
      <c r="AI253" s="118"/>
      <c r="AJ253" s="118"/>
      <c r="AK253" s="118"/>
    </row>
    <row r="254" spans="1:37">
      <c r="A254" s="131"/>
      <c r="B254" s="131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  <c r="AB254" s="118"/>
      <c r="AC254" s="118"/>
      <c r="AD254" s="118"/>
      <c r="AE254" s="118"/>
      <c r="AF254" s="118"/>
      <c r="AG254" s="118"/>
      <c r="AH254" s="118"/>
      <c r="AI254" s="118"/>
      <c r="AJ254" s="118"/>
      <c r="AK254" s="118"/>
    </row>
    <row r="255" spans="1:37">
      <c r="A255" s="131"/>
      <c r="B255" s="131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  <c r="AB255" s="118"/>
      <c r="AC255" s="118"/>
      <c r="AD255" s="118"/>
      <c r="AE255" s="118"/>
      <c r="AF255" s="118"/>
      <c r="AG255" s="118"/>
      <c r="AH255" s="118"/>
      <c r="AI255" s="118"/>
      <c r="AJ255" s="118"/>
      <c r="AK255" s="118"/>
    </row>
    <row r="256" spans="1:37">
      <c r="A256" s="131"/>
      <c r="B256" s="131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  <c r="AB256" s="118"/>
      <c r="AC256" s="118"/>
      <c r="AD256" s="118"/>
      <c r="AE256" s="118"/>
      <c r="AF256" s="118"/>
      <c r="AG256" s="118"/>
      <c r="AH256" s="118"/>
      <c r="AI256" s="118"/>
      <c r="AJ256" s="118"/>
      <c r="AK256" s="118"/>
    </row>
    <row r="257" spans="1:37">
      <c r="A257" s="131"/>
      <c r="B257" s="131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  <c r="AB257" s="118"/>
      <c r="AC257" s="118"/>
      <c r="AD257" s="118"/>
      <c r="AE257" s="118"/>
      <c r="AF257" s="118"/>
      <c r="AG257" s="118"/>
      <c r="AH257" s="118"/>
      <c r="AI257" s="118"/>
      <c r="AJ257" s="118"/>
      <c r="AK257" s="118"/>
    </row>
    <row r="258" spans="1:37">
      <c r="A258" s="131"/>
      <c r="B258" s="131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  <c r="AB258" s="118"/>
      <c r="AC258" s="118"/>
      <c r="AD258" s="118"/>
      <c r="AE258" s="118"/>
      <c r="AF258" s="118"/>
      <c r="AG258" s="118"/>
      <c r="AH258" s="118"/>
      <c r="AI258" s="118"/>
      <c r="AJ258" s="118"/>
      <c r="AK258" s="118"/>
    </row>
    <row r="259" spans="1:37">
      <c r="A259" s="131"/>
      <c r="B259" s="131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  <c r="AB259" s="118"/>
      <c r="AC259" s="118"/>
      <c r="AD259" s="118"/>
      <c r="AE259" s="118"/>
      <c r="AF259" s="118"/>
      <c r="AG259" s="118"/>
      <c r="AH259" s="118"/>
      <c r="AI259" s="118"/>
      <c r="AJ259" s="118"/>
      <c r="AK259" s="118"/>
    </row>
    <row r="260" spans="1:37">
      <c r="A260" s="131"/>
      <c r="B260" s="131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  <c r="AB260" s="118"/>
      <c r="AC260" s="118"/>
      <c r="AD260" s="118"/>
      <c r="AE260" s="118"/>
      <c r="AF260" s="118"/>
      <c r="AG260" s="118"/>
      <c r="AH260" s="118"/>
      <c r="AI260" s="118"/>
      <c r="AJ260" s="118"/>
      <c r="AK260" s="118"/>
    </row>
    <row r="261" spans="1:37">
      <c r="A261" s="131"/>
      <c r="B261" s="131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  <c r="AB261" s="118"/>
      <c r="AC261" s="118"/>
      <c r="AD261" s="118"/>
      <c r="AE261" s="118"/>
      <c r="AF261" s="118"/>
      <c r="AG261" s="118"/>
      <c r="AH261" s="118"/>
      <c r="AI261" s="118"/>
      <c r="AJ261" s="118"/>
      <c r="AK261" s="118"/>
    </row>
    <row r="262" spans="1:37">
      <c r="A262" s="131"/>
      <c r="B262" s="131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  <c r="AB262" s="118"/>
      <c r="AC262" s="118"/>
      <c r="AD262" s="118"/>
      <c r="AE262" s="118"/>
      <c r="AF262" s="118"/>
      <c r="AG262" s="118"/>
      <c r="AH262" s="118"/>
      <c r="AI262" s="118"/>
      <c r="AJ262" s="118"/>
      <c r="AK262" s="118"/>
    </row>
    <row r="263" spans="1:37">
      <c r="A263" s="131"/>
      <c r="B263" s="131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  <c r="AA263" s="118"/>
      <c r="AB263" s="118"/>
      <c r="AC263" s="118"/>
      <c r="AD263" s="118"/>
      <c r="AE263" s="118"/>
      <c r="AF263" s="118"/>
      <c r="AG263" s="118"/>
      <c r="AH263" s="118"/>
      <c r="AI263" s="118"/>
      <c r="AJ263" s="118"/>
      <c r="AK263" s="118"/>
    </row>
    <row r="264" spans="1:37">
      <c r="A264" s="131"/>
      <c r="B264" s="131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  <c r="AB264" s="118"/>
      <c r="AC264" s="118"/>
      <c r="AD264" s="118"/>
      <c r="AE264" s="118"/>
      <c r="AF264" s="118"/>
      <c r="AG264" s="118"/>
      <c r="AH264" s="118"/>
      <c r="AI264" s="118"/>
      <c r="AJ264" s="118"/>
      <c r="AK264" s="118"/>
    </row>
    <row r="265" spans="1:37">
      <c r="A265" s="131"/>
      <c r="B265" s="131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  <c r="AB265" s="118"/>
      <c r="AC265" s="118"/>
      <c r="AD265" s="118"/>
      <c r="AE265" s="118"/>
      <c r="AF265" s="118"/>
      <c r="AG265" s="118"/>
      <c r="AH265" s="118"/>
      <c r="AI265" s="118"/>
      <c r="AJ265" s="118"/>
      <c r="AK265" s="118"/>
    </row>
    <row r="266" spans="1:37">
      <c r="A266" s="131"/>
      <c r="B266" s="131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  <c r="AB266" s="118"/>
      <c r="AC266" s="118"/>
      <c r="AD266" s="118"/>
      <c r="AE266" s="118"/>
      <c r="AF266" s="118"/>
      <c r="AG266" s="118"/>
      <c r="AH266" s="118"/>
      <c r="AI266" s="118"/>
      <c r="AJ266" s="118"/>
      <c r="AK266" s="118"/>
    </row>
    <row r="267" spans="1:37">
      <c r="A267" s="131"/>
      <c r="B267" s="131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  <c r="AB267" s="118"/>
      <c r="AC267" s="118"/>
      <c r="AD267" s="118"/>
      <c r="AE267" s="118"/>
      <c r="AF267" s="118"/>
      <c r="AG267" s="118"/>
      <c r="AH267" s="118"/>
      <c r="AI267" s="118"/>
      <c r="AJ267" s="118"/>
      <c r="AK267" s="118"/>
    </row>
    <row r="268" spans="1:37">
      <c r="A268" s="131"/>
      <c r="B268" s="131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  <c r="AB268" s="118"/>
      <c r="AC268" s="118"/>
      <c r="AD268" s="118"/>
      <c r="AE268" s="118"/>
      <c r="AF268" s="118"/>
      <c r="AG268" s="118"/>
      <c r="AH268" s="118"/>
      <c r="AI268" s="118"/>
      <c r="AJ268" s="118"/>
      <c r="AK268" s="118"/>
    </row>
    <row r="269" spans="1:37">
      <c r="A269" s="131"/>
      <c r="B269" s="131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  <c r="AB269" s="118"/>
      <c r="AC269" s="118"/>
      <c r="AD269" s="118"/>
      <c r="AE269" s="118"/>
      <c r="AF269" s="118"/>
      <c r="AG269" s="118"/>
      <c r="AH269" s="118"/>
      <c r="AI269" s="118"/>
      <c r="AJ269" s="118"/>
      <c r="AK269" s="118"/>
    </row>
    <row r="270" spans="1:37">
      <c r="A270" s="131"/>
      <c r="B270" s="131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  <c r="AB270" s="118"/>
      <c r="AC270" s="118"/>
      <c r="AD270" s="118"/>
      <c r="AE270" s="118"/>
      <c r="AF270" s="118"/>
      <c r="AG270" s="118"/>
      <c r="AH270" s="118"/>
      <c r="AI270" s="118"/>
      <c r="AJ270" s="118"/>
      <c r="AK270" s="118"/>
    </row>
    <row r="271" spans="1:37">
      <c r="A271" s="131"/>
      <c r="B271" s="131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  <c r="AB271" s="118"/>
      <c r="AC271" s="118"/>
      <c r="AD271" s="118"/>
      <c r="AE271" s="118"/>
      <c r="AF271" s="118"/>
      <c r="AG271" s="118"/>
      <c r="AH271" s="118"/>
      <c r="AI271" s="118"/>
      <c r="AJ271" s="118"/>
      <c r="AK271" s="118"/>
    </row>
    <row r="272" spans="1:37">
      <c r="A272" s="131"/>
      <c r="B272" s="131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  <c r="AA272" s="118"/>
      <c r="AB272" s="118"/>
      <c r="AC272" s="118"/>
      <c r="AD272" s="118"/>
      <c r="AE272" s="118"/>
      <c r="AF272" s="118"/>
      <c r="AG272" s="118"/>
      <c r="AH272" s="118"/>
      <c r="AI272" s="118"/>
      <c r="AJ272" s="118"/>
      <c r="AK272" s="118"/>
    </row>
    <row r="273" spans="1:37">
      <c r="A273" s="131"/>
      <c r="B273" s="131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8"/>
      <c r="AH273" s="118"/>
      <c r="AI273" s="118"/>
      <c r="AJ273" s="118"/>
      <c r="AK273" s="118"/>
    </row>
    <row r="274" spans="1:37">
      <c r="A274" s="131"/>
      <c r="B274" s="131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8"/>
      <c r="AH274" s="118"/>
      <c r="AI274" s="118"/>
      <c r="AJ274" s="118"/>
      <c r="AK274" s="118"/>
    </row>
    <row r="275" spans="1:37">
      <c r="A275" s="131"/>
      <c r="B275" s="131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8"/>
      <c r="AH275" s="118"/>
      <c r="AI275" s="118"/>
      <c r="AJ275" s="118"/>
      <c r="AK275" s="118"/>
    </row>
    <row r="276" spans="1:37">
      <c r="A276" s="131"/>
      <c r="B276" s="131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8"/>
      <c r="AH276" s="118"/>
      <c r="AI276" s="118"/>
      <c r="AJ276" s="118"/>
      <c r="AK276" s="118"/>
    </row>
    <row r="277" spans="1:37">
      <c r="A277" s="131"/>
      <c r="B277" s="131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8"/>
      <c r="AH277" s="118"/>
      <c r="AI277" s="118"/>
      <c r="AJ277" s="118"/>
      <c r="AK277" s="118"/>
    </row>
    <row r="278" spans="1:37">
      <c r="A278" s="131"/>
      <c r="B278" s="131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8"/>
      <c r="AH278" s="118"/>
      <c r="AI278" s="118"/>
      <c r="AJ278" s="118"/>
      <c r="AK278" s="118"/>
    </row>
    <row r="279" spans="1:37">
      <c r="A279" s="131"/>
      <c r="B279" s="131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8"/>
      <c r="AH279" s="118"/>
      <c r="AI279" s="118"/>
      <c r="AJ279" s="118"/>
      <c r="AK279" s="118"/>
    </row>
    <row r="280" spans="1:37">
      <c r="A280" s="131"/>
      <c r="B280" s="131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8"/>
      <c r="AH280" s="118"/>
      <c r="AI280" s="118"/>
      <c r="AJ280" s="118"/>
      <c r="AK280" s="118"/>
    </row>
    <row r="281" spans="1:37">
      <c r="A281" s="131"/>
      <c r="B281" s="131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8"/>
      <c r="AH281" s="118"/>
      <c r="AI281" s="118"/>
      <c r="AJ281" s="118"/>
      <c r="AK281" s="118"/>
    </row>
    <row r="282" spans="1:37">
      <c r="A282" s="131"/>
      <c r="B282" s="131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  <c r="AA282" s="118"/>
      <c r="AB282" s="118"/>
      <c r="AC282" s="118"/>
      <c r="AD282" s="118"/>
      <c r="AE282" s="118"/>
      <c r="AF282" s="118"/>
      <c r="AG282" s="118"/>
      <c r="AH282" s="118"/>
      <c r="AI282" s="118"/>
      <c r="AJ282" s="118"/>
      <c r="AK282" s="118"/>
    </row>
    <row r="283" spans="1:37">
      <c r="A283" s="131"/>
      <c r="B283" s="131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  <c r="AA283" s="118"/>
      <c r="AB283" s="118"/>
      <c r="AC283" s="118"/>
      <c r="AD283" s="118"/>
      <c r="AE283" s="118"/>
      <c r="AF283" s="118"/>
      <c r="AG283" s="118"/>
      <c r="AH283" s="118"/>
      <c r="AI283" s="118"/>
      <c r="AJ283" s="118"/>
      <c r="AK283" s="118"/>
    </row>
    <row r="284" spans="1:37">
      <c r="A284" s="131"/>
      <c r="B284" s="131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  <c r="AA284" s="118"/>
      <c r="AB284" s="118"/>
      <c r="AC284" s="118"/>
      <c r="AD284" s="118"/>
      <c r="AE284" s="118"/>
      <c r="AF284" s="118"/>
      <c r="AG284" s="118"/>
      <c r="AH284" s="118"/>
      <c r="AI284" s="118"/>
      <c r="AJ284" s="118"/>
      <c r="AK284" s="118"/>
    </row>
    <row r="285" spans="1:37">
      <c r="A285" s="131"/>
      <c r="B285" s="131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  <c r="AA285" s="118"/>
      <c r="AB285" s="118"/>
      <c r="AC285" s="118"/>
      <c r="AD285" s="118"/>
      <c r="AE285" s="118"/>
      <c r="AF285" s="118"/>
      <c r="AG285" s="118"/>
      <c r="AH285" s="118"/>
      <c r="AI285" s="118"/>
      <c r="AJ285" s="118"/>
      <c r="AK285" s="118"/>
    </row>
    <row r="286" spans="1:37">
      <c r="A286" s="131"/>
      <c r="B286" s="131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  <c r="AA286" s="118"/>
      <c r="AB286" s="118"/>
      <c r="AC286" s="118"/>
      <c r="AD286" s="118"/>
      <c r="AE286" s="118"/>
      <c r="AF286" s="118"/>
      <c r="AG286" s="118"/>
      <c r="AH286" s="118"/>
      <c r="AI286" s="118"/>
      <c r="AJ286" s="118"/>
      <c r="AK286" s="118"/>
    </row>
    <row r="287" spans="1:37">
      <c r="A287" s="131"/>
      <c r="B287" s="131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  <c r="AA287" s="118"/>
      <c r="AB287" s="118"/>
      <c r="AC287" s="118"/>
      <c r="AD287" s="118"/>
      <c r="AE287" s="118"/>
      <c r="AF287" s="118"/>
      <c r="AG287" s="118"/>
      <c r="AH287" s="118"/>
      <c r="AI287" s="118"/>
      <c r="AJ287" s="118"/>
      <c r="AK287" s="118"/>
    </row>
    <row r="288" spans="1:37">
      <c r="A288" s="131"/>
      <c r="B288" s="131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  <c r="AA288" s="118"/>
      <c r="AB288" s="118"/>
      <c r="AC288" s="118"/>
      <c r="AD288" s="118"/>
      <c r="AE288" s="118"/>
      <c r="AF288" s="118"/>
      <c r="AG288" s="118"/>
      <c r="AH288" s="118"/>
      <c r="AI288" s="118"/>
      <c r="AJ288" s="118"/>
      <c r="AK288" s="118"/>
    </row>
    <row r="289" spans="1:37">
      <c r="A289" s="131"/>
      <c r="B289" s="131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  <c r="AA289" s="118"/>
      <c r="AB289" s="118"/>
      <c r="AC289" s="118"/>
      <c r="AD289" s="118"/>
      <c r="AE289" s="118"/>
      <c r="AF289" s="118"/>
      <c r="AG289" s="118"/>
      <c r="AH289" s="118"/>
      <c r="AI289" s="118"/>
      <c r="AJ289" s="118"/>
      <c r="AK289" s="118"/>
    </row>
    <row r="290" spans="1:37">
      <c r="A290" s="131"/>
      <c r="B290" s="131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</row>
    <row r="291" spans="1:37">
      <c r="A291" s="131"/>
      <c r="B291" s="131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  <c r="AA291" s="118"/>
      <c r="AB291" s="118"/>
      <c r="AC291" s="118"/>
      <c r="AD291" s="118"/>
      <c r="AE291" s="118"/>
      <c r="AF291" s="118"/>
      <c r="AG291" s="118"/>
      <c r="AH291" s="118"/>
      <c r="AI291" s="118"/>
      <c r="AJ291" s="118"/>
      <c r="AK291" s="118"/>
    </row>
    <row r="292" spans="1:37">
      <c r="A292" s="131"/>
      <c r="B292" s="131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  <c r="AA292" s="118"/>
      <c r="AB292" s="118"/>
      <c r="AC292" s="118"/>
      <c r="AD292" s="118"/>
      <c r="AE292" s="118"/>
      <c r="AF292" s="118"/>
      <c r="AG292" s="118"/>
      <c r="AH292" s="118"/>
      <c r="AI292" s="118"/>
      <c r="AJ292" s="118"/>
      <c r="AK292" s="118"/>
    </row>
    <row r="293" spans="1:37">
      <c r="A293" s="131"/>
      <c r="B293" s="131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  <c r="AA293" s="118"/>
      <c r="AB293" s="118"/>
      <c r="AC293" s="118"/>
      <c r="AD293" s="118"/>
      <c r="AE293" s="118"/>
      <c r="AF293" s="118"/>
      <c r="AG293" s="118"/>
      <c r="AH293" s="118"/>
      <c r="AI293" s="118"/>
      <c r="AJ293" s="118"/>
      <c r="AK293" s="118"/>
    </row>
    <row r="294" spans="1:37">
      <c r="A294" s="131"/>
      <c r="B294" s="131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  <c r="AA294" s="118"/>
      <c r="AB294" s="118"/>
      <c r="AC294" s="118"/>
      <c r="AD294" s="118"/>
      <c r="AE294" s="118"/>
      <c r="AF294" s="118"/>
      <c r="AG294" s="118"/>
      <c r="AH294" s="118"/>
      <c r="AI294" s="118"/>
      <c r="AJ294" s="118"/>
      <c r="AK294" s="118"/>
    </row>
    <row r="295" spans="1:37">
      <c r="A295" s="131"/>
      <c r="B295" s="131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  <c r="AA295" s="118"/>
      <c r="AB295" s="118"/>
      <c r="AC295" s="118"/>
      <c r="AD295" s="118"/>
      <c r="AE295" s="118"/>
      <c r="AF295" s="118"/>
      <c r="AG295" s="118"/>
      <c r="AH295" s="118"/>
      <c r="AI295" s="118"/>
      <c r="AJ295" s="118"/>
      <c r="AK295" s="118"/>
    </row>
    <row r="296" spans="1:37">
      <c r="A296" s="131"/>
      <c r="B296" s="131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  <c r="AA296" s="118"/>
      <c r="AB296" s="118"/>
      <c r="AC296" s="118"/>
      <c r="AD296" s="118"/>
      <c r="AE296" s="118"/>
      <c r="AF296" s="118"/>
      <c r="AG296" s="118"/>
      <c r="AH296" s="118"/>
      <c r="AI296" s="118"/>
      <c r="AJ296" s="118"/>
      <c r="AK296" s="118"/>
    </row>
    <row r="297" spans="1:37">
      <c r="A297" s="131"/>
      <c r="B297" s="131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  <c r="AA297" s="118"/>
      <c r="AB297" s="118"/>
      <c r="AC297" s="118"/>
      <c r="AD297" s="118"/>
      <c r="AE297" s="118"/>
      <c r="AF297" s="118"/>
      <c r="AG297" s="118"/>
      <c r="AH297" s="118"/>
      <c r="AI297" s="118"/>
      <c r="AJ297" s="118"/>
      <c r="AK297" s="118"/>
    </row>
    <row r="298" spans="1:37">
      <c r="A298" s="131"/>
      <c r="B298" s="131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  <c r="AA298" s="118"/>
      <c r="AB298" s="118"/>
      <c r="AC298" s="118"/>
      <c r="AD298" s="118"/>
      <c r="AE298" s="118"/>
      <c r="AF298" s="118"/>
      <c r="AG298" s="118"/>
      <c r="AH298" s="118"/>
      <c r="AI298" s="118"/>
      <c r="AJ298" s="118"/>
      <c r="AK298" s="118"/>
    </row>
    <row r="299" spans="1:37">
      <c r="A299" s="131"/>
      <c r="B299" s="131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  <c r="AA299" s="118"/>
      <c r="AB299" s="118"/>
      <c r="AC299" s="118"/>
      <c r="AD299" s="118"/>
      <c r="AE299" s="118"/>
      <c r="AF299" s="118"/>
      <c r="AG299" s="118"/>
      <c r="AH299" s="118"/>
      <c r="AI299" s="118"/>
      <c r="AJ299" s="118"/>
      <c r="AK299" s="118"/>
    </row>
    <row r="300" spans="1:37">
      <c r="A300" s="131"/>
      <c r="B300" s="131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  <c r="AA300" s="118"/>
      <c r="AB300" s="118"/>
      <c r="AC300" s="118"/>
      <c r="AD300" s="118"/>
      <c r="AE300" s="118"/>
      <c r="AF300" s="118"/>
      <c r="AG300" s="118"/>
      <c r="AH300" s="118"/>
      <c r="AI300" s="118"/>
      <c r="AJ300" s="118"/>
      <c r="AK300" s="118"/>
    </row>
    <row r="301" spans="1:37">
      <c r="A301" s="131"/>
      <c r="B301" s="131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  <c r="AA301" s="118"/>
      <c r="AB301" s="118"/>
      <c r="AC301" s="118"/>
      <c r="AD301" s="118"/>
      <c r="AE301" s="118"/>
      <c r="AF301" s="118"/>
      <c r="AG301" s="118"/>
      <c r="AH301" s="118"/>
      <c r="AI301" s="118"/>
      <c r="AJ301" s="118"/>
      <c r="AK301" s="118"/>
    </row>
    <row r="302" spans="1:37">
      <c r="A302" s="131"/>
      <c r="B302" s="131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  <c r="AA302" s="118"/>
      <c r="AB302" s="118"/>
      <c r="AC302" s="118"/>
      <c r="AD302" s="118"/>
      <c r="AE302" s="118"/>
      <c r="AF302" s="118"/>
      <c r="AG302" s="118"/>
      <c r="AH302" s="118"/>
      <c r="AI302" s="118"/>
      <c r="AJ302" s="118"/>
      <c r="AK302" s="118"/>
    </row>
    <row r="303" spans="1:37">
      <c r="A303" s="131"/>
      <c r="B303" s="131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  <c r="AA303" s="118"/>
      <c r="AB303" s="118"/>
      <c r="AC303" s="118"/>
      <c r="AD303" s="118"/>
      <c r="AE303" s="118"/>
      <c r="AF303" s="118"/>
      <c r="AG303" s="118"/>
      <c r="AH303" s="118"/>
      <c r="AI303" s="118"/>
      <c r="AJ303" s="118"/>
      <c r="AK303" s="118"/>
    </row>
    <row r="304" spans="1:37">
      <c r="A304" s="131"/>
      <c r="B304" s="131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  <c r="AA304" s="118"/>
      <c r="AB304" s="118"/>
      <c r="AC304" s="118"/>
      <c r="AD304" s="118"/>
      <c r="AE304" s="118"/>
      <c r="AF304" s="118"/>
      <c r="AG304" s="118"/>
      <c r="AH304" s="118"/>
      <c r="AI304" s="118"/>
      <c r="AJ304" s="118"/>
      <c r="AK304" s="118"/>
    </row>
    <row r="305" spans="1:37">
      <c r="A305" s="131"/>
      <c r="B305" s="131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  <c r="AA305" s="118"/>
      <c r="AB305" s="118"/>
      <c r="AC305" s="118"/>
      <c r="AD305" s="118"/>
      <c r="AE305" s="118"/>
      <c r="AF305" s="118"/>
      <c r="AG305" s="118"/>
      <c r="AH305" s="118"/>
      <c r="AI305" s="118"/>
      <c r="AJ305" s="118"/>
      <c r="AK305" s="118"/>
    </row>
    <row r="306" spans="1:37">
      <c r="A306" s="131"/>
      <c r="B306" s="131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  <c r="AA306" s="118"/>
      <c r="AB306" s="118"/>
      <c r="AC306" s="118"/>
      <c r="AD306" s="118"/>
      <c r="AE306" s="118"/>
      <c r="AF306" s="118"/>
      <c r="AG306" s="118"/>
      <c r="AH306" s="118"/>
      <c r="AI306" s="118"/>
      <c r="AJ306" s="118"/>
      <c r="AK306" s="118"/>
    </row>
    <row r="307" spans="1:37">
      <c r="A307" s="131"/>
      <c r="B307" s="131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  <c r="AA307" s="118"/>
      <c r="AB307" s="118"/>
      <c r="AC307" s="118"/>
      <c r="AD307" s="118"/>
      <c r="AE307" s="118"/>
      <c r="AF307" s="118"/>
      <c r="AG307" s="118"/>
      <c r="AH307" s="118"/>
      <c r="AI307" s="118"/>
      <c r="AJ307" s="118"/>
      <c r="AK307" s="118"/>
    </row>
    <row r="308" spans="1:37">
      <c r="A308" s="131"/>
      <c r="B308" s="131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  <c r="AA308" s="118"/>
      <c r="AB308" s="118"/>
      <c r="AC308" s="118"/>
      <c r="AD308" s="118"/>
      <c r="AE308" s="118"/>
      <c r="AF308" s="118"/>
      <c r="AG308" s="118"/>
      <c r="AH308" s="118"/>
      <c r="AI308" s="118"/>
      <c r="AJ308" s="118"/>
      <c r="AK308" s="118"/>
    </row>
    <row r="309" spans="1:37">
      <c r="A309" s="131"/>
      <c r="B309" s="131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  <c r="AA309" s="118"/>
      <c r="AB309" s="118"/>
      <c r="AC309" s="118"/>
      <c r="AD309" s="118"/>
      <c r="AE309" s="118"/>
      <c r="AF309" s="118"/>
      <c r="AG309" s="118"/>
      <c r="AH309" s="118"/>
      <c r="AI309" s="118"/>
      <c r="AJ309" s="118"/>
      <c r="AK309" s="118"/>
    </row>
    <row r="310" spans="1:37">
      <c r="A310" s="131"/>
      <c r="B310" s="131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  <c r="AA310" s="118"/>
      <c r="AB310" s="118"/>
      <c r="AC310" s="118"/>
      <c r="AD310" s="118"/>
      <c r="AE310" s="118"/>
      <c r="AF310" s="118"/>
      <c r="AG310" s="118"/>
      <c r="AH310" s="118"/>
      <c r="AI310" s="118"/>
      <c r="AJ310" s="118"/>
      <c r="AK310" s="118"/>
    </row>
    <row r="311" spans="1:37">
      <c r="A311" s="131"/>
      <c r="B311" s="131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  <c r="AA311" s="118"/>
      <c r="AB311" s="118"/>
      <c r="AC311" s="118"/>
      <c r="AD311" s="118"/>
      <c r="AE311" s="118"/>
      <c r="AF311" s="118"/>
      <c r="AG311" s="118"/>
      <c r="AH311" s="118"/>
      <c r="AI311" s="118"/>
      <c r="AJ311" s="118"/>
      <c r="AK311" s="118"/>
    </row>
    <row r="312" spans="1:37">
      <c r="A312" s="131"/>
      <c r="B312" s="131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  <c r="AA312" s="118"/>
      <c r="AB312" s="118"/>
      <c r="AC312" s="118"/>
      <c r="AD312" s="118"/>
      <c r="AE312" s="118"/>
      <c r="AF312" s="118"/>
      <c r="AG312" s="118"/>
      <c r="AH312" s="118"/>
      <c r="AI312" s="118"/>
      <c r="AJ312" s="118"/>
      <c r="AK312" s="118"/>
    </row>
    <row r="313" spans="1:37">
      <c r="A313" s="131"/>
      <c r="B313" s="131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  <c r="AA313" s="118"/>
      <c r="AB313" s="118"/>
      <c r="AC313" s="118"/>
      <c r="AD313" s="118"/>
      <c r="AE313" s="118"/>
      <c r="AF313" s="118"/>
      <c r="AG313" s="118"/>
      <c r="AH313" s="118"/>
      <c r="AI313" s="118"/>
      <c r="AJ313" s="118"/>
      <c r="AK313" s="118"/>
    </row>
    <row r="314" spans="1:37">
      <c r="A314" s="131"/>
      <c r="B314" s="131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  <c r="AA314" s="118"/>
      <c r="AB314" s="118"/>
      <c r="AC314" s="118"/>
      <c r="AD314" s="118"/>
      <c r="AE314" s="118"/>
      <c r="AF314" s="118"/>
      <c r="AG314" s="118"/>
      <c r="AH314" s="118"/>
      <c r="AI314" s="118"/>
      <c r="AJ314" s="118"/>
      <c r="AK314" s="118"/>
    </row>
    <row r="315" spans="1:37">
      <c r="A315" s="131"/>
      <c r="B315" s="131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  <c r="AA315" s="118"/>
      <c r="AB315" s="118"/>
      <c r="AC315" s="118"/>
      <c r="AD315" s="118"/>
      <c r="AE315" s="118"/>
      <c r="AF315" s="118"/>
      <c r="AG315" s="118"/>
      <c r="AH315" s="118"/>
      <c r="AI315" s="118"/>
      <c r="AJ315" s="118"/>
      <c r="AK315" s="118"/>
    </row>
    <row r="316" spans="1:37">
      <c r="A316" s="131"/>
      <c r="B316" s="131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  <c r="AA316" s="118"/>
      <c r="AB316" s="118"/>
      <c r="AC316" s="118"/>
      <c r="AD316" s="118"/>
      <c r="AE316" s="118"/>
      <c r="AF316" s="118"/>
      <c r="AG316" s="118"/>
      <c r="AH316" s="118"/>
      <c r="AI316" s="118"/>
      <c r="AJ316" s="118"/>
      <c r="AK316" s="118"/>
    </row>
    <row r="317" spans="1:37">
      <c r="A317" s="131"/>
      <c r="B317" s="131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  <c r="AA317" s="118"/>
      <c r="AB317" s="118"/>
      <c r="AC317" s="118"/>
      <c r="AD317" s="118"/>
      <c r="AE317" s="118"/>
      <c r="AF317" s="118"/>
      <c r="AG317" s="118"/>
      <c r="AH317" s="118"/>
      <c r="AI317" s="118"/>
      <c r="AJ317" s="118"/>
      <c r="AK317" s="118"/>
    </row>
    <row r="318" spans="1:37">
      <c r="A318" s="131"/>
      <c r="B318" s="131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  <c r="AA318" s="118"/>
      <c r="AB318" s="118"/>
      <c r="AC318" s="118"/>
      <c r="AD318" s="118"/>
      <c r="AE318" s="118"/>
      <c r="AF318" s="118"/>
      <c r="AG318" s="118"/>
      <c r="AH318" s="118"/>
      <c r="AI318" s="118"/>
      <c r="AJ318" s="118"/>
      <c r="AK318" s="118"/>
    </row>
    <row r="319" spans="1:37">
      <c r="A319" s="131"/>
      <c r="B319" s="131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  <c r="AA319" s="118"/>
      <c r="AB319" s="118"/>
      <c r="AC319" s="118"/>
      <c r="AD319" s="118"/>
      <c r="AE319" s="118"/>
      <c r="AF319" s="118"/>
      <c r="AG319" s="118"/>
      <c r="AH319" s="118"/>
      <c r="AI319" s="118"/>
      <c r="AJ319" s="118"/>
      <c r="AK319" s="118"/>
    </row>
    <row r="320" spans="1:37">
      <c r="A320" s="131"/>
      <c r="B320" s="131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  <c r="AA320" s="118"/>
      <c r="AB320" s="118"/>
      <c r="AC320" s="118"/>
      <c r="AD320" s="118"/>
      <c r="AE320" s="118"/>
      <c r="AF320" s="118"/>
      <c r="AG320" s="118"/>
      <c r="AH320" s="118"/>
      <c r="AI320" s="118"/>
      <c r="AJ320" s="118"/>
      <c r="AK320" s="118"/>
    </row>
    <row r="321" spans="1:37">
      <c r="A321" s="131"/>
      <c r="B321" s="131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  <c r="AA321" s="118"/>
      <c r="AB321" s="118"/>
      <c r="AC321" s="118"/>
      <c r="AD321" s="118"/>
      <c r="AE321" s="118"/>
      <c r="AF321" s="118"/>
      <c r="AG321" s="118"/>
      <c r="AH321" s="118"/>
      <c r="AI321" s="118"/>
      <c r="AJ321" s="118"/>
      <c r="AK321" s="118"/>
    </row>
    <row r="322" spans="1:37">
      <c r="A322" s="131"/>
      <c r="B322" s="131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  <c r="AA322" s="118"/>
      <c r="AB322" s="118"/>
      <c r="AC322" s="118"/>
      <c r="AD322" s="118"/>
      <c r="AE322" s="118"/>
      <c r="AF322" s="118"/>
      <c r="AG322" s="118"/>
      <c r="AH322" s="118"/>
      <c r="AI322" s="118"/>
      <c r="AJ322" s="118"/>
      <c r="AK322" s="118"/>
    </row>
    <row r="323" spans="1:37">
      <c r="A323" s="131"/>
      <c r="B323" s="131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  <c r="AA323" s="118"/>
      <c r="AB323" s="118"/>
      <c r="AC323" s="118"/>
      <c r="AD323" s="118"/>
      <c r="AE323" s="118"/>
      <c r="AF323" s="118"/>
      <c r="AG323" s="118"/>
      <c r="AH323" s="118"/>
      <c r="AI323" s="118"/>
      <c r="AJ323" s="118"/>
      <c r="AK323" s="118"/>
    </row>
    <row r="324" spans="1:37">
      <c r="A324" s="131"/>
      <c r="B324" s="131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  <c r="AA324" s="118"/>
      <c r="AB324" s="118"/>
      <c r="AC324" s="118"/>
      <c r="AD324" s="118"/>
      <c r="AE324" s="118"/>
      <c r="AF324" s="118"/>
      <c r="AG324" s="118"/>
      <c r="AH324" s="118"/>
      <c r="AI324" s="118"/>
      <c r="AJ324" s="118"/>
      <c r="AK324" s="118"/>
    </row>
    <row r="325" spans="1:37">
      <c r="A325" s="131"/>
      <c r="B325" s="131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8"/>
      <c r="AH325" s="118"/>
      <c r="AI325" s="118"/>
      <c r="AJ325" s="118"/>
      <c r="AK325" s="118"/>
    </row>
    <row r="326" spans="1:37">
      <c r="A326" s="131"/>
      <c r="B326" s="131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8"/>
      <c r="AH326" s="118"/>
      <c r="AI326" s="118"/>
      <c r="AJ326" s="118"/>
      <c r="AK326" s="118"/>
    </row>
    <row r="327" spans="1:37">
      <c r="A327" s="131"/>
      <c r="B327" s="131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8"/>
      <c r="AH327" s="118"/>
      <c r="AI327" s="118"/>
      <c r="AJ327" s="118"/>
      <c r="AK327" s="118"/>
    </row>
    <row r="328" spans="1:37">
      <c r="A328" s="131"/>
      <c r="B328" s="131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</row>
    <row r="329" spans="1:37">
      <c r="A329" s="131"/>
      <c r="B329" s="131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8"/>
      <c r="AH329" s="118"/>
      <c r="AI329" s="118"/>
      <c r="AJ329" s="118"/>
      <c r="AK329" s="118"/>
    </row>
    <row r="330" spans="1:37">
      <c r="A330" s="131"/>
      <c r="B330" s="131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  <c r="AA330" s="118"/>
      <c r="AB330" s="118"/>
      <c r="AC330" s="118"/>
      <c r="AD330" s="118"/>
      <c r="AE330" s="118"/>
      <c r="AF330" s="118"/>
      <c r="AG330" s="118"/>
      <c r="AH330" s="118"/>
      <c r="AI330" s="118"/>
      <c r="AJ330" s="118"/>
      <c r="AK330" s="118"/>
    </row>
    <row r="331" spans="1:37">
      <c r="A331" s="131"/>
      <c r="B331" s="131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8"/>
      <c r="AH331" s="118"/>
      <c r="AI331" s="118"/>
      <c r="AJ331" s="118"/>
      <c r="AK331" s="118"/>
    </row>
    <row r="332" spans="1:37">
      <c r="A332" s="131"/>
      <c r="B332" s="131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8"/>
      <c r="AH332" s="118"/>
      <c r="AI332" s="118"/>
      <c r="AJ332" s="118"/>
      <c r="AK332" s="118"/>
    </row>
    <row r="333" spans="1:37">
      <c r="A333" s="131"/>
      <c r="B333" s="131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8"/>
      <c r="AH333" s="118"/>
      <c r="AI333" s="118"/>
      <c r="AJ333" s="118"/>
      <c r="AK333" s="118"/>
    </row>
    <row r="334" spans="1:37">
      <c r="A334" s="131"/>
      <c r="B334" s="131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  <c r="AA334" s="118"/>
      <c r="AB334" s="118"/>
      <c r="AC334" s="118"/>
      <c r="AD334" s="118"/>
      <c r="AE334" s="118"/>
      <c r="AF334" s="118"/>
      <c r="AG334" s="118"/>
      <c r="AH334" s="118"/>
      <c r="AI334" s="118"/>
      <c r="AJ334" s="118"/>
      <c r="AK334" s="118"/>
    </row>
    <row r="335" spans="1:37">
      <c r="A335" s="131"/>
      <c r="B335" s="131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  <c r="AA335" s="118"/>
      <c r="AB335" s="118"/>
      <c r="AC335" s="118"/>
      <c r="AD335" s="118"/>
      <c r="AE335" s="118"/>
      <c r="AF335" s="118"/>
      <c r="AG335" s="118"/>
      <c r="AH335" s="118"/>
      <c r="AI335" s="118"/>
      <c r="AJ335" s="118"/>
      <c r="AK335" s="118"/>
    </row>
    <row r="336" spans="1:37">
      <c r="A336" s="131"/>
      <c r="B336" s="131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  <c r="AA336" s="118"/>
      <c r="AB336" s="118"/>
      <c r="AC336" s="118"/>
      <c r="AD336" s="118"/>
      <c r="AE336" s="118"/>
      <c r="AF336" s="118"/>
      <c r="AG336" s="118"/>
      <c r="AH336" s="118"/>
      <c r="AI336" s="118"/>
      <c r="AJ336" s="118"/>
      <c r="AK336" s="118"/>
    </row>
    <row r="337" spans="1:37">
      <c r="A337" s="131"/>
      <c r="B337" s="131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  <c r="AA337" s="118"/>
      <c r="AB337" s="118"/>
      <c r="AC337" s="118"/>
      <c r="AD337" s="118"/>
      <c r="AE337" s="118"/>
      <c r="AF337" s="118"/>
      <c r="AG337" s="118"/>
      <c r="AH337" s="118"/>
      <c r="AI337" s="118"/>
      <c r="AJ337" s="118"/>
      <c r="AK337" s="118"/>
    </row>
    <row r="338" spans="1:37">
      <c r="A338" s="131"/>
      <c r="B338" s="131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  <c r="AA338" s="118"/>
      <c r="AB338" s="118"/>
      <c r="AC338" s="118"/>
      <c r="AD338" s="118"/>
      <c r="AE338" s="118"/>
      <c r="AF338" s="118"/>
      <c r="AG338" s="118"/>
      <c r="AH338" s="118"/>
      <c r="AI338" s="118"/>
      <c r="AJ338" s="118"/>
      <c r="AK338" s="118"/>
    </row>
    <row r="339" spans="1:37">
      <c r="A339" s="131"/>
      <c r="B339" s="131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  <c r="AA339" s="118"/>
      <c r="AB339" s="118"/>
      <c r="AC339" s="118"/>
      <c r="AD339" s="118"/>
      <c r="AE339" s="118"/>
      <c r="AF339" s="118"/>
      <c r="AG339" s="118"/>
      <c r="AH339" s="118"/>
      <c r="AI339" s="118"/>
      <c r="AJ339" s="118"/>
      <c r="AK339" s="118"/>
    </row>
    <row r="340" spans="1:37">
      <c r="A340" s="131"/>
      <c r="B340" s="131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  <c r="AA340" s="118"/>
      <c r="AB340" s="118"/>
      <c r="AC340" s="118"/>
      <c r="AD340" s="118"/>
      <c r="AE340" s="118"/>
      <c r="AF340" s="118"/>
      <c r="AG340" s="118"/>
      <c r="AH340" s="118"/>
      <c r="AI340" s="118"/>
      <c r="AJ340" s="118"/>
      <c r="AK340" s="118"/>
    </row>
    <row r="341" spans="1:37">
      <c r="A341" s="131"/>
      <c r="B341" s="131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  <c r="AA341" s="118"/>
      <c r="AB341" s="118"/>
      <c r="AC341" s="118"/>
      <c r="AD341" s="118"/>
      <c r="AE341" s="118"/>
      <c r="AF341" s="118"/>
      <c r="AG341" s="118"/>
      <c r="AH341" s="118"/>
      <c r="AI341" s="118"/>
      <c r="AJ341" s="118"/>
      <c r="AK341" s="118"/>
    </row>
    <row r="342" spans="1:37">
      <c r="A342" s="131"/>
      <c r="B342" s="131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  <c r="AA342" s="118"/>
      <c r="AB342" s="118"/>
      <c r="AC342" s="118"/>
      <c r="AD342" s="118"/>
      <c r="AE342" s="118"/>
      <c r="AF342" s="118"/>
      <c r="AG342" s="118"/>
      <c r="AH342" s="118"/>
      <c r="AI342" s="118"/>
      <c r="AJ342" s="118"/>
      <c r="AK342" s="118"/>
    </row>
    <row r="343" spans="1:37">
      <c r="A343" s="131"/>
      <c r="B343" s="131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  <c r="AA343" s="118"/>
      <c r="AB343" s="118"/>
      <c r="AC343" s="118"/>
      <c r="AD343" s="118"/>
      <c r="AE343" s="118"/>
      <c r="AF343" s="118"/>
      <c r="AG343" s="118"/>
      <c r="AH343" s="118"/>
      <c r="AI343" s="118"/>
      <c r="AJ343" s="118"/>
      <c r="AK343" s="118"/>
    </row>
    <row r="344" spans="1:37">
      <c r="A344" s="131"/>
      <c r="B344" s="131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  <c r="AA344" s="118"/>
      <c r="AB344" s="118"/>
      <c r="AC344" s="118"/>
      <c r="AD344" s="118"/>
      <c r="AE344" s="118"/>
      <c r="AF344" s="118"/>
      <c r="AG344" s="118"/>
      <c r="AH344" s="118"/>
      <c r="AI344" s="118"/>
      <c r="AJ344" s="118"/>
      <c r="AK344" s="118"/>
    </row>
    <row r="345" spans="1:37">
      <c r="A345" s="131"/>
      <c r="B345" s="131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  <c r="AA345" s="118"/>
      <c r="AB345" s="118"/>
      <c r="AC345" s="118"/>
      <c r="AD345" s="118"/>
      <c r="AE345" s="118"/>
      <c r="AF345" s="118"/>
      <c r="AG345" s="118"/>
      <c r="AH345" s="118"/>
      <c r="AI345" s="118"/>
      <c r="AJ345" s="118"/>
      <c r="AK345" s="118"/>
    </row>
    <row r="346" spans="1:37">
      <c r="A346" s="131"/>
      <c r="B346" s="131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  <c r="AA346" s="118"/>
      <c r="AB346" s="118"/>
      <c r="AC346" s="118"/>
      <c r="AD346" s="118"/>
      <c r="AE346" s="118"/>
      <c r="AF346" s="118"/>
      <c r="AG346" s="118"/>
      <c r="AH346" s="118"/>
      <c r="AI346" s="118"/>
      <c r="AJ346" s="118"/>
      <c r="AK346" s="118"/>
    </row>
    <row r="347" spans="1:37">
      <c r="A347" s="131"/>
      <c r="B347" s="131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  <c r="AA347" s="118"/>
      <c r="AB347" s="118"/>
      <c r="AC347" s="118"/>
      <c r="AD347" s="118"/>
      <c r="AE347" s="118"/>
      <c r="AF347" s="118"/>
      <c r="AG347" s="118"/>
      <c r="AH347" s="118"/>
      <c r="AI347" s="118"/>
      <c r="AJ347" s="118"/>
      <c r="AK347" s="118"/>
    </row>
    <row r="348" spans="1:37">
      <c r="A348" s="131"/>
      <c r="B348" s="131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  <c r="AA348" s="118"/>
      <c r="AB348" s="118"/>
      <c r="AC348" s="118"/>
      <c r="AD348" s="118"/>
      <c r="AE348" s="118"/>
      <c r="AF348" s="118"/>
      <c r="AG348" s="118"/>
      <c r="AH348" s="118"/>
      <c r="AI348" s="118"/>
      <c r="AJ348" s="118"/>
      <c r="AK348" s="118"/>
    </row>
    <row r="349" spans="1:37">
      <c r="A349" s="131"/>
      <c r="B349" s="131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  <c r="AA349" s="118"/>
      <c r="AB349" s="118"/>
      <c r="AC349" s="118"/>
      <c r="AD349" s="118"/>
      <c r="AE349" s="118"/>
      <c r="AF349" s="118"/>
      <c r="AG349" s="118"/>
      <c r="AH349" s="118"/>
      <c r="AI349" s="118"/>
      <c r="AJ349" s="118"/>
      <c r="AK349" s="118"/>
    </row>
    <row r="350" spans="1:37">
      <c r="A350" s="131"/>
      <c r="B350" s="131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  <c r="AA350" s="118"/>
      <c r="AB350" s="118"/>
      <c r="AC350" s="118"/>
      <c r="AD350" s="118"/>
      <c r="AE350" s="118"/>
      <c r="AF350" s="118"/>
      <c r="AG350" s="118"/>
      <c r="AH350" s="118"/>
      <c r="AI350" s="118"/>
      <c r="AJ350" s="118"/>
      <c r="AK350" s="118"/>
    </row>
    <row r="351" spans="1:37">
      <c r="A351" s="131"/>
      <c r="B351" s="131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  <c r="AA351" s="118"/>
      <c r="AB351" s="118"/>
      <c r="AC351" s="118"/>
      <c r="AD351" s="118"/>
      <c r="AE351" s="118"/>
      <c r="AF351" s="118"/>
      <c r="AG351" s="118"/>
      <c r="AH351" s="118"/>
      <c r="AI351" s="118"/>
      <c r="AJ351" s="118"/>
      <c r="AK351" s="118"/>
    </row>
    <row r="352" spans="1:37">
      <c r="A352" s="131"/>
      <c r="B352" s="131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  <c r="AA352" s="118"/>
      <c r="AB352" s="118"/>
      <c r="AC352" s="118"/>
      <c r="AD352" s="118"/>
      <c r="AE352" s="118"/>
      <c r="AF352" s="118"/>
      <c r="AG352" s="118"/>
      <c r="AH352" s="118"/>
      <c r="AI352" s="118"/>
      <c r="AJ352" s="118"/>
      <c r="AK352" s="118"/>
    </row>
    <row r="353" spans="1:37">
      <c r="A353" s="131"/>
      <c r="B353" s="131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  <c r="AA353" s="118"/>
      <c r="AB353" s="118"/>
      <c r="AC353" s="118"/>
      <c r="AD353" s="118"/>
      <c r="AE353" s="118"/>
      <c r="AF353" s="118"/>
      <c r="AG353" s="118"/>
      <c r="AH353" s="118"/>
      <c r="AI353" s="118"/>
      <c r="AJ353" s="118"/>
      <c r="AK353" s="118"/>
    </row>
    <row r="354" spans="1:37">
      <c r="A354" s="131"/>
      <c r="B354" s="131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  <c r="AA354" s="118"/>
      <c r="AB354" s="118"/>
      <c r="AC354" s="118"/>
      <c r="AD354" s="118"/>
      <c r="AE354" s="118"/>
      <c r="AF354" s="118"/>
      <c r="AG354" s="118"/>
      <c r="AH354" s="118"/>
      <c r="AI354" s="118"/>
      <c r="AJ354" s="118"/>
      <c r="AK354" s="118"/>
    </row>
    <row r="355" spans="1:37">
      <c r="A355" s="131"/>
      <c r="B355" s="131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  <c r="AA355" s="118"/>
      <c r="AB355" s="118"/>
      <c r="AC355" s="118"/>
      <c r="AD355" s="118"/>
      <c r="AE355" s="118"/>
      <c r="AF355" s="118"/>
      <c r="AG355" s="118"/>
      <c r="AH355" s="118"/>
      <c r="AI355" s="118"/>
      <c r="AJ355" s="118"/>
      <c r="AK355" s="118"/>
    </row>
    <row r="356" spans="1:37">
      <c r="A356" s="131"/>
      <c r="B356" s="131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  <c r="AA356" s="118"/>
      <c r="AB356" s="118"/>
      <c r="AC356" s="118"/>
      <c r="AD356" s="118"/>
      <c r="AE356" s="118"/>
      <c r="AF356" s="118"/>
      <c r="AG356" s="118"/>
      <c r="AH356" s="118"/>
      <c r="AI356" s="118"/>
      <c r="AJ356" s="118"/>
      <c r="AK356" s="118"/>
    </row>
    <row r="357" spans="1:37">
      <c r="A357" s="131"/>
      <c r="B357" s="131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  <c r="AA357" s="118"/>
      <c r="AB357" s="118"/>
      <c r="AC357" s="118"/>
      <c r="AD357" s="118"/>
      <c r="AE357" s="118"/>
      <c r="AF357" s="118"/>
      <c r="AG357" s="118"/>
      <c r="AH357" s="118"/>
      <c r="AI357" s="118"/>
      <c r="AJ357" s="118"/>
      <c r="AK357" s="118"/>
    </row>
    <row r="358" spans="1:37">
      <c r="A358" s="131"/>
      <c r="B358" s="131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  <c r="AA358" s="118"/>
      <c r="AB358" s="118"/>
      <c r="AC358" s="118"/>
      <c r="AD358" s="118"/>
      <c r="AE358" s="118"/>
      <c r="AF358" s="118"/>
      <c r="AG358" s="118"/>
      <c r="AH358" s="118"/>
      <c r="AI358" s="118"/>
      <c r="AJ358" s="118"/>
      <c r="AK358" s="118"/>
    </row>
    <row r="359" spans="1:37">
      <c r="A359" s="131"/>
      <c r="B359" s="131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  <c r="AA359" s="118"/>
      <c r="AB359" s="118"/>
      <c r="AC359" s="118"/>
      <c r="AD359" s="118"/>
      <c r="AE359" s="118"/>
      <c r="AF359" s="118"/>
      <c r="AG359" s="118"/>
      <c r="AH359" s="118"/>
      <c r="AI359" s="118"/>
      <c r="AJ359" s="118"/>
      <c r="AK359" s="118"/>
    </row>
    <row r="360" spans="1:37">
      <c r="A360" s="131"/>
      <c r="B360" s="131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  <c r="AA360" s="118"/>
      <c r="AB360" s="118"/>
      <c r="AC360" s="118"/>
      <c r="AD360" s="118"/>
      <c r="AE360" s="118"/>
      <c r="AF360" s="118"/>
      <c r="AG360" s="118"/>
      <c r="AH360" s="118"/>
      <c r="AI360" s="118"/>
      <c r="AJ360" s="118"/>
      <c r="AK360" s="118"/>
    </row>
    <row r="361" spans="1:37">
      <c r="A361" s="131"/>
      <c r="B361" s="131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  <c r="AA361" s="118"/>
      <c r="AB361" s="118"/>
      <c r="AC361" s="118"/>
      <c r="AD361" s="118"/>
      <c r="AE361" s="118"/>
      <c r="AF361" s="118"/>
      <c r="AG361" s="118"/>
      <c r="AH361" s="118"/>
      <c r="AI361" s="118"/>
      <c r="AJ361" s="118"/>
      <c r="AK361" s="118"/>
    </row>
    <row r="362" spans="1:37">
      <c r="A362" s="131"/>
      <c r="B362" s="131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  <c r="AA362" s="118"/>
      <c r="AB362" s="118"/>
      <c r="AC362" s="118"/>
      <c r="AD362" s="118"/>
      <c r="AE362" s="118"/>
      <c r="AF362" s="118"/>
      <c r="AG362" s="118"/>
      <c r="AH362" s="118"/>
      <c r="AI362" s="118"/>
      <c r="AJ362" s="118"/>
      <c r="AK362" s="118"/>
    </row>
    <row r="363" spans="1:37">
      <c r="A363" s="131"/>
      <c r="B363" s="131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  <c r="AA363" s="118"/>
      <c r="AB363" s="118"/>
      <c r="AC363" s="118"/>
      <c r="AD363" s="118"/>
      <c r="AE363" s="118"/>
      <c r="AF363" s="118"/>
      <c r="AG363" s="118"/>
      <c r="AH363" s="118"/>
      <c r="AI363" s="118"/>
      <c r="AJ363" s="118"/>
      <c r="AK363" s="118"/>
    </row>
    <row r="364" spans="1:37">
      <c r="A364" s="131"/>
      <c r="B364" s="131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  <c r="AA364" s="118"/>
      <c r="AB364" s="118"/>
      <c r="AC364" s="118"/>
      <c r="AD364" s="118"/>
      <c r="AE364" s="118"/>
      <c r="AF364" s="118"/>
      <c r="AG364" s="118"/>
      <c r="AH364" s="118"/>
      <c r="AI364" s="118"/>
      <c r="AJ364" s="118"/>
      <c r="AK364" s="118"/>
    </row>
    <row r="365" spans="1:37">
      <c r="A365" s="131"/>
      <c r="B365" s="131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  <c r="AA365" s="118"/>
      <c r="AB365" s="118"/>
      <c r="AC365" s="118"/>
      <c r="AD365" s="118"/>
      <c r="AE365" s="118"/>
      <c r="AF365" s="118"/>
      <c r="AG365" s="118"/>
      <c r="AH365" s="118"/>
      <c r="AI365" s="118"/>
      <c r="AJ365" s="118"/>
      <c r="AK365" s="118"/>
    </row>
    <row r="366" spans="1:37">
      <c r="A366" s="131"/>
      <c r="B366" s="131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</row>
    <row r="367" spans="1:37">
      <c r="A367" s="131"/>
      <c r="B367" s="131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  <c r="AA367" s="118"/>
      <c r="AB367" s="118"/>
      <c r="AC367" s="118"/>
      <c r="AD367" s="118"/>
      <c r="AE367" s="118"/>
      <c r="AF367" s="118"/>
      <c r="AG367" s="118"/>
      <c r="AH367" s="118"/>
      <c r="AI367" s="118"/>
      <c r="AJ367" s="118"/>
      <c r="AK367" s="118"/>
    </row>
    <row r="368" spans="1:37">
      <c r="A368" s="131"/>
      <c r="B368" s="131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  <c r="AA368" s="118"/>
      <c r="AB368" s="118"/>
      <c r="AC368" s="118"/>
      <c r="AD368" s="118"/>
      <c r="AE368" s="118"/>
      <c r="AF368" s="118"/>
      <c r="AG368" s="118"/>
      <c r="AH368" s="118"/>
      <c r="AI368" s="118"/>
      <c r="AJ368" s="118"/>
      <c r="AK368" s="118"/>
    </row>
    <row r="369" spans="1:37">
      <c r="A369" s="131"/>
      <c r="B369" s="131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  <c r="AA369" s="118"/>
      <c r="AB369" s="118"/>
      <c r="AC369" s="118"/>
      <c r="AD369" s="118"/>
      <c r="AE369" s="118"/>
      <c r="AF369" s="118"/>
      <c r="AG369" s="118"/>
      <c r="AH369" s="118"/>
      <c r="AI369" s="118"/>
      <c r="AJ369" s="118"/>
      <c r="AK369" s="118"/>
    </row>
    <row r="370" spans="1:37">
      <c r="A370" s="131"/>
      <c r="B370" s="131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  <c r="AA370" s="118"/>
      <c r="AB370" s="118"/>
      <c r="AC370" s="118"/>
      <c r="AD370" s="118"/>
      <c r="AE370" s="118"/>
      <c r="AF370" s="118"/>
      <c r="AG370" s="118"/>
      <c r="AH370" s="118"/>
      <c r="AI370" s="118"/>
      <c r="AJ370" s="118"/>
      <c r="AK370" s="118"/>
    </row>
    <row r="371" spans="1:37">
      <c r="A371" s="131"/>
      <c r="B371" s="131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  <c r="AA371" s="118"/>
      <c r="AB371" s="118"/>
      <c r="AC371" s="118"/>
      <c r="AD371" s="118"/>
      <c r="AE371" s="118"/>
      <c r="AF371" s="118"/>
      <c r="AG371" s="118"/>
      <c r="AH371" s="118"/>
      <c r="AI371" s="118"/>
      <c r="AJ371" s="118"/>
      <c r="AK371" s="118"/>
    </row>
    <row r="372" spans="1:37">
      <c r="A372" s="131"/>
      <c r="B372" s="131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  <c r="AA372" s="118"/>
      <c r="AB372" s="118"/>
      <c r="AC372" s="118"/>
      <c r="AD372" s="118"/>
      <c r="AE372" s="118"/>
      <c r="AF372" s="118"/>
      <c r="AG372" s="118"/>
      <c r="AH372" s="118"/>
      <c r="AI372" s="118"/>
      <c r="AJ372" s="118"/>
      <c r="AK372" s="118"/>
    </row>
    <row r="373" spans="1:37">
      <c r="A373" s="131"/>
      <c r="B373" s="131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  <c r="AA373" s="118"/>
      <c r="AB373" s="118"/>
      <c r="AC373" s="118"/>
      <c r="AD373" s="118"/>
      <c r="AE373" s="118"/>
      <c r="AF373" s="118"/>
      <c r="AG373" s="118"/>
      <c r="AH373" s="118"/>
      <c r="AI373" s="118"/>
      <c r="AJ373" s="118"/>
      <c r="AK373" s="118"/>
    </row>
    <row r="374" spans="1:37">
      <c r="A374" s="131"/>
      <c r="B374" s="131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  <c r="AA374" s="118"/>
      <c r="AB374" s="118"/>
      <c r="AC374" s="118"/>
      <c r="AD374" s="118"/>
      <c r="AE374" s="118"/>
      <c r="AF374" s="118"/>
      <c r="AG374" s="118"/>
      <c r="AH374" s="118"/>
      <c r="AI374" s="118"/>
      <c r="AJ374" s="118"/>
      <c r="AK374" s="118"/>
    </row>
    <row r="375" spans="1:37">
      <c r="A375" s="131"/>
      <c r="B375" s="131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  <c r="AA375" s="118"/>
      <c r="AB375" s="118"/>
      <c r="AC375" s="118"/>
      <c r="AD375" s="118"/>
      <c r="AE375" s="118"/>
      <c r="AF375" s="118"/>
      <c r="AG375" s="118"/>
      <c r="AH375" s="118"/>
      <c r="AI375" s="118"/>
      <c r="AJ375" s="118"/>
      <c r="AK375" s="118"/>
    </row>
    <row r="376" spans="1:37">
      <c r="A376" s="131"/>
      <c r="B376" s="131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  <c r="AA376" s="118"/>
      <c r="AB376" s="118"/>
      <c r="AC376" s="118"/>
      <c r="AD376" s="118"/>
      <c r="AE376" s="118"/>
      <c r="AF376" s="118"/>
      <c r="AG376" s="118"/>
      <c r="AH376" s="118"/>
      <c r="AI376" s="118"/>
      <c r="AJ376" s="118"/>
      <c r="AK376" s="118"/>
    </row>
    <row r="377" spans="1:37">
      <c r="A377" s="131"/>
      <c r="B377" s="131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8"/>
      <c r="AH377" s="118"/>
      <c r="AI377" s="118"/>
      <c r="AJ377" s="118"/>
      <c r="AK377" s="118"/>
    </row>
    <row r="378" spans="1:37">
      <c r="A378" s="131"/>
      <c r="B378" s="131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8"/>
      <c r="AH378" s="118"/>
      <c r="AI378" s="118"/>
      <c r="AJ378" s="118"/>
      <c r="AK378" s="118"/>
    </row>
    <row r="379" spans="1:37">
      <c r="A379" s="131"/>
      <c r="B379" s="131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8"/>
      <c r="AH379" s="118"/>
      <c r="AI379" s="118"/>
      <c r="AJ379" s="118"/>
      <c r="AK379" s="118"/>
    </row>
    <row r="380" spans="1:37">
      <c r="A380" s="131"/>
      <c r="B380" s="131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8"/>
      <c r="AH380" s="118"/>
      <c r="AI380" s="118"/>
      <c r="AJ380" s="118"/>
      <c r="AK380" s="118"/>
    </row>
    <row r="381" spans="1:37">
      <c r="A381" s="131"/>
      <c r="B381" s="131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8"/>
      <c r="AH381" s="118"/>
      <c r="AI381" s="118"/>
      <c r="AJ381" s="118"/>
      <c r="AK381" s="118"/>
    </row>
    <row r="382" spans="1:37">
      <c r="A382" s="131"/>
      <c r="B382" s="131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8"/>
      <c r="AH382" s="118"/>
      <c r="AI382" s="118"/>
      <c r="AJ382" s="118"/>
      <c r="AK382" s="118"/>
    </row>
    <row r="383" spans="1:37">
      <c r="A383" s="131"/>
      <c r="B383" s="131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8"/>
      <c r="AH383" s="118"/>
      <c r="AI383" s="118"/>
      <c r="AJ383" s="118"/>
      <c r="AK383" s="118"/>
    </row>
    <row r="384" spans="1:37">
      <c r="A384" s="131"/>
      <c r="B384" s="131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8"/>
      <c r="AH384" s="118"/>
      <c r="AI384" s="118"/>
      <c r="AJ384" s="118"/>
      <c r="AK384" s="118"/>
    </row>
    <row r="385" spans="1:37">
      <c r="A385" s="131"/>
      <c r="B385" s="131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8"/>
      <c r="AH385" s="118"/>
      <c r="AI385" s="118"/>
      <c r="AJ385" s="118"/>
      <c r="AK385" s="118"/>
    </row>
    <row r="386" spans="1:37">
      <c r="A386" s="131"/>
      <c r="B386" s="131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  <c r="AA386" s="118"/>
      <c r="AB386" s="118"/>
      <c r="AC386" s="118"/>
      <c r="AD386" s="118"/>
      <c r="AE386" s="118"/>
      <c r="AF386" s="118"/>
      <c r="AG386" s="118"/>
      <c r="AH386" s="118"/>
      <c r="AI386" s="118"/>
      <c r="AJ386" s="118"/>
      <c r="AK386" s="118"/>
    </row>
    <row r="387" spans="1:37">
      <c r="A387" s="131"/>
      <c r="B387" s="131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  <c r="AA387" s="118"/>
      <c r="AB387" s="118"/>
      <c r="AC387" s="118"/>
      <c r="AD387" s="118"/>
      <c r="AE387" s="118"/>
      <c r="AF387" s="118"/>
      <c r="AG387" s="118"/>
      <c r="AH387" s="118"/>
      <c r="AI387" s="118"/>
      <c r="AJ387" s="118"/>
      <c r="AK387" s="118"/>
    </row>
    <row r="388" spans="1:37">
      <c r="A388" s="131"/>
      <c r="B388" s="131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  <c r="AA388" s="118"/>
      <c r="AB388" s="118"/>
      <c r="AC388" s="118"/>
      <c r="AD388" s="118"/>
      <c r="AE388" s="118"/>
      <c r="AF388" s="118"/>
      <c r="AG388" s="118"/>
      <c r="AH388" s="118"/>
      <c r="AI388" s="118"/>
      <c r="AJ388" s="118"/>
      <c r="AK388" s="118"/>
    </row>
    <row r="389" spans="1:37">
      <c r="A389" s="131"/>
      <c r="B389" s="131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  <c r="AA389" s="118"/>
      <c r="AB389" s="118"/>
      <c r="AC389" s="118"/>
      <c r="AD389" s="118"/>
      <c r="AE389" s="118"/>
      <c r="AF389" s="118"/>
      <c r="AG389" s="118"/>
      <c r="AH389" s="118"/>
      <c r="AI389" s="118"/>
      <c r="AJ389" s="118"/>
      <c r="AK389" s="118"/>
    </row>
    <row r="390" spans="1:37">
      <c r="A390" s="131"/>
      <c r="B390" s="131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  <c r="AA390" s="118"/>
      <c r="AB390" s="118"/>
      <c r="AC390" s="118"/>
      <c r="AD390" s="118"/>
      <c r="AE390" s="118"/>
      <c r="AF390" s="118"/>
      <c r="AG390" s="118"/>
      <c r="AH390" s="118"/>
      <c r="AI390" s="118"/>
      <c r="AJ390" s="118"/>
      <c r="AK390" s="118"/>
    </row>
    <row r="391" spans="1:37">
      <c r="A391" s="131"/>
      <c r="B391" s="131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  <c r="AA391" s="118"/>
      <c r="AB391" s="118"/>
      <c r="AC391" s="118"/>
      <c r="AD391" s="118"/>
      <c r="AE391" s="118"/>
      <c r="AF391" s="118"/>
      <c r="AG391" s="118"/>
      <c r="AH391" s="118"/>
      <c r="AI391" s="118"/>
      <c r="AJ391" s="118"/>
      <c r="AK391" s="118"/>
    </row>
    <row r="392" spans="1:37">
      <c r="A392" s="131"/>
      <c r="B392" s="131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  <c r="AA392" s="118"/>
      <c r="AB392" s="118"/>
      <c r="AC392" s="118"/>
      <c r="AD392" s="118"/>
      <c r="AE392" s="118"/>
      <c r="AF392" s="118"/>
      <c r="AG392" s="118"/>
      <c r="AH392" s="118"/>
      <c r="AI392" s="118"/>
      <c r="AJ392" s="118"/>
      <c r="AK392" s="118"/>
    </row>
    <row r="393" spans="1:37">
      <c r="A393" s="131"/>
      <c r="B393" s="131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  <c r="AA393" s="118"/>
      <c r="AB393" s="118"/>
      <c r="AC393" s="118"/>
      <c r="AD393" s="118"/>
      <c r="AE393" s="118"/>
      <c r="AF393" s="118"/>
      <c r="AG393" s="118"/>
      <c r="AH393" s="118"/>
      <c r="AI393" s="118"/>
      <c r="AJ393" s="118"/>
      <c r="AK393" s="118"/>
    </row>
    <row r="394" spans="1:37">
      <c r="A394" s="131"/>
      <c r="B394" s="131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  <c r="AA394" s="118"/>
      <c r="AB394" s="118"/>
      <c r="AC394" s="118"/>
      <c r="AD394" s="118"/>
      <c r="AE394" s="118"/>
      <c r="AF394" s="118"/>
      <c r="AG394" s="118"/>
      <c r="AH394" s="118"/>
      <c r="AI394" s="118"/>
      <c r="AJ394" s="118"/>
      <c r="AK394" s="118"/>
    </row>
    <row r="395" spans="1:37">
      <c r="A395" s="131"/>
      <c r="B395" s="131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  <c r="AA395" s="118"/>
      <c r="AB395" s="118"/>
      <c r="AC395" s="118"/>
      <c r="AD395" s="118"/>
      <c r="AE395" s="118"/>
      <c r="AF395" s="118"/>
      <c r="AG395" s="118"/>
      <c r="AH395" s="118"/>
      <c r="AI395" s="118"/>
      <c r="AJ395" s="118"/>
      <c r="AK395" s="118"/>
    </row>
    <row r="396" spans="1:37">
      <c r="A396" s="131"/>
      <c r="B396" s="131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  <c r="AA396" s="118"/>
      <c r="AB396" s="118"/>
      <c r="AC396" s="118"/>
      <c r="AD396" s="118"/>
      <c r="AE396" s="118"/>
      <c r="AF396" s="118"/>
      <c r="AG396" s="118"/>
      <c r="AH396" s="118"/>
      <c r="AI396" s="118"/>
      <c r="AJ396" s="118"/>
      <c r="AK396" s="118"/>
    </row>
    <row r="397" spans="1:37">
      <c r="A397" s="131"/>
      <c r="B397" s="131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  <c r="AA397" s="118"/>
      <c r="AB397" s="118"/>
      <c r="AC397" s="118"/>
      <c r="AD397" s="118"/>
      <c r="AE397" s="118"/>
      <c r="AF397" s="118"/>
      <c r="AG397" s="118"/>
      <c r="AH397" s="118"/>
      <c r="AI397" s="118"/>
      <c r="AJ397" s="118"/>
      <c r="AK397" s="118"/>
    </row>
    <row r="398" spans="1:37">
      <c r="A398" s="131"/>
      <c r="B398" s="131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  <c r="AA398" s="118"/>
      <c r="AB398" s="118"/>
      <c r="AC398" s="118"/>
      <c r="AD398" s="118"/>
      <c r="AE398" s="118"/>
      <c r="AF398" s="118"/>
      <c r="AG398" s="118"/>
      <c r="AH398" s="118"/>
      <c r="AI398" s="118"/>
      <c r="AJ398" s="118"/>
      <c r="AK398" s="118"/>
    </row>
    <row r="399" spans="1:37">
      <c r="A399" s="131"/>
      <c r="B399" s="131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  <c r="AA399" s="118"/>
      <c r="AB399" s="118"/>
      <c r="AC399" s="118"/>
      <c r="AD399" s="118"/>
      <c r="AE399" s="118"/>
      <c r="AF399" s="118"/>
      <c r="AG399" s="118"/>
      <c r="AH399" s="118"/>
      <c r="AI399" s="118"/>
      <c r="AJ399" s="118"/>
      <c r="AK399" s="118"/>
    </row>
    <row r="400" spans="1:37">
      <c r="A400" s="131"/>
      <c r="B400" s="131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  <c r="AA400" s="118"/>
      <c r="AB400" s="118"/>
      <c r="AC400" s="118"/>
      <c r="AD400" s="118"/>
      <c r="AE400" s="118"/>
      <c r="AF400" s="118"/>
      <c r="AG400" s="118"/>
      <c r="AH400" s="118"/>
      <c r="AI400" s="118"/>
      <c r="AJ400" s="118"/>
      <c r="AK400" s="118"/>
    </row>
    <row r="401" spans="1:37">
      <c r="A401" s="131"/>
      <c r="B401" s="131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  <c r="AA401" s="118"/>
      <c r="AB401" s="118"/>
      <c r="AC401" s="118"/>
      <c r="AD401" s="118"/>
      <c r="AE401" s="118"/>
      <c r="AF401" s="118"/>
      <c r="AG401" s="118"/>
      <c r="AH401" s="118"/>
      <c r="AI401" s="118"/>
      <c r="AJ401" s="118"/>
      <c r="AK401" s="118"/>
    </row>
    <row r="402" spans="1:37">
      <c r="A402" s="131"/>
      <c r="B402" s="131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  <c r="AA402" s="118"/>
      <c r="AB402" s="118"/>
      <c r="AC402" s="118"/>
      <c r="AD402" s="118"/>
      <c r="AE402" s="118"/>
      <c r="AF402" s="118"/>
      <c r="AG402" s="118"/>
      <c r="AH402" s="118"/>
      <c r="AI402" s="118"/>
      <c r="AJ402" s="118"/>
      <c r="AK402" s="118"/>
    </row>
    <row r="403" spans="1:37">
      <c r="A403" s="131"/>
      <c r="B403" s="131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  <c r="AA403" s="118"/>
      <c r="AB403" s="118"/>
      <c r="AC403" s="118"/>
      <c r="AD403" s="118"/>
      <c r="AE403" s="118"/>
      <c r="AF403" s="118"/>
      <c r="AG403" s="118"/>
      <c r="AH403" s="118"/>
      <c r="AI403" s="118"/>
      <c r="AJ403" s="118"/>
      <c r="AK403" s="118"/>
    </row>
    <row r="404" spans="1:37">
      <c r="A404" s="131"/>
      <c r="B404" s="131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</row>
    <row r="405" spans="1:37">
      <c r="A405" s="131"/>
      <c r="B405" s="131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  <c r="AA405" s="118"/>
      <c r="AB405" s="118"/>
      <c r="AC405" s="118"/>
      <c r="AD405" s="118"/>
      <c r="AE405" s="118"/>
      <c r="AF405" s="118"/>
      <c r="AG405" s="118"/>
      <c r="AH405" s="118"/>
      <c r="AI405" s="118"/>
      <c r="AJ405" s="118"/>
      <c r="AK405" s="118"/>
    </row>
    <row r="406" spans="1:37">
      <c r="A406" s="131"/>
      <c r="B406" s="131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  <c r="AA406" s="118"/>
      <c r="AB406" s="118"/>
      <c r="AC406" s="118"/>
      <c r="AD406" s="118"/>
      <c r="AE406" s="118"/>
      <c r="AF406" s="118"/>
      <c r="AG406" s="118"/>
      <c r="AH406" s="118"/>
      <c r="AI406" s="118"/>
      <c r="AJ406" s="118"/>
      <c r="AK406" s="118"/>
    </row>
    <row r="407" spans="1:37">
      <c r="A407" s="131"/>
      <c r="B407" s="131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  <c r="AA407" s="118"/>
      <c r="AB407" s="118"/>
      <c r="AC407" s="118"/>
      <c r="AD407" s="118"/>
      <c r="AE407" s="118"/>
      <c r="AF407" s="118"/>
      <c r="AG407" s="118"/>
      <c r="AH407" s="118"/>
      <c r="AI407" s="118"/>
      <c r="AJ407" s="118"/>
      <c r="AK407" s="118"/>
    </row>
    <row r="408" spans="1:37">
      <c r="A408" s="131"/>
      <c r="B408" s="131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  <c r="AA408" s="118"/>
      <c r="AB408" s="118"/>
      <c r="AC408" s="118"/>
      <c r="AD408" s="118"/>
      <c r="AE408" s="118"/>
      <c r="AF408" s="118"/>
      <c r="AG408" s="118"/>
      <c r="AH408" s="118"/>
      <c r="AI408" s="118"/>
      <c r="AJ408" s="118"/>
      <c r="AK408" s="118"/>
    </row>
    <row r="409" spans="1:37">
      <c r="A409" s="131"/>
      <c r="B409" s="131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  <c r="AA409" s="118"/>
      <c r="AB409" s="118"/>
      <c r="AC409" s="118"/>
      <c r="AD409" s="118"/>
      <c r="AE409" s="118"/>
      <c r="AF409" s="118"/>
      <c r="AG409" s="118"/>
      <c r="AH409" s="118"/>
      <c r="AI409" s="118"/>
      <c r="AJ409" s="118"/>
      <c r="AK409" s="118"/>
    </row>
    <row r="410" spans="1:37">
      <c r="A410" s="131"/>
      <c r="B410" s="131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  <c r="AA410" s="118"/>
      <c r="AB410" s="118"/>
      <c r="AC410" s="118"/>
      <c r="AD410" s="118"/>
      <c r="AE410" s="118"/>
      <c r="AF410" s="118"/>
      <c r="AG410" s="118"/>
      <c r="AH410" s="118"/>
      <c r="AI410" s="118"/>
      <c r="AJ410" s="118"/>
      <c r="AK410" s="118"/>
    </row>
    <row r="411" spans="1:37">
      <c r="A411" s="131"/>
      <c r="B411" s="131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  <c r="AA411" s="118"/>
      <c r="AB411" s="118"/>
      <c r="AC411" s="118"/>
      <c r="AD411" s="118"/>
      <c r="AE411" s="118"/>
      <c r="AF411" s="118"/>
      <c r="AG411" s="118"/>
      <c r="AH411" s="118"/>
      <c r="AI411" s="118"/>
      <c r="AJ411" s="118"/>
      <c r="AK411" s="118"/>
    </row>
    <row r="412" spans="1:37">
      <c r="A412" s="131"/>
      <c r="B412" s="131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  <c r="AA412" s="118"/>
      <c r="AB412" s="118"/>
      <c r="AC412" s="118"/>
      <c r="AD412" s="118"/>
      <c r="AE412" s="118"/>
      <c r="AF412" s="118"/>
      <c r="AG412" s="118"/>
      <c r="AH412" s="118"/>
      <c r="AI412" s="118"/>
      <c r="AJ412" s="118"/>
      <c r="AK412" s="118"/>
    </row>
    <row r="413" spans="1:37">
      <c r="A413" s="131"/>
      <c r="B413" s="131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  <c r="AA413" s="118"/>
      <c r="AB413" s="118"/>
      <c r="AC413" s="118"/>
      <c r="AD413" s="118"/>
      <c r="AE413" s="118"/>
      <c r="AF413" s="118"/>
      <c r="AG413" s="118"/>
      <c r="AH413" s="118"/>
      <c r="AI413" s="118"/>
      <c r="AJ413" s="118"/>
      <c r="AK413" s="118"/>
    </row>
    <row r="414" spans="1:37">
      <c r="A414" s="131"/>
      <c r="B414" s="131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  <c r="AA414" s="118"/>
      <c r="AB414" s="118"/>
      <c r="AC414" s="118"/>
      <c r="AD414" s="118"/>
      <c r="AE414" s="118"/>
      <c r="AF414" s="118"/>
      <c r="AG414" s="118"/>
      <c r="AH414" s="118"/>
      <c r="AI414" s="118"/>
      <c r="AJ414" s="118"/>
      <c r="AK414" s="118"/>
    </row>
    <row r="415" spans="1:37">
      <c r="A415" s="131"/>
      <c r="B415" s="131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  <c r="AA415" s="118"/>
      <c r="AB415" s="118"/>
      <c r="AC415" s="118"/>
      <c r="AD415" s="118"/>
      <c r="AE415" s="118"/>
      <c r="AF415" s="118"/>
      <c r="AG415" s="118"/>
      <c r="AH415" s="118"/>
      <c r="AI415" s="118"/>
      <c r="AJ415" s="118"/>
      <c r="AK415" s="118"/>
    </row>
    <row r="416" spans="1:37">
      <c r="A416" s="131"/>
      <c r="B416" s="131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  <c r="AA416" s="118"/>
      <c r="AB416" s="118"/>
      <c r="AC416" s="118"/>
      <c r="AD416" s="118"/>
      <c r="AE416" s="118"/>
      <c r="AF416" s="118"/>
      <c r="AG416" s="118"/>
      <c r="AH416" s="118"/>
      <c r="AI416" s="118"/>
      <c r="AJ416" s="118"/>
      <c r="AK416" s="118"/>
    </row>
    <row r="417" spans="1:37">
      <c r="A417" s="131"/>
      <c r="B417" s="131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  <c r="AA417" s="118"/>
      <c r="AB417" s="118"/>
      <c r="AC417" s="118"/>
      <c r="AD417" s="118"/>
      <c r="AE417" s="118"/>
      <c r="AF417" s="118"/>
      <c r="AG417" s="118"/>
      <c r="AH417" s="118"/>
      <c r="AI417" s="118"/>
      <c r="AJ417" s="118"/>
      <c r="AK417" s="118"/>
    </row>
    <row r="418" spans="1:37">
      <c r="A418" s="131"/>
      <c r="B418" s="131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  <c r="AA418" s="118"/>
      <c r="AB418" s="118"/>
      <c r="AC418" s="118"/>
      <c r="AD418" s="118"/>
      <c r="AE418" s="118"/>
      <c r="AF418" s="118"/>
      <c r="AG418" s="118"/>
      <c r="AH418" s="118"/>
      <c r="AI418" s="118"/>
      <c r="AJ418" s="118"/>
      <c r="AK418" s="118"/>
    </row>
    <row r="419" spans="1:37">
      <c r="A419" s="131"/>
      <c r="B419" s="131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  <c r="AA419" s="118"/>
      <c r="AB419" s="118"/>
      <c r="AC419" s="118"/>
      <c r="AD419" s="118"/>
      <c r="AE419" s="118"/>
      <c r="AF419" s="118"/>
      <c r="AG419" s="118"/>
      <c r="AH419" s="118"/>
      <c r="AI419" s="118"/>
      <c r="AJ419" s="118"/>
      <c r="AK419" s="118"/>
    </row>
    <row r="420" spans="1:37">
      <c r="A420" s="131"/>
      <c r="B420" s="131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  <c r="AA420" s="118"/>
      <c r="AB420" s="118"/>
      <c r="AC420" s="118"/>
      <c r="AD420" s="118"/>
      <c r="AE420" s="118"/>
      <c r="AF420" s="118"/>
      <c r="AG420" s="118"/>
      <c r="AH420" s="118"/>
      <c r="AI420" s="118"/>
      <c r="AJ420" s="118"/>
      <c r="AK420" s="118"/>
    </row>
    <row r="421" spans="1:37">
      <c r="A421" s="131"/>
      <c r="B421" s="131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  <c r="AA421" s="118"/>
      <c r="AB421" s="118"/>
      <c r="AC421" s="118"/>
      <c r="AD421" s="118"/>
      <c r="AE421" s="118"/>
      <c r="AF421" s="118"/>
      <c r="AG421" s="118"/>
      <c r="AH421" s="118"/>
      <c r="AI421" s="118"/>
      <c r="AJ421" s="118"/>
      <c r="AK421" s="118"/>
    </row>
    <row r="422" spans="1:37">
      <c r="A422" s="131"/>
      <c r="B422" s="131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  <c r="AA422" s="118"/>
      <c r="AB422" s="118"/>
      <c r="AC422" s="118"/>
      <c r="AD422" s="118"/>
      <c r="AE422" s="118"/>
      <c r="AF422" s="118"/>
      <c r="AG422" s="118"/>
      <c r="AH422" s="118"/>
      <c r="AI422" s="118"/>
      <c r="AJ422" s="118"/>
      <c r="AK422" s="118"/>
    </row>
    <row r="423" spans="1:37">
      <c r="A423" s="131"/>
      <c r="B423" s="131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  <c r="AA423" s="118"/>
      <c r="AB423" s="118"/>
      <c r="AC423" s="118"/>
      <c r="AD423" s="118"/>
      <c r="AE423" s="118"/>
      <c r="AF423" s="118"/>
      <c r="AG423" s="118"/>
      <c r="AH423" s="118"/>
      <c r="AI423" s="118"/>
      <c r="AJ423" s="118"/>
      <c r="AK423" s="118"/>
    </row>
    <row r="424" spans="1:37">
      <c r="A424" s="131"/>
      <c r="B424" s="131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  <c r="AA424" s="118"/>
      <c r="AB424" s="118"/>
      <c r="AC424" s="118"/>
      <c r="AD424" s="118"/>
      <c r="AE424" s="118"/>
      <c r="AF424" s="118"/>
      <c r="AG424" s="118"/>
      <c r="AH424" s="118"/>
      <c r="AI424" s="118"/>
      <c r="AJ424" s="118"/>
      <c r="AK424" s="118"/>
    </row>
    <row r="425" spans="1:37">
      <c r="A425" s="131"/>
      <c r="B425" s="131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  <c r="AA425" s="118"/>
      <c r="AB425" s="118"/>
      <c r="AC425" s="118"/>
      <c r="AD425" s="118"/>
      <c r="AE425" s="118"/>
      <c r="AF425" s="118"/>
      <c r="AG425" s="118"/>
      <c r="AH425" s="118"/>
      <c r="AI425" s="118"/>
      <c r="AJ425" s="118"/>
      <c r="AK425" s="118"/>
    </row>
    <row r="426" spans="1:37">
      <c r="A426" s="131"/>
      <c r="B426" s="131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  <c r="AA426" s="118"/>
      <c r="AB426" s="118"/>
      <c r="AC426" s="118"/>
      <c r="AD426" s="118"/>
      <c r="AE426" s="118"/>
      <c r="AF426" s="118"/>
      <c r="AG426" s="118"/>
      <c r="AH426" s="118"/>
      <c r="AI426" s="118"/>
      <c r="AJ426" s="118"/>
      <c r="AK426" s="118"/>
    </row>
    <row r="427" spans="1:37">
      <c r="A427" s="131"/>
      <c r="B427" s="131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  <c r="AA427" s="118"/>
      <c r="AB427" s="118"/>
      <c r="AC427" s="118"/>
      <c r="AD427" s="118"/>
      <c r="AE427" s="118"/>
      <c r="AF427" s="118"/>
      <c r="AG427" s="118"/>
      <c r="AH427" s="118"/>
      <c r="AI427" s="118"/>
      <c r="AJ427" s="118"/>
      <c r="AK427" s="118"/>
    </row>
    <row r="428" spans="1:37">
      <c r="A428" s="131"/>
      <c r="B428" s="131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  <c r="AA428" s="118"/>
      <c r="AB428" s="118"/>
      <c r="AC428" s="118"/>
      <c r="AD428" s="118"/>
      <c r="AE428" s="118"/>
      <c r="AF428" s="118"/>
      <c r="AG428" s="118"/>
      <c r="AH428" s="118"/>
      <c r="AI428" s="118"/>
      <c r="AJ428" s="118"/>
      <c r="AK428" s="118"/>
    </row>
    <row r="429" spans="1:37">
      <c r="A429" s="131"/>
      <c r="B429" s="131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8"/>
      <c r="AH429" s="118"/>
      <c r="AI429" s="118"/>
      <c r="AJ429" s="118"/>
      <c r="AK429" s="118"/>
    </row>
    <row r="430" spans="1:37">
      <c r="A430" s="131"/>
      <c r="B430" s="131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8"/>
      <c r="AH430" s="118"/>
      <c r="AI430" s="118"/>
      <c r="AJ430" s="118"/>
      <c r="AK430" s="118"/>
    </row>
    <row r="431" spans="1:37">
      <c r="A431" s="131"/>
      <c r="B431" s="131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8"/>
      <c r="AH431" s="118"/>
      <c r="AI431" s="118"/>
      <c r="AJ431" s="118"/>
      <c r="AK431" s="118"/>
    </row>
    <row r="432" spans="1:37">
      <c r="A432" s="131"/>
      <c r="B432" s="131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8"/>
      <c r="AH432" s="118"/>
      <c r="AI432" s="118"/>
      <c r="AJ432" s="118"/>
      <c r="AK432" s="118"/>
    </row>
    <row r="433" spans="1:37">
      <c r="A433" s="131"/>
      <c r="B433" s="131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8"/>
      <c r="AH433" s="118"/>
      <c r="AI433" s="118"/>
      <c r="AJ433" s="118"/>
      <c r="AK433" s="118"/>
    </row>
    <row r="434" spans="1:37">
      <c r="A434" s="131"/>
      <c r="B434" s="131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8"/>
      <c r="AH434" s="118"/>
      <c r="AI434" s="118"/>
      <c r="AJ434" s="118"/>
      <c r="AK434" s="118"/>
    </row>
    <row r="435" spans="1:37">
      <c r="A435" s="131"/>
      <c r="B435" s="131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8"/>
      <c r="AH435" s="118"/>
      <c r="AI435" s="118"/>
      <c r="AJ435" s="118"/>
      <c r="AK435" s="118"/>
    </row>
    <row r="436" spans="1:37">
      <c r="A436" s="131"/>
      <c r="B436" s="131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8"/>
      <c r="AH436" s="118"/>
      <c r="AI436" s="118"/>
      <c r="AJ436" s="118"/>
      <c r="AK436" s="118"/>
    </row>
    <row r="437" spans="1:37">
      <c r="A437" s="131"/>
      <c r="B437" s="131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8"/>
      <c r="AH437" s="118"/>
      <c r="AI437" s="118"/>
      <c r="AJ437" s="118"/>
      <c r="AK437" s="118"/>
    </row>
    <row r="438" spans="1:37">
      <c r="A438" s="131"/>
      <c r="B438" s="131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  <c r="AA438" s="118"/>
      <c r="AB438" s="118"/>
      <c r="AC438" s="118"/>
      <c r="AD438" s="118"/>
      <c r="AE438" s="118"/>
      <c r="AF438" s="118"/>
      <c r="AG438" s="118"/>
      <c r="AH438" s="118"/>
      <c r="AI438" s="118"/>
      <c r="AJ438" s="118"/>
      <c r="AK438" s="118"/>
    </row>
    <row r="439" spans="1:37">
      <c r="A439" s="131"/>
      <c r="B439" s="131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  <c r="AA439" s="118"/>
      <c r="AB439" s="118"/>
      <c r="AC439" s="118"/>
      <c r="AD439" s="118"/>
      <c r="AE439" s="118"/>
      <c r="AF439" s="118"/>
      <c r="AG439" s="118"/>
      <c r="AH439" s="118"/>
      <c r="AI439" s="118"/>
      <c r="AJ439" s="118"/>
      <c r="AK439" s="118"/>
    </row>
    <row r="440" spans="1:37">
      <c r="A440" s="131"/>
      <c r="B440" s="131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  <c r="AA440" s="118"/>
      <c r="AB440" s="118"/>
      <c r="AC440" s="118"/>
      <c r="AD440" s="118"/>
      <c r="AE440" s="118"/>
      <c r="AF440" s="118"/>
      <c r="AG440" s="118"/>
      <c r="AH440" s="118"/>
      <c r="AI440" s="118"/>
      <c r="AJ440" s="118"/>
      <c r="AK440" s="118"/>
    </row>
    <row r="441" spans="1:37">
      <c r="A441" s="131"/>
      <c r="B441" s="131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  <c r="AA441" s="118"/>
      <c r="AB441" s="118"/>
      <c r="AC441" s="118"/>
      <c r="AD441" s="118"/>
      <c r="AE441" s="118"/>
      <c r="AF441" s="118"/>
      <c r="AG441" s="118"/>
      <c r="AH441" s="118"/>
      <c r="AI441" s="118"/>
      <c r="AJ441" s="118"/>
      <c r="AK441" s="118"/>
    </row>
    <row r="442" spans="1:37">
      <c r="A442" s="131"/>
      <c r="B442" s="131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</row>
    <row r="443" spans="1:37">
      <c r="A443" s="131"/>
      <c r="B443" s="131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  <c r="AA443" s="118"/>
      <c r="AB443" s="118"/>
      <c r="AC443" s="118"/>
      <c r="AD443" s="118"/>
      <c r="AE443" s="118"/>
      <c r="AF443" s="118"/>
      <c r="AG443" s="118"/>
      <c r="AH443" s="118"/>
      <c r="AI443" s="118"/>
      <c r="AJ443" s="118"/>
      <c r="AK443" s="118"/>
    </row>
    <row r="444" spans="1:37">
      <c r="A444" s="131"/>
      <c r="B444" s="131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  <c r="AA444" s="118"/>
      <c r="AB444" s="118"/>
      <c r="AC444" s="118"/>
      <c r="AD444" s="118"/>
      <c r="AE444" s="118"/>
      <c r="AF444" s="118"/>
      <c r="AG444" s="118"/>
      <c r="AH444" s="118"/>
      <c r="AI444" s="118"/>
      <c r="AJ444" s="118"/>
      <c r="AK444" s="118"/>
    </row>
    <row r="445" spans="1:37">
      <c r="A445" s="131"/>
      <c r="B445" s="131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  <c r="AA445" s="118"/>
      <c r="AB445" s="118"/>
      <c r="AC445" s="118"/>
      <c r="AD445" s="118"/>
      <c r="AE445" s="118"/>
      <c r="AF445" s="118"/>
      <c r="AG445" s="118"/>
      <c r="AH445" s="118"/>
      <c r="AI445" s="118"/>
      <c r="AJ445" s="118"/>
      <c r="AK445" s="118"/>
    </row>
    <row r="446" spans="1:37">
      <c r="A446" s="131"/>
      <c r="B446" s="131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  <c r="AA446" s="118"/>
      <c r="AB446" s="118"/>
      <c r="AC446" s="118"/>
      <c r="AD446" s="118"/>
      <c r="AE446" s="118"/>
      <c r="AF446" s="118"/>
      <c r="AG446" s="118"/>
      <c r="AH446" s="118"/>
      <c r="AI446" s="118"/>
      <c r="AJ446" s="118"/>
      <c r="AK446" s="118"/>
    </row>
    <row r="447" spans="1:37">
      <c r="A447" s="131"/>
      <c r="B447" s="131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  <c r="AA447" s="118"/>
      <c r="AB447" s="118"/>
      <c r="AC447" s="118"/>
      <c r="AD447" s="118"/>
      <c r="AE447" s="118"/>
      <c r="AF447" s="118"/>
      <c r="AG447" s="118"/>
      <c r="AH447" s="118"/>
      <c r="AI447" s="118"/>
      <c r="AJ447" s="118"/>
      <c r="AK447" s="118"/>
    </row>
    <row r="448" spans="1:37">
      <c r="A448" s="131"/>
      <c r="B448" s="131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  <c r="AA448" s="118"/>
      <c r="AB448" s="118"/>
      <c r="AC448" s="118"/>
      <c r="AD448" s="118"/>
      <c r="AE448" s="118"/>
      <c r="AF448" s="118"/>
      <c r="AG448" s="118"/>
      <c r="AH448" s="118"/>
      <c r="AI448" s="118"/>
      <c r="AJ448" s="118"/>
      <c r="AK448" s="118"/>
    </row>
    <row r="449" spans="1:37">
      <c r="A449" s="131"/>
      <c r="B449" s="131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  <c r="AA449" s="118"/>
      <c r="AB449" s="118"/>
      <c r="AC449" s="118"/>
      <c r="AD449" s="118"/>
      <c r="AE449" s="118"/>
      <c r="AF449" s="118"/>
      <c r="AG449" s="118"/>
      <c r="AH449" s="118"/>
      <c r="AI449" s="118"/>
      <c r="AJ449" s="118"/>
      <c r="AK449" s="118"/>
    </row>
    <row r="450" spans="1:37">
      <c r="A450" s="131"/>
      <c r="B450" s="131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  <c r="AA450" s="118"/>
      <c r="AB450" s="118"/>
      <c r="AC450" s="118"/>
      <c r="AD450" s="118"/>
      <c r="AE450" s="118"/>
      <c r="AF450" s="118"/>
      <c r="AG450" s="118"/>
      <c r="AH450" s="118"/>
      <c r="AI450" s="118"/>
      <c r="AJ450" s="118"/>
      <c r="AK450" s="118"/>
    </row>
    <row r="451" spans="1:37">
      <c r="A451" s="131"/>
      <c r="B451" s="131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  <c r="AA451" s="118"/>
      <c r="AB451" s="118"/>
      <c r="AC451" s="118"/>
      <c r="AD451" s="118"/>
      <c r="AE451" s="118"/>
      <c r="AF451" s="118"/>
      <c r="AG451" s="118"/>
      <c r="AH451" s="118"/>
      <c r="AI451" s="118"/>
      <c r="AJ451" s="118"/>
      <c r="AK451" s="118"/>
    </row>
    <row r="452" spans="1:37">
      <c r="A452" s="131"/>
      <c r="B452" s="131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  <c r="AA452" s="118"/>
      <c r="AB452" s="118"/>
      <c r="AC452" s="118"/>
      <c r="AD452" s="118"/>
      <c r="AE452" s="118"/>
      <c r="AF452" s="118"/>
      <c r="AG452" s="118"/>
      <c r="AH452" s="118"/>
      <c r="AI452" s="118"/>
      <c r="AJ452" s="118"/>
      <c r="AK452" s="118"/>
    </row>
    <row r="453" spans="1:37">
      <c r="A453" s="131"/>
      <c r="B453" s="131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  <c r="AA453" s="118"/>
      <c r="AB453" s="118"/>
      <c r="AC453" s="118"/>
      <c r="AD453" s="118"/>
      <c r="AE453" s="118"/>
      <c r="AF453" s="118"/>
      <c r="AG453" s="118"/>
      <c r="AH453" s="118"/>
      <c r="AI453" s="118"/>
      <c r="AJ453" s="118"/>
      <c r="AK453" s="118"/>
    </row>
    <row r="454" spans="1:37">
      <c r="A454" s="131"/>
      <c r="B454" s="131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  <c r="AA454" s="118"/>
      <c r="AB454" s="118"/>
      <c r="AC454" s="118"/>
      <c r="AD454" s="118"/>
      <c r="AE454" s="118"/>
      <c r="AF454" s="118"/>
      <c r="AG454" s="118"/>
      <c r="AH454" s="118"/>
      <c r="AI454" s="118"/>
      <c r="AJ454" s="118"/>
      <c r="AK454" s="118"/>
    </row>
    <row r="455" spans="1:37">
      <c r="A455" s="131"/>
      <c r="B455" s="131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  <c r="AA455" s="118"/>
      <c r="AB455" s="118"/>
      <c r="AC455" s="118"/>
      <c r="AD455" s="118"/>
      <c r="AE455" s="118"/>
      <c r="AF455" s="118"/>
      <c r="AG455" s="118"/>
      <c r="AH455" s="118"/>
      <c r="AI455" s="118"/>
      <c r="AJ455" s="118"/>
      <c r="AK455" s="118"/>
    </row>
    <row r="456" spans="1:37">
      <c r="A456" s="131"/>
      <c r="B456" s="131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  <c r="AA456" s="118"/>
      <c r="AB456" s="118"/>
      <c r="AC456" s="118"/>
      <c r="AD456" s="118"/>
      <c r="AE456" s="118"/>
      <c r="AF456" s="118"/>
      <c r="AG456" s="118"/>
      <c r="AH456" s="118"/>
      <c r="AI456" s="118"/>
      <c r="AJ456" s="118"/>
      <c r="AK456" s="118"/>
    </row>
    <row r="457" spans="1:37">
      <c r="A457" s="131"/>
      <c r="B457" s="131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  <c r="AA457" s="118"/>
      <c r="AB457" s="118"/>
      <c r="AC457" s="118"/>
      <c r="AD457" s="118"/>
      <c r="AE457" s="118"/>
      <c r="AF457" s="118"/>
      <c r="AG457" s="118"/>
      <c r="AH457" s="118"/>
      <c r="AI457" s="118"/>
      <c r="AJ457" s="118"/>
      <c r="AK457" s="118"/>
    </row>
    <row r="458" spans="1:37">
      <c r="A458" s="131"/>
      <c r="B458" s="131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  <c r="AA458" s="118"/>
      <c r="AB458" s="118"/>
      <c r="AC458" s="118"/>
      <c r="AD458" s="118"/>
      <c r="AE458" s="118"/>
      <c r="AF458" s="118"/>
      <c r="AG458" s="118"/>
      <c r="AH458" s="118"/>
      <c r="AI458" s="118"/>
      <c r="AJ458" s="118"/>
      <c r="AK458" s="118"/>
    </row>
    <row r="459" spans="1:37">
      <c r="A459" s="131"/>
      <c r="B459" s="131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  <c r="AA459" s="118"/>
      <c r="AB459" s="118"/>
      <c r="AC459" s="118"/>
      <c r="AD459" s="118"/>
      <c r="AE459" s="118"/>
      <c r="AF459" s="118"/>
      <c r="AG459" s="118"/>
      <c r="AH459" s="118"/>
      <c r="AI459" s="118"/>
      <c r="AJ459" s="118"/>
      <c r="AK459" s="118"/>
    </row>
    <row r="460" spans="1:37">
      <c r="A460" s="131"/>
      <c r="B460" s="131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  <c r="AA460" s="118"/>
      <c r="AB460" s="118"/>
      <c r="AC460" s="118"/>
      <c r="AD460" s="118"/>
      <c r="AE460" s="118"/>
      <c r="AF460" s="118"/>
      <c r="AG460" s="118"/>
      <c r="AH460" s="118"/>
      <c r="AI460" s="118"/>
      <c r="AJ460" s="118"/>
      <c r="AK460" s="118"/>
    </row>
    <row r="461" spans="1:37">
      <c r="A461" s="131"/>
      <c r="B461" s="131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  <c r="AA461" s="118"/>
      <c r="AB461" s="118"/>
      <c r="AC461" s="118"/>
      <c r="AD461" s="118"/>
      <c r="AE461" s="118"/>
      <c r="AF461" s="118"/>
      <c r="AG461" s="118"/>
      <c r="AH461" s="118"/>
      <c r="AI461" s="118"/>
      <c r="AJ461" s="118"/>
      <c r="AK461" s="118"/>
    </row>
    <row r="462" spans="1:37">
      <c r="A462" s="131"/>
      <c r="B462" s="131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  <c r="AA462" s="118"/>
      <c r="AB462" s="118"/>
      <c r="AC462" s="118"/>
      <c r="AD462" s="118"/>
      <c r="AE462" s="118"/>
      <c r="AF462" s="118"/>
      <c r="AG462" s="118"/>
      <c r="AH462" s="118"/>
      <c r="AI462" s="118"/>
      <c r="AJ462" s="118"/>
      <c r="AK462" s="118"/>
    </row>
    <row r="463" spans="1:37">
      <c r="A463" s="131"/>
      <c r="B463" s="131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  <c r="AA463" s="118"/>
      <c r="AB463" s="118"/>
      <c r="AC463" s="118"/>
      <c r="AD463" s="118"/>
      <c r="AE463" s="118"/>
      <c r="AF463" s="118"/>
      <c r="AG463" s="118"/>
      <c r="AH463" s="118"/>
      <c r="AI463" s="118"/>
      <c r="AJ463" s="118"/>
      <c r="AK463" s="118"/>
    </row>
    <row r="464" spans="1:37">
      <c r="A464" s="131"/>
      <c r="B464" s="131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  <c r="AA464" s="118"/>
      <c r="AB464" s="118"/>
      <c r="AC464" s="118"/>
      <c r="AD464" s="118"/>
      <c r="AE464" s="118"/>
      <c r="AF464" s="118"/>
      <c r="AG464" s="118"/>
      <c r="AH464" s="118"/>
      <c r="AI464" s="118"/>
      <c r="AJ464" s="118"/>
      <c r="AK464" s="118"/>
    </row>
    <row r="465" spans="1:37">
      <c r="A465" s="131"/>
      <c r="B465" s="131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  <c r="AA465" s="118"/>
      <c r="AB465" s="118"/>
      <c r="AC465" s="118"/>
      <c r="AD465" s="118"/>
      <c r="AE465" s="118"/>
      <c r="AF465" s="118"/>
      <c r="AG465" s="118"/>
      <c r="AH465" s="118"/>
      <c r="AI465" s="118"/>
      <c r="AJ465" s="118"/>
      <c r="AK465" s="118"/>
    </row>
    <row r="466" spans="1:37">
      <c r="A466" s="131"/>
      <c r="B466" s="131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  <c r="AA466" s="118"/>
      <c r="AB466" s="118"/>
      <c r="AC466" s="118"/>
      <c r="AD466" s="118"/>
      <c r="AE466" s="118"/>
      <c r="AF466" s="118"/>
      <c r="AG466" s="118"/>
      <c r="AH466" s="118"/>
      <c r="AI466" s="118"/>
      <c r="AJ466" s="118"/>
      <c r="AK466" s="118"/>
    </row>
    <row r="467" spans="1:37">
      <c r="A467" s="131"/>
      <c r="B467" s="131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  <c r="AA467" s="118"/>
      <c r="AB467" s="118"/>
      <c r="AC467" s="118"/>
      <c r="AD467" s="118"/>
      <c r="AE467" s="118"/>
      <c r="AF467" s="118"/>
      <c r="AG467" s="118"/>
      <c r="AH467" s="118"/>
      <c r="AI467" s="118"/>
      <c r="AJ467" s="118"/>
      <c r="AK467" s="118"/>
    </row>
    <row r="468" spans="1:37">
      <c r="A468" s="131"/>
      <c r="B468" s="131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  <c r="AA468" s="118"/>
      <c r="AB468" s="118"/>
      <c r="AC468" s="118"/>
      <c r="AD468" s="118"/>
      <c r="AE468" s="118"/>
      <c r="AF468" s="118"/>
      <c r="AG468" s="118"/>
      <c r="AH468" s="118"/>
      <c r="AI468" s="118"/>
      <c r="AJ468" s="118"/>
      <c r="AK468" s="118"/>
    </row>
    <row r="469" spans="1:37">
      <c r="A469" s="131"/>
      <c r="B469" s="131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  <c r="AA469" s="118"/>
      <c r="AB469" s="118"/>
      <c r="AC469" s="118"/>
      <c r="AD469" s="118"/>
      <c r="AE469" s="118"/>
      <c r="AF469" s="118"/>
      <c r="AG469" s="118"/>
      <c r="AH469" s="118"/>
      <c r="AI469" s="118"/>
      <c r="AJ469" s="118"/>
      <c r="AK469" s="118"/>
    </row>
    <row r="470" spans="1:37">
      <c r="A470" s="131"/>
      <c r="B470" s="131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  <c r="AA470" s="118"/>
      <c r="AB470" s="118"/>
      <c r="AC470" s="118"/>
      <c r="AD470" s="118"/>
      <c r="AE470" s="118"/>
      <c r="AF470" s="118"/>
      <c r="AG470" s="118"/>
      <c r="AH470" s="118"/>
      <c r="AI470" s="118"/>
      <c r="AJ470" s="118"/>
      <c r="AK470" s="118"/>
    </row>
    <row r="471" spans="1:37">
      <c r="A471" s="131"/>
      <c r="B471" s="131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  <c r="AA471" s="118"/>
      <c r="AB471" s="118"/>
      <c r="AC471" s="118"/>
      <c r="AD471" s="118"/>
      <c r="AE471" s="118"/>
      <c r="AF471" s="118"/>
      <c r="AG471" s="118"/>
      <c r="AH471" s="118"/>
      <c r="AI471" s="118"/>
      <c r="AJ471" s="118"/>
      <c r="AK471" s="118"/>
    </row>
    <row r="472" spans="1:37">
      <c r="A472" s="131"/>
      <c r="B472" s="131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  <c r="AA472" s="118"/>
      <c r="AB472" s="118"/>
      <c r="AC472" s="118"/>
      <c r="AD472" s="118"/>
      <c r="AE472" s="118"/>
      <c r="AF472" s="118"/>
      <c r="AG472" s="118"/>
      <c r="AH472" s="118"/>
      <c r="AI472" s="118"/>
      <c r="AJ472" s="118"/>
      <c r="AK472" s="118"/>
    </row>
    <row r="473" spans="1:37">
      <c r="A473" s="131"/>
      <c r="B473" s="131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  <c r="AA473" s="118"/>
      <c r="AB473" s="118"/>
      <c r="AC473" s="118"/>
      <c r="AD473" s="118"/>
      <c r="AE473" s="118"/>
      <c r="AF473" s="118"/>
      <c r="AG473" s="118"/>
      <c r="AH473" s="118"/>
      <c r="AI473" s="118"/>
      <c r="AJ473" s="118"/>
      <c r="AK473" s="118"/>
    </row>
    <row r="474" spans="1:37">
      <c r="A474" s="131"/>
      <c r="B474" s="131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  <c r="AA474" s="118"/>
      <c r="AB474" s="118"/>
      <c r="AC474" s="118"/>
      <c r="AD474" s="118"/>
      <c r="AE474" s="118"/>
      <c r="AF474" s="118"/>
      <c r="AG474" s="118"/>
      <c r="AH474" s="118"/>
      <c r="AI474" s="118"/>
      <c r="AJ474" s="118"/>
      <c r="AK474" s="118"/>
    </row>
    <row r="475" spans="1:37">
      <c r="A475" s="131"/>
      <c r="B475" s="131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  <c r="AA475" s="118"/>
      <c r="AB475" s="118"/>
      <c r="AC475" s="118"/>
      <c r="AD475" s="118"/>
      <c r="AE475" s="118"/>
      <c r="AF475" s="118"/>
      <c r="AG475" s="118"/>
      <c r="AH475" s="118"/>
      <c r="AI475" s="118"/>
      <c r="AJ475" s="118"/>
      <c r="AK475" s="118"/>
    </row>
    <row r="476" spans="1:37">
      <c r="A476" s="131"/>
      <c r="B476" s="131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  <c r="AA476" s="118"/>
      <c r="AB476" s="118"/>
      <c r="AC476" s="118"/>
      <c r="AD476" s="118"/>
      <c r="AE476" s="118"/>
      <c r="AF476" s="118"/>
      <c r="AG476" s="118"/>
      <c r="AH476" s="118"/>
      <c r="AI476" s="118"/>
      <c r="AJ476" s="118"/>
      <c r="AK476" s="118"/>
    </row>
    <row r="477" spans="1:37">
      <c r="A477" s="131"/>
      <c r="B477" s="131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  <c r="AA477" s="118"/>
      <c r="AB477" s="118"/>
      <c r="AC477" s="118"/>
      <c r="AD477" s="118"/>
      <c r="AE477" s="118"/>
      <c r="AF477" s="118"/>
      <c r="AG477" s="118"/>
      <c r="AH477" s="118"/>
      <c r="AI477" s="118"/>
      <c r="AJ477" s="118"/>
      <c r="AK477" s="118"/>
    </row>
    <row r="478" spans="1:37">
      <c r="A478" s="131"/>
      <c r="B478" s="131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  <c r="AA478" s="118"/>
      <c r="AB478" s="118"/>
      <c r="AC478" s="118"/>
      <c r="AD478" s="118"/>
      <c r="AE478" s="118"/>
      <c r="AF478" s="118"/>
      <c r="AG478" s="118"/>
      <c r="AH478" s="118"/>
      <c r="AI478" s="118"/>
      <c r="AJ478" s="118"/>
      <c r="AK478" s="118"/>
    </row>
    <row r="479" spans="1:37">
      <c r="A479" s="131"/>
      <c r="B479" s="131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  <c r="AA479" s="118"/>
      <c r="AB479" s="118"/>
      <c r="AC479" s="118"/>
      <c r="AD479" s="118"/>
      <c r="AE479" s="118"/>
      <c r="AF479" s="118"/>
      <c r="AG479" s="118"/>
      <c r="AH479" s="118"/>
      <c r="AI479" s="118"/>
      <c r="AJ479" s="118"/>
      <c r="AK479" s="118"/>
    </row>
    <row r="480" spans="1:37">
      <c r="A480" s="131"/>
      <c r="B480" s="131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</row>
    <row r="481" spans="1:37">
      <c r="A481" s="131"/>
      <c r="B481" s="131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8"/>
      <c r="AH481" s="118"/>
      <c r="AI481" s="118"/>
      <c r="AJ481" s="118"/>
      <c r="AK481" s="118"/>
    </row>
    <row r="482" spans="1:37">
      <c r="A482" s="131"/>
      <c r="B482" s="131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8"/>
      <c r="AH482" s="118"/>
      <c r="AI482" s="118"/>
      <c r="AJ482" s="118"/>
      <c r="AK482" s="118"/>
    </row>
    <row r="483" spans="1:37">
      <c r="A483" s="131"/>
      <c r="B483" s="131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8"/>
      <c r="AH483" s="118"/>
      <c r="AI483" s="118"/>
      <c r="AJ483" s="118"/>
      <c r="AK483" s="118"/>
    </row>
    <row r="484" spans="1:37">
      <c r="A484" s="131"/>
      <c r="B484" s="131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8"/>
      <c r="AH484" s="118"/>
      <c r="AI484" s="118"/>
      <c r="AJ484" s="118"/>
      <c r="AK484" s="118"/>
    </row>
    <row r="485" spans="1:37">
      <c r="A485" s="131"/>
      <c r="B485" s="131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8"/>
      <c r="AH485" s="118"/>
      <c r="AI485" s="118"/>
      <c r="AJ485" s="118"/>
      <c r="AK485" s="118"/>
    </row>
    <row r="486" spans="1:37">
      <c r="A486" s="131"/>
      <c r="B486" s="131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8"/>
      <c r="AH486" s="118"/>
      <c r="AI486" s="118"/>
      <c r="AJ486" s="118"/>
      <c r="AK486" s="118"/>
    </row>
    <row r="487" spans="1:37">
      <c r="A487" s="131"/>
      <c r="B487" s="131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8"/>
      <c r="AH487" s="118"/>
      <c r="AI487" s="118"/>
      <c r="AJ487" s="118"/>
      <c r="AK487" s="118"/>
    </row>
    <row r="488" spans="1:37">
      <c r="A488" s="131"/>
      <c r="B488" s="131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8"/>
      <c r="AH488" s="118"/>
      <c r="AI488" s="118"/>
      <c r="AJ488" s="118"/>
      <c r="AK488" s="118"/>
    </row>
    <row r="489" spans="1:37">
      <c r="A489" s="131"/>
      <c r="B489" s="131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8"/>
      <c r="AH489" s="118"/>
      <c r="AI489" s="118"/>
      <c r="AJ489" s="118"/>
      <c r="AK489" s="118"/>
    </row>
    <row r="490" spans="1:37">
      <c r="A490" s="131"/>
      <c r="B490" s="131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  <c r="AA490" s="118"/>
      <c r="AB490" s="118"/>
      <c r="AC490" s="118"/>
      <c r="AD490" s="118"/>
      <c r="AE490" s="118"/>
      <c r="AF490" s="118"/>
      <c r="AG490" s="118"/>
      <c r="AH490" s="118"/>
      <c r="AI490" s="118"/>
      <c r="AJ490" s="118"/>
      <c r="AK490" s="118"/>
    </row>
    <row r="491" spans="1:37">
      <c r="A491" s="131"/>
      <c r="B491" s="131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  <c r="AA491" s="118"/>
      <c r="AB491" s="118"/>
      <c r="AC491" s="118"/>
      <c r="AD491" s="118"/>
      <c r="AE491" s="118"/>
      <c r="AF491" s="118"/>
      <c r="AG491" s="118"/>
      <c r="AH491" s="118"/>
      <c r="AI491" s="118"/>
      <c r="AJ491" s="118"/>
      <c r="AK491" s="118"/>
    </row>
    <row r="492" spans="1:37">
      <c r="A492" s="131"/>
      <c r="B492" s="131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  <c r="AA492" s="118"/>
      <c r="AB492" s="118"/>
      <c r="AC492" s="118"/>
      <c r="AD492" s="118"/>
      <c r="AE492" s="118"/>
      <c r="AF492" s="118"/>
      <c r="AG492" s="118"/>
      <c r="AH492" s="118"/>
      <c r="AI492" s="118"/>
      <c r="AJ492" s="118"/>
      <c r="AK492" s="118"/>
    </row>
    <row r="493" spans="1:37">
      <c r="A493" s="131"/>
      <c r="B493" s="131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  <c r="AA493" s="118"/>
      <c r="AB493" s="118"/>
      <c r="AC493" s="118"/>
      <c r="AD493" s="118"/>
      <c r="AE493" s="118"/>
      <c r="AF493" s="118"/>
      <c r="AG493" s="118"/>
      <c r="AH493" s="118"/>
      <c r="AI493" s="118"/>
      <c r="AJ493" s="118"/>
      <c r="AK493" s="118"/>
    </row>
    <row r="494" spans="1:37">
      <c r="A494" s="131"/>
      <c r="B494" s="131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  <c r="AA494" s="118"/>
      <c r="AB494" s="118"/>
      <c r="AC494" s="118"/>
      <c r="AD494" s="118"/>
      <c r="AE494" s="118"/>
      <c r="AF494" s="118"/>
      <c r="AG494" s="118"/>
      <c r="AH494" s="118"/>
      <c r="AI494" s="118"/>
      <c r="AJ494" s="118"/>
      <c r="AK494" s="118"/>
    </row>
    <row r="495" spans="1:37">
      <c r="A495" s="131"/>
      <c r="B495" s="131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  <c r="AA495" s="118"/>
      <c r="AB495" s="118"/>
      <c r="AC495" s="118"/>
      <c r="AD495" s="118"/>
      <c r="AE495" s="118"/>
      <c r="AF495" s="118"/>
      <c r="AG495" s="118"/>
      <c r="AH495" s="118"/>
      <c r="AI495" s="118"/>
      <c r="AJ495" s="118"/>
      <c r="AK495" s="118"/>
    </row>
    <row r="496" spans="1:37">
      <c r="A496" s="131"/>
      <c r="B496" s="131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  <c r="AA496" s="118"/>
      <c r="AB496" s="118"/>
      <c r="AC496" s="118"/>
      <c r="AD496" s="118"/>
      <c r="AE496" s="118"/>
      <c r="AF496" s="118"/>
      <c r="AG496" s="118"/>
      <c r="AH496" s="118"/>
      <c r="AI496" s="118"/>
      <c r="AJ496" s="118"/>
      <c r="AK496" s="118"/>
    </row>
    <row r="497" spans="1:37">
      <c r="A497" s="131"/>
      <c r="B497" s="131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  <c r="AA497" s="118"/>
      <c r="AB497" s="118"/>
      <c r="AC497" s="118"/>
      <c r="AD497" s="118"/>
      <c r="AE497" s="118"/>
      <c r="AF497" s="118"/>
      <c r="AG497" s="118"/>
      <c r="AH497" s="118"/>
      <c r="AI497" s="118"/>
      <c r="AJ497" s="118"/>
      <c r="AK497" s="118"/>
    </row>
    <row r="498" spans="1:37">
      <c r="A498" s="131"/>
      <c r="B498" s="131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  <c r="AA498" s="118"/>
      <c r="AB498" s="118"/>
      <c r="AC498" s="118"/>
      <c r="AD498" s="118"/>
      <c r="AE498" s="118"/>
      <c r="AF498" s="118"/>
      <c r="AG498" s="118"/>
      <c r="AH498" s="118"/>
      <c r="AI498" s="118"/>
      <c r="AJ498" s="118"/>
      <c r="AK498" s="118"/>
    </row>
    <row r="499" spans="1:37">
      <c r="A499" s="131"/>
      <c r="B499" s="131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  <c r="AA499" s="118"/>
      <c r="AB499" s="118"/>
      <c r="AC499" s="118"/>
      <c r="AD499" s="118"/>
      <c r="AE499" s="118"/>
      <c r="AF499" s="118"/>
      <c r="AG499" s="118"/>
      <c r="AH499" s="118"/>
      <c r="AI499" s="118"/>
      <c r="AJ499" s="118"/>
      <c r="AK499" s="118"/>
    </row>
    <row r="500" spans="1:37">
      <c r="A500" s="131"/>
      <c r="B500" s="131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  <c r="AA500" s="118"/>
      <c r="AB500" s="118"/>
      <c r="AC500" s="118"/>
      <c r="AD500" s="118"/>
      <c r="AE500" s="118"/>
      <c r="AF500" s="118"/>
      <c r="AG500" s="118"/>
      <c r="AH500" s="118"/>
      <c r="AI500" s="118"/>
      <c r="AJ500" s="118"/>
      <c r="AK500" s="118"/>
    </row>
    <row r="501" spans="1:37">
      <c r="A501" s="131"/>
      <c r="B501" s="131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  <c r="AA501" s="118"/>
      <c r="AB501" s="118"/>
      <c r="AC501" s="118"/>
      <c r="AD501" s="118"/>
      <c r="AE501" s="118"/>
      <c r="AF501" s="118"/>
      <c r="AG501" s="118"/>
      <c r="AH501" s="118"/>
      <c r="AI501" s="118"/>
      <c r="AJ501" s="118"/>
      <c r="AK501" s="118"/>
    </row>
    <row r="502" spans="1:37">
      <c r="A502" s="131"/>
      <c r="B502" s="131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  <c r="AA502" s="118"/>
      <c r="AB502" s="118"/>
      <c r="AC502" s="118"/>
      <c r="AD502" s="118"/>
      <c r="AE502" s="118"/>
      <c r="AF502" s="118"/>
      <c r="AG502" s="118"/>
      <c r="AH502" s="118"/>
      <c r="AI502" s="118"/>
      <c r="AJ502" s="118"/>
      <c r="AK502" s="118"/>
    </row>
    <row r="503" spans="1:37">
      <c r="A503" s="131"/>
      <c r="B503" s="131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  <c r="AA503" s="118"/>
      <c r="AB503" s="118"/>
      <c r="AC503" s="118"/>
      <c r="AD503" s="118"/>
      <c r="AE503" s="118"/>
      <c r="AF503" s="118"/>
      <c r="AG503" s="118"/>
      <c r="AH503" s="118"/>
      <c r="AI503" s="118"/>
      <c r="AJ503" s="118"/>
      <c r="AK503" s="118"/>
    </row>
    <row r="504" spans="1:37">
      <c r="A504" s="131"/>
      <c r="B504" s="131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  <c r="AA504" s="118"/>
      <c r="AB504" s="118"/>
      <c r="AC504" s="118"/>
      <c r="AD504" s="118"/>
      <c r="AE504" s="118"/>
      <c r="AF504" s="118"/>
      <c r="AG504" s="118"/>
      <c r="AH504" s="118"/>
      <c r="AI504" s="118"/>
      <c r="AJ504" s="118"/>
      <c r="AK504" s="118"/>
    </row>
    <row r="505" spans="1:37">
      <c r="A505" s="131"/>
      <c r="B505" s="131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  <c r="AA505" s="118"/>
      <c r="AB505" s="118"/>
      <c r="AC505" s="118"/>
      <c r="AD505" s="118"/>
      <c r="AE505" s="118"/>
      <c r="AF505" s="118"/>
      <c r="AG505" s="118"/>
      <c r="AH505" s="118"/>
      <c r="AI505" s="118"/>
      <c r="AJ505" s="118"/>
      <c r="AK505" s="118"/>
    </row>
    <row r="506" spans="1:37">
      <c r="A506" s="131"/>
      <c r="B506" s="131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  <c r="AA506" s="118"/>
      <c r="AB506" s="118"/>
      <c r="AC506" s="118"/>
      <c r="AD506" s="118"/>
      <c r="AE506" s="118"/>
      <c r="AF506" s="118"/>
      <c r="AG506" s="118"/>
      <c r="AH506" s="118"/>
      <c r="AI506" s="118"/>
      <c r="AJ506" s="118"/>
      <c r="AK506" s="118"/>
    </row>
    <row r="507" spans="1:37">
      <c r="A507" s="131"/>
      <c r="B507" s="131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  <c r="AA507" s="118"/>
      <c r="AB507" s="118"/>
      <c r="AC507" s="118"/>
      <c r="AD507" s="118"/>
      <c r="AE507" s="118"/>
      <c r="AF507" s="118"/>
      <c r="AG507" s="118"/>
      <c r="AH507" s="118"/>
      <c r="AI507" s="118"/>
      <c r="AJ507" s="118"/>
      <c r="AK507" s="118"/>
    </row>
    <row r="508" spans="1:37">
      <c r="A508" s="131"/>
      <c r="B508" s="131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  <c r="AA508" s="118"/>
      <c r="AB508" s="118"/>
      <c r="AC508" s="118"/>
      <c r="AD508" s="118"/>
      <c r="AE508" s="118"/>
      <c r="AF508" s="118"/>
      <c r="AG508" s="118"/>
      <c r="AH508" s="118"/>
      <c r="AI508" s="118"/>
      <c r="AJ508" s="118"/>
      <c r="AK508" s="118"/>
    </row>
    <row r="509" spans="1:37">
      <c r="A509" s="131"/>
      <c r="B509" s="131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  <c r="AA509" s="118"/>
      <c r="AB509" s="118"/>
      <c r="AC509" s="118"/>
      <c r="AD509" s="118"/>
      <c r="AE509" s="118"/>
      <c r="AF509" s="118"/>
      <c r="AG509" s="118"/>
      <c r="AH509" s="118"/>
      <c r="AI509" s="118"/>
      <c r="AJ509" s="118"/>
      <c r="AK509" s="118"/>
    </row>
    <row r="510" spans="1:37">
      <c r="A510" s="131"/>
      <c r="B510" s="131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  <c r="AA510" s="118"/>
      <c r="AB510" s="118"/>
      <c r="AC510" s="118"/>
      <c r="AD510" s="118"/>
      <c r="AE510" s="118"/>
      <c r="AF510" s="118"/>
      <c r="AG510" s="118"/>
      <c r="AH510" s="118"/>
      <c r="AI510" s="118"/>
      <c r="AJ510" s="118"/>
      <c r="AK510" s="118"/>
    </row>
    <row r="511" spans="1:37">
      <c r="A511" s="131"/>
      <c r="B511" s="131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  <c r="AA511" s="118"/>
      <c r="AB511" s="118"/>
      <c r="AC511" s="118"/>
      <c r="AD511" s="118"/>
      <c r="AE511" s="118"/>
      <c r="AF511" s="118"/>
      <c r="AG511" s="118"/>
      <c r="AH511" s="118"/>
      <c r="AI511" s="118"/>
      <c r="AJ511" s="118"/>
      <c r="AK511" s="118"/>
    </row>
    <row r="512" spans="1:37">
      <c r="A512" s="131"/>
      <c r="B512" s="131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  <c r="AA512" s="118"/>
      <c r="AB512" s="118"/>
      <c r="AC512" s="118"/>
      <c r="AD512" s="118"/>
      <c r="AE512" s="118"/>
      <c r="AF512" s="118"/>
      <c r="AG512" s="118"/>
      <c r="AH512" s="118"/>
      <c r="AI512" s="118"/>
      <c r="AJ512" s="118"/>
      <c r="AK512" s="118"/>
    </row>
    <row r="513" spans="1:37">
      <c r="A513" s="131"/>
      <c r="B513" s="131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  <c r="AA513" s="118"/>
      <c r="AB513" s="118"/>
      <c r="AC513" s="118"/>
      <c r="AD513" s="118"/>
      <c r="AE513" s="118"/>
      <c r="AF513" s="118"/>
      <c r="AG513" s="118"/>
      <c r="AH513" s="118"/>
      <c r="AI513" s="118"/>
      <c r="AJ513" s="118"/>
      <c r="AK513" s="118"/>
    </row>
    <row r="514" spans="1:37">
      <c r="A514" s="131"/>
      <c r="B514" s="131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  <c r="AA514" s="118"/>
      <c r="AB514" s="118"/>
      <c r="AC514" s="118"/>
      <c r="AD514" s="118"/>
      <c r="AE514" s="118"/>
      <c r="AF514" s="118"/>
      <c r="AG514" s="118"/>
      <c r="AH514" s="118"/>
      <c r="AI514" s="118"/>
      <c r="AJ514" s="118"/>
      <c r="AK514" s="118"/>
    </row>
    <row r="515" spans="1:37">
      <c r="A515" s="131"/>
      <c r="B515" s="131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  <c r="AA515" s="118"/>
      <c r="AB515" s="118"/>
      <c r="AC515" s="118"/>
      <c r="AD515" s="118"/>
      <c r="AE515" s="118"/>
      <c r="AF515" s="118"/>
      <c r="AG515" s="118"/>
      <c r="AH515" s="118"/>
      <c r="AI515" s="118"/>
      <c r="AJ515" s="118"/>
      <c r="AK515" s="118"/>
    </row>
    <row r="516" spans="1:37">
      <c r="A516" s="131"/>
      <c r="B516" s="131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  <c r="AA516" s="118"/>
      <c r="AB516" s="118"/>
      <c r="AC516" s="118"/>
      <c r="AD516" s="118"/>
      <c r="AE516" s="118"/>
      <c r="AF516" s="118"/>
      <c r="AG516" s="118"/>
      <c r="AH516" s="118"/>
      <c r="AI516" s="118"/>
      <c r="AJ516" s="118"/>
      <c r="AK516" s="118"/>
    </row>
    <row r="517" spans="1:37">
      <c r="A517" s="131"/>
      <c r="B517" s="131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  <c r="AA517" s="118"/>
      <c r="AB517" s="118"/>
      <c r="AC517" s="118"/>
      <c r="AD517" s="118"/>
      <c r="AE517" s="118"/>
      <c r="AF517" s="118"/>
      <c r="AG517" s="118"/>
      <c r="AH517" s="118"/>
      <c r="AI517" s="118"/>
      <c r="AJ517" s="118"/>
      <c r="AK517" s="118"/>
    </row>
    <row r="518" spans="1:37">
      <c r="A518" s="131"/>
      <c r="B518" s="131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</row>
    <row r="519" spans="1:37">
      <c r="A519" s="131"/>
      <c r="B519" s="131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  <c r="AA519" s="118"/>
      <c r="AB519" s="118"/>
      <c r="AC519" s="118"/>
      <c r="AD519" s="118"/>
      <c r="AE519" s="118"/>
      <c r="AF519" s="118"/>
      <c r="AG519" s="118"/>
      <c r="AH519" s="118"/>
      <c r="AI519" s="118"/>
      <c r="AJ519" s="118"/>
      <c r="AK519" s="118"/>
    </row>
    <row r="520" spans="1:37">
      <c r="A520" s="131"/>
      <c r="B520" s="131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  <c r="AA520" s="118"/>
      <c r="AB520" s="118"/>
      <c r="AC520" s="118"/>
      <c r="AD520" s="118"/>
      <c r="AE520" s="118"/>
      <c r="AF520" s="118"/>
      <c r="AG520" s="118"/>
      <c r="AH520" s="118"/>
      <c r="AI520" s="118"/>
      <c r="AJ520" s="118"/>
      <c r="AK520" s="118"/>
    </row>
    <row r="521" spans="1:37">
      <c r="A521" s="131"/>
      <c r="B521" s="131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  <c r="AA521" s="118"/>
      <c r="AB521" s="118"/>
      <c r="AC521" s="118"/>
      <c r="AD521" s="118"/>
      <c r="AE521" s="118"/>
      <c r="AF521" s="118"/>
      <c r="AG521" s="118"/>
      <c r="AH521" s="118"/>
      <c r="AI521" s="118"/>
      <c r="AJ521" s="118"/>
      <c r="AK521" s="118"/>
    </row>
    <row r="522" spans="1:37">
      <c r="A522" s="131"/>
      <c r="B522" s="131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  <c r="AA522" s="118"/>
      <c r="AB522" s="118"/>
      <c r="AC522" s="118"/>
      <c r="AD522" s="118"/>
      <c r="AE522" s="118"/>
      <c r="AF522" s="118"/>
      <c r="AG522" s="118"/>
      <c r="AH522" s="118"/>
      <c r="AI522" s="118"/>
      <c r="AJ522" s="118"/>
      <c r="AK522" s="118"/>
    </row>
    <row r="523" spans="1:37">
      <c r="A523" s="131"/>
      <c r="B523" s="131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  <c r="AA523" s="118"/>
      <c r="AB523" s="118"/>
      <c r="AC523" s="118"/>
      <c r="AD523" s="118"/>
      <c r="AE523" s="118"/>
      <c r="AF523" s="118"/>
      <c r="AG523" s="118"/>
      <c r="AH523" s="118"/>
      <c r="AI523" s="118"/>
      <c r="AJ523" s="118"/>
      <c r="AK523" s="118"/>
    </row>
    <row r="524" spans="1:37">
      <c r="A524" s="131"/>
      <c r="B524" s="131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  <c r="AA524" s="118"/>
      <c r="AB524" s="118"/>
      <c r="AC524" s="118"/>
      <c r="AD524" s="118"/>
      <c r="AE524" s="118"/>
      <c r="AF524" s="118"/>
      <c r="AG524" s="118"/>
      <c r="AH524" s="118"/>
      <c r="AI524" s="118"/>
      <c r="AJ524" s="118"/>
      <c r="AK524" s="118"/>
    </row>
    <row r="525" spans="1:37">
      <c r="A525" s="131"/>
      <c r="B525" s="131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  <c r="AA525" s="118"/>
      <c r="AB525" s="118"/>
      <c r="AC525" s="118"/>
      <c r="AD525" s="118"/>
      <c r="AE525" s="118"/>
      <c r="AF525" s="118"/>
      <c r="AG525" s="118"/>
      <c r="AH525" s="118"/>
      <c r="AI525" s="118"/>
      <c r="AJ525" s="118"/>
      <c r="AK525" s="118"/>
    </row>
    <row r="526" spans="1:37">
      <c r="A526" s="131"/>
      <c r="B526" s="131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  <c r="AA526" s="118"/>
      <c r="AB526" s="118"/>
      <c r="AC526" s="118"/>
      <c r="AD526" s="118"/>
      <c r="AE526" s="118"/>
      <c r="AF526" s="118"/>
      <c r="AG526" s="118"/>
      <c r="AH526" s="118"/>
      <c r="AI526" s="118"/>
      <c r="AJ526" s="118"/>
      <c r="AK526" s="118"/>
    </row>
    <row r="527" spans="1:37">
      <c r="A527" s="131"/>
      <c r="B527" s="131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  <c r="AA527" s="118"/>
      <c r="AB527" s="118"/>
      <c r="AC527" s="118"/>
      <c r="AD527" s="118"/>
      <c r="AE527" s="118"/>
      <c r="AF527" s="118"/>
      <c r="AG527" s="118"/>
      <c r="AH527" s="118"/>
      <c r="AI527" s="118"/>
      <c r="AJ527" s="118"/>
      <c r="AK527" s="118"/>
    </row>
    <row r="528" spans="1:37">
      <c r="A528" s="131"/>
      <c r="B528" s="131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  <c r="AA528" s="118"/>
      <c r="AB528" s="118"/>
      <c r="AC528" s="118"/>
      <c r="AD528" s="118"/>
      <c r="AE528" s="118"/>
      <c r="AF528" s="118"/>
      <c r="AG528" s="118"/>
      <c r="AH528" s="118"/>
      <c r="AI528" s="118"/>
      <c r="AJ528" s="118"/>
      <c r="AK528" s="118"/>
    </row>
    <row r="529" spans="1:37">
      <c r="A529" s="131"/>
      <c r="B529" s="131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  <c r="AA529" s="118"/>
      <c r="AB529" s="118"/>
      <c r="AC529" s="118"/>
      <c r="AD529" s="118"/>
      <c r="AE529" s="118"/>
      <c r="AF529" s="118"/>
      <c r="AG529" s="118"/>
      <c r="AH529" s="118"/>
      <c r="AI529" s="118"/>
      <c r="AJ529" s="118"/>
      <c r="AK529" s="118"/>
    </row>
    <row r="530" spans="1:37">
      <c r="A530" s="131"/>
      <c r="B530" s="131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  <c r="AA530" s="118"/>
      <c r="AB530" s="118"/>
      <c r="AC530" s="118"/>
      <c r="AD530" s="118"/>
      <c r="AE530" s="118"/>
      <c r="AF530" s="118"/>
      <c r="AG530" s="118"/>
      <c r="AH530" s="118"/>
      <c r="AI530" s="118"/>
      <c r="AJ530" s="118"/>
      <c r="AK530" s="118"/>
    </row>
    <row r="531" spans="1:37">
      <c r="A531" s="131"/>
      <c r="B531" s="131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  <c r="AA531" s="118"/>
      <c r="AB531" s="118"/>
      <c r="AC531" s="118"/>
      <c r="AD531" s="118"/>
      <c r="AE531" s="118"/>
      <c r="AF531" s="118"/>
      <c r="AG531" s="118"/>
      <c r="AH531" s="118"/>
      <c r="AI531" s="118"/>
      <c r="AJ531" s="118"/>
      <c r="AK531" s="118"/>
    </row>
    <row r="532" spans="1:37">
      <c r="A532" s="131"/>
      <c r="B532" s="131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8"/>
      <c r="AB532" s="118"/>
      <c r="AC532" s="118"/>
      <c r="AD532" s="118"/>
      <c r="AE532" s="118"/>
      <c r="AF532" s="118"/>
      <c r="AG532" s="118"/>
      <c r="AH532" s="118"/>
      <c r="AI532" s="118"/>
      <c r="AJ532" s="118"/>
      <c r="AK532" s="118"/>
    </row>
    <row r="533" spans="1:37">
      <c r="A533" s="131"/>
      <c r="B533" s="131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  <c r="AA533" s="118"/>
      <c r="AB533" s="118"/>
      <c r="AC533" s="118"/>
      <c r="AD533" s="118"/>
      <c r="AE533" s="118"/>
      <c r="AF533" s="118"/>
      <c r="AG533" s="118"/>
      <c r="AH533" s="118"/>
      <c r="AI533" s="118"/>
      <c r="AJ533" s="118"/>
      <c r="AK533" s="118"/>
    </row>
    <row r="534" spans="1:37">
      <c r="A534" s="131"/>
      <c r="B534" s="131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  <c r="AA534" s="118"/>
      <c r="AB534" s="118"/>
      <c r="AC534" s="118"/>
      <c r="AD534" s="118"/>
      <c r="AE534" s="118"/>
      <c r="AF534" s="118"/>
      <c r="AG534" s="118"/>
      <c r="AH534" s="118"/>
      <c r="AI534" s="118"/>
      <c r="AJ534" s="118"/>
      <c r="AK534" s="118"/>
    </row>
    <row r="535" spans="1:37">
      <c r="A535" s="131"/>
      <c r="B535" s="131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  <c r="AA535" s="118"/>
      <c r="AB535" s="118"/>
      <c r="AC535" s="118"/>
      <c r="AD535" s="118"/>
      <c r="AE535" s="118"/>
      <c r="AF535" s="118"/>
      <c r="AG535" s="118"/>
      <c r="AH535" s="118"/>
      <c r="AI535" s="118"/>
      <c r="AJ535" s="118"/>
      <c r="AK535" s="118"/>
    </row>
    <row r="536" spans="1:37">
      <c r="A536" s="131"/>
      <c r="B536" s="131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  <c r="AA536" s="118"/>
      <c r="AB536" s="118"/>
      <c r="AC536" s="118"/>
      <c r="AD536" s="118"/>
      <c r="AE536" s="118"/>
      <c r="AF536" s="118"/>
      <c r="AG536" s="118"/>
      <c r="AH536" s="118"/>
      <c r="AI536" s="118"/>
      <c r="AJ536" s="118"/>
      <c r="AK536" s="118"/>
    </row>
    <row r="537" spans="1:37">
      <c r="A537" s="131"/>
      <c r="B537" s="131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  <c r="AA537" s="118"/>
      <c r="AB537" s="118"/>
      <c r="AC537" s="118"/>
      <c r="AD537" s="118"/>
      <c r="AE537" s="118"/>
      <c r="AF537" s="118"/>
      <c r="AG537" s="118"/>
      <c r="AH537" s="118"/>
      <c r="AI537" s="118"/>
      <c r="AJ537" s="118"/>
      <c r="AK537" s="118"/>
    </row>
    <row r="538" spans="1:37">
      <c r="A538" s="131"/>
      <c r="B538" s="131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  <c r="AA538" s="118"/>
      <c r="AB538" s="118"/>
      <c r="AC538" s="118"/>
      <c r="AD538" s="118"/>
      <c r="AE538" s="118"/>
      <c r="AF538" s="118"/>
      <c r="AG538" s="118"/>
      <c r="AH538" s="118"/>
      <c r="AI538" s="118"/>
      <c r="AJ538" s="118"/>
      <c r="AK538" s="118"/>
    </row>
    <row r="539" spans="1:37">
      <c r="A539" s="131"/>
      <c r="B539" s="131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  <c r="AA539" s="118"/>
      <c r="AB539" s="118"/>
      <c r="AC539" s="118"/>
      <c r="AD539" s="118"/>
      <c r="AE539" s="118"/>
      <c r="AF539" s="118"/>
      <c r="AG539" s="118"/>
      <c r="AH539" s="118"/>
      <c r="AI539" s="118"/>
      <c r="AJ539" s="118"/>
      <c r="AK539" s="118"/>
    </row>
    <row r="540" spans="1:37">
      <c r="A540" s="131"/>
      <c r="B540" s="131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  <c r="AA540" s="118"/>
      <c r="AB540" s="118"/>
      <c r="AC540" s="118"/>
      <c r="AD540" s="118"/>
      <c r="AE540" s="118"/>
      <c r="AF540" s="118"/>
      <c r="AG540" s="118"/>
      <c r="AH540" s="118"/>
      <c r="AI540" s="118"/>
      <c r="AJ540" s="118"/>
      <c r="AK540" s="118"/>
    </row>
    <row r="541" spans="1:37">
      <c r="A541" s="131"/>
      <c r="B541" s="131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  <c r="AA541" s="118"/>
      <c r="AB541" s="118"/>
      <c r="AC541" s="118"/>
      <c r="AD541" s="118"/>
      <c r="AE541" s="118"/>
      <c r="AF541" s="118"/>
      <c r="AG541" s="118"/>
      <c r="AH541" s="118"/>
      <c r="AI541" s="118"/>
      <c r="AJ541" s="118"/>
      <c r="AK541" s="118"/>
    </row>
    <row r="542" spans="1:37">
      <c r="A542" s="131"/>
      <c r="B542" s="131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  <c r="AA542" s="118"/>
      <c r="AB542" s="118"/>
      <c r="AC542" s="118"/>
      <c r="AD542" s="118"/>
      <c r="AE542" s="118"/>
      <c r="AF542" s="118"/>
      <c r="AG542" s="118"/>
      <c r="AH542" s="118"/>
      <c r="AI542" s="118"/>
      <c r="AJ542" s="118"/>
      <c r="AK542" s="118"/>
    </row>
    <row r="543" spans="1:37">
      <c r="A543" s="131"/>
      <c r="B543" s="131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  <c r="AA543" s="118"/>
      <c r="AB543" s="118"/>
      <c r="AC543" s="118"/>
      <c r="AD543" s="118"/>
      <c r="AE543" s="118"/>
      <c r="AF543" s="118"/>
      <c r="AG543" s="118"/>
      <c r="AH543" s="118"/>
      <c r="AI543" s="118"/>
      <c r="AJ543" s="118"/>
      <c r="AK543" s="118"/>
    </row>
    <row r="544" spans="1:37">
      <c r="A544" s="131"/>
      <c r="B544" s="131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  <c r="AA544" s="118"/>
      <c r="AB544" s="118"/>
      <c r="AC544" s="118"/>
      <c r="AD544" s="118"/>
      <c r="AE544" s="118"/>
      <c r="AF544" s="118"/>
      <c r="AG544" s="118"/>
      <c r="AH544" s="118"/>
      <c r="AI544" s="118"/>
      <c r="AJ544" s="118"/>
      <c r="AK544" s="118"/>
    </row>
    <row r="545" spans="1:37">
      <c r="A545" s="131"/>
      <c r="B545" s="131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  <c r="AA545" s="118"/>
      <c r="AB545" s="118"/>
      <c r="AC545" s="118"/>
      <c r="AD545" s="118"/>
      <c r="AE545" s="118"/>
      <c r="AF545" s="118"/>
      <c r="AG545" s="118"/>
      <c r="AH545" s="118"/>
      <c r="AI545" s="118"/>
      <c r="AJ545" s="118"/>
      <c r="AK545" s="118"/>
    </row>
    <row r="546" spans="1:37">
      <c r="A546" s="131"/>
      <c r="B546" s="131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  <c r="AA546" s="118"/>
      <c r="AB546" s="118"/>
      <c r="AC546" s="118"/>
      <c r="AD546" s="118"/>
      <c r="AE546" s="118"/>
      <c r="AF546" s="118"/>
      <c r="AG546" s="118"/>
      <c r="AH546" s="118"/>
      <c r="AI546" s="118"/>
      <c r="AJ546" s="118"/>
      <c r="AK546" s="118"/>
    </row>
    <row r="547" spans="1:37">
      <c r="A547" s="131"/>
      <c r="B547" s="131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  <c r="AA547" s="118"/>
      <c r="AB547" s="118"/>
      <c r="AC547" s="118"/>
      <c r="AD547" s="118"/>
      <c r="AE547" s="118"/>
      <c r="AF547" s="118"/>
      <c r="AG547" s="118"/>
      <c r="AH547" s="118"/>
      <c r="AI547" s="118"/>
      <c r="AJ547" s="118"/>
      <c r="AK547" s="118"/>
    </row>
    <row r="548" spans="1:37">
      <c r="A548" s="131"/>
      <c r="B548" s="131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  <c r="AB548" s="118"/>
      <c r="AC548" s="118"/>
      <c r="AD548" s="118"/>
      <c r="AE548" s="118"/>
      <c r="AF548" s="118"/>
      <c r="AG548" s="118"/>
      <c r="AH548" s="118"/>
      <c r="AI548" s="118"/>
      <c r="AJ548" s="118"/>
      <c r="AK548" s="118"/>
    </row>
    <row r="549" spans="1:37">
      <c r="A549" s="131"/>
      <c r="B549" s="131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  <c r="AA549" s="118"/>
      <c r="AB549" s="118"/>
      <c r="AC549" s="118"/>
      <c r="AD549" s="118"/>
      <c r="AE549" s="118"/>
      <c r="AF549" s="118"/>
      <c r="AG549" s="118"/>
      <c r="AH549" s="118"/>
      <c r="AI549" s="118"/>
      <c r="AJ549" s="118"/>
      <c r="AK549" s="118"/>
    </row>
    <row r="550" spans="1:37">
      <c r="A550" s="131"/>
      <c r="B550" s="131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  <c r="AA550" s="118"/>
      <c r="AB550" s="118"/>
      <c r="AC550" s="118"/>
      <c r="AD550" s="118"/>
      <c r="AE550" s="118"/>
      <c r="AF550" s="118"/>
      <c r="AG550" s="118"/>
      <c r="AH550" s="118"/>
      <c r="AI550" s="118"/>
      <c r="AJ550" s="118"/>
      <c r="AK550" s="118"/>
    </row>
    <row r="551" spans="1:37">
      <c r="A551" s="131"/>
      <c r="B551" s="131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  <c r="AA551" s="118"/>
      <c r="AB551" s="118"/>
      <c r="AC551" s="118"/>
      <c r="AD551" s="118"/>
      <c r="AE551" s="118"/>
      <c r="AF551" s="118"/>
      <c r="AG551" s="118"/>
      <c r="AH551" s="118"/>
      <c r="AI551" s="118"/>
      <c r="AJ551" s="118"/>
      <c r="AK551" s="118"/>
    </row>
    <row r="552" spans="1:37">
      <c r="A552" s="131"/>
      <c r="B552" s="131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  <c r="AA552" s="118"/>
      <c r="AB552" s="118"/>
      <c r="AC552" s="118"/>
      <c r="AD552" s="118"/>
      <c r="AE552" s="118"/>
      <c r="AF552" s="118"/>
      <c r="AG552" s="118"/>
      <c r="AH552" s="118"/>
      <c r="AI552" s="118"/>
      <c r="AJ552" s="118"/>
      <c r="AK552" s="118"/>
    </row>
    <row r="553" spans="1:37">
      <c r="A553" s="131"/>
      <c r="B553" s="131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  <c r="AA553" s="118"/>
      <c r="AB553" s="118"/>
      <c r="AC553" s="118"/>
      <c r="AD553" s="118"/>
      <c r="AE553" s="118"/>
      <c r="AF553" s="118"/>
      <c r="AG553" s="118"/>
      <c r="AH553" s="118"/>
      <c r="AI553" s="118"/>
      <c r="AJ553" s="118"/>
      <c r="AK553" s="118"/>
    </row>
    <row r="554" spans="1:37">
      <c r="A554" s="131"/>
      <c r="B554" s="131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  <c r="AA554" s="118"/>
      <c r="AB554" s="118"/>
      <c r="AC554" s="118"/>
      <c r="AD554" s="118"/>
      <c r="AE554" s="118"/>
      <c r="AF554" s="118"/>
      <c r="AG554" s="118"/>
      <c r="AH554" s="118"/>
      <c r="AI554" s="118"/>
      <c r="AJ554" s="118"/>
      <c r="AK554" s="118"/>
    </row>
    <row r="555" spans="1:37">
      <c r="A555" s="131"/>
      <c r="B555" s="131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  <c r="AA555" s="118"/>
      <c r="AB555" s="118"/>
      <c r="AC555" s="118"/>
      <c r="AD555" s="118"/>
      <c r="AE555" s="118"/>
      <c r="AF555" s="118"/>
      <c r="AG555" s="118"/>
      <c r="AH555" s="118"/>
      <c r="AI555" s="118"/>
      <c r="AJ555" s="118"/>
      <c r="AK555" s="118"/>
    </row>
    <row r="556" spans="1:37">
      <c r="A556" s="131"/>
      <c r="B556" s="131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</row>
    <row r="557" spans="1:37">
      <c r="A557" s="131"/>
      <c r="B557" s="131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  <c r="AA557" s="118"/>
      <c r="AB557" s="118"/>
      <c r="AC557" s="118"/>
      <c r="AD557" s="118"/>
      <c r="AE557" s="118"/>
      <c r="AF557" s="118"/>
      <c r="AG557" s="118"/>
      <c r="AH557" s="118"/>
      <c r="AI557" s="118"/>
      <c r="AJ557" s="118"/>
      <c r="AK557" s="118"/>
    </row>
    <row r="558" spans="1:37">
      <c r="A558" s="131"/>
      <c r="B558" s="131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  <c r="AA558" s="118"/>
      <c r="AB558" s="118"/>
      <c r="AC558" s="118"/>
      <c r="AD558" s="118"/>
      <c r="AE558" s="118"/>
      <c r="AF558" s="118"/>
      <c r="AG558" s="118"/>
      <c r="AH558" s="118"/>
      <c r="AI558" s="118"/>
      <c r="AJ558" s="118"/>
      <c r="AK558" s="118"/>
    </row>
    <row r="559" spans="1:37">
      <c r="A559" s="131"/>
      <c r="B559" s="131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  <c r="AA559" s="118"/>
      <c r="AB559" s="118"/>
      <c r="AC559" s="118"/>
      <c r="AD559" s="118"/>
      <c r="AE559" s="118"/>
      <c r="AF559" s="118"/>
      <c r="AG559" s="118"/>
      <c r="AH559" s="118"/>
      <c r="AI559" s="118"/>
      <c r="AJ559" s="118"/>
      <c r="AK559" s="118"/>
    </row>
    <row r="560" spans="1:37">
      <c r="A560" s="131"/>
      <c r="B560" s="131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  <c r="AA560" s="118"/>
      <c r="AB560" s="118"/>
      <c r="AC560" s="118"/>
      <c r="AD560" s="118"/>
      <c r="AE560" s="118"/>
      <c r="AF560" s="118"/>
      <c r="AG560" s="118"/>
      <c r="AH560" s="118"/>
      <c r="AI560" s="118"/>
      <c r="AJ560" s="118"/>
      <c r="AK560" s="118"/>
    </row>
    <row r="561" spans="1:37">
      <c r="A561" s="131"/>
      <c r="B561" s="131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  <c r="AA561" s="118"/>
      <c r="AB561" s="118"/>
      <c r="AC561" s="118"/>
      <c r="AD561" s="118"/>
      <c r="AE561" s="118"/>
      <c r="AF561" s="118"/>
      <c r="AG561" s="118"/>
      <c r="AH561" s="118"/>
      <c r="AI561" s="118"/>
      <c r="AJ561" s="118"/>
      <c r="AK561" s="118"/>
    </row>
    <row r="562" spans="1:37">
      <c r="A562" s="131"/>
      <c r="B562" s="131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  <c r="AA562" s="118"/>
      <c r="AB562" s="118"/>
      <c r="AC562" s="118"/>
      <c r="AD562" s="118"/>
      <c r="AE562" s="118"/>
      <c r="AF562" s="118"/>
      <c r="AG562" s="118"/>
      <c r="AH562" s="118"/>
      <c r="AI562" s="118"/>
      <c r="AJ562" s="118"/>
      <c r="AK562" s="118"/>
    </row>
    <row r="563" spans="1:37">
      <c r="A563" s="131"/>
      <c r="B563" s="131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  <c r="AA563" s="118"/>
      <c r="AB563" s="118"/>
      <c r="AC563" s="118"/>
      <c r="AD563" s="118"/>
      <c r="AE563" s="118"/>
      <c r="AF563" s="118"/>
      <c r="AG563" s="118"/>
      <c r="AH563" s="118"/>
      <c r="AI563" s="118"/>
      <c r="AJ563" s="118"/>
      <c r="AK563" s="118"/>
    </row>
    <row r="564" spans="1:37">
      <c r="A564" s="131"/>
      <c r="B564" s="131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  <c r="AA564" s="118"/>
      <c r="AB564" s="118"/>
      <c r="AC564" s="118"/>
      <c r="AD564" s="118"/>
      <c r="AE564" s="118"/>
      <c r="AF564" s="118"/>
      <c r="AG564" s="118"/>
      <c r="AH564" s="118"/>
      <c r="AI564" s="118"/>
      <c r="AJ564" s="118"/>
      <c r="AK564" s="118"/>
    </row>
    <row r="565" spans="1:37">
      <c r="A565" s="131"/>
      <c r="B565" s="131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  <c r="AA565" s="118"/>
      <c r="AB565" s="118"/>
      <c r="AC565" s="118"/>
      <c r="AD565" s="118"/>
      <c r="AE565" s="118"/>
      <c r="AF565" s="118"/>
      <c r="AG565" s="118"/>
      <c r="AH565" s="118"/>
      <c r="AI565" s="118"/>
      <c r="AJ565" s="118"/>
      <c r="AK565" s="118"/>
    </row>
    <row r="566" spans="1:37">
      <c r="A566" s="131"/>
      <c r="B566" s="131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  <c r="AA566" s="118"/>
      <c r="AB566" s="118"/>
      <c r="AC566" s="118"/>
      <c r="AD566" s="118"/>
      <c r="AE566" s="118"/>
      <c r="AF566" s="118"/>
      <c r="AG566" s="118"/>
      <c r="AH566" s="118"/>
      <c r="AI566" s="118"/>
      <c r="AJ566" s="118"/>
      <c r="AK566" s="118"/>
    </row>
    <row r="567" spans="1:37">
      <c r="A567" s="131"/>
      <c r="B567" s="131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  <c r="AA567" s="118"/>
      <c r="AB567" s="118"/>
      <c r="AC567" s="118"/>
      <c r="AD567" s="118"/>
      <c r="AE567" s="118"/>
      <c r="AF567" s="118"/>
      <c r="AG567" s="118"/>
      <c r="AH567" s="118"/>
      <c r="AI567" s="118"/>
      <c r="AJ567" s="118"/>
      <c r="AK567" s="118"/>
    </row>
    <row r="568" spans="1:37">
      <c r="A568" s="131"/>
      <c r="B568" s="131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  <c r="AA568" s="118"/>
      <c r="AB568" s="118"/>
      <c r="AC568" s="118"/>
      <c r="AD568" s="118"/>
      <c r="AE568" s="118"/>
      <c r="AF568" s="118"/>
      <c r="AG568" s="118"/>
      <c r="AH568" s="118"/>
      <c r="AI568" s="118"/>
      <c r="AJ568" s="118"/>
      <c r="AK568" s="118"/>
    </row>
    <row r="569" spans="1:37">
      <c r="A569" s="131"/>
      <c r="B569" s="131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  <c r="AA569" s="118"/>
      <c r="AB569" s="118"/>
      <c r="AC569" s="118"/>
      <c r="AD569" s="118"/>
      <c r="AE569" s="118"/>
      <c r="AF569" s="118"/>
      <c r="AG569" s="118"/>
      <c r="AH569" s="118"/>
      <c r="AI569" s="118"/>
      <c r="AJ569" s="118"/>
      <c r="AK569" s="118"/>
    </row>
    <row r="570" spans="1:37">
      <c r="A570" s="131"/>
      <c r="B570" s="131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  <c r="AA570" s="118"/>
      <c r="AB570" s="118"/>
      <c r="AC570" s="118"/>
      <c r="AD570" s="118"/>
      <c r="AE570" s="118"/>
      <c r="AF570" s="118"/>
      <c r="AG570" s="118"/>
      <c r="AH570" s="118"/>
      <c r="AI570" s="118"/>
      <c r="AJ570" s="118"/>
      <c r="AK570" s="118"/>
    </row>
    <row r="571" spans="1:37">
      <c r="A571" s="131"/>
      <c r="B571" s="131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  <c r="AA571" s="118"/>
      <c r="AB571" s="118"/>
      <c r="AC571" s="118"/>
      <c r="AD571" s="118"/>
      <c r="AE571" s="118"/>
      <c r="AF571" s="118"/>
      <c r="AG571" s="118"/>
      <c r="AH571" s="118"/>
      <c r="AI571" s="118"/>
      <c r="AJ571" s="118"/>
      <c r="AK571" s="118"/>
    </row>
    <row r="572" spans="1:37">
      <c r="A572" s="131"/>
      <c r="B572" s="131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  <c r="AA572" s="118"/>
      <c r="AB572" s="118"/>
      <c r="AC572" s="118"/>
      <c r="AD572" s="118"/>
      <c r="AE572" s="118"/>
      <c r="AF572" s="118"/>
      <c r="AG572" s="118"/>
      <c r="AH572" s="118"/>
      <c r="AI572" s="118"/>
      <c r="AJ572" s="118"/>
      <c r="AK572" s="118"/>
    </row>
    <row r="573" spans="1:37">
      <c r="A573" s="131"/>
      <c r="B573" s="131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  <c r="AA573" s="118"/>
      <c r="AB573" s="118"/>
      <c r="AC573" s="118"/>
      <c r="AD573" s="118"/>
      <c r="AE573" s="118"/>
      <c r="AF573" s="118"/>
      <c r="AG573" s="118"/>
      <c r="AH573" s="118"/>
      <c r="AI573" s="118"/>
      <c r="AJ573" s="118"/>
      <c r="AK573" s="118"/>
    </row>
    <row r="574" spans="1:37">
      <c r="A574" s="131"/>
      <c r="B574" s="131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  <c r="AA574" s="118"/>
      <c r="AB574" s="118"/>
      <c r="AC574" s="118"/>
      <c r="AD574" s="118"/>
      <c r="AE574" s="118"/>
      <c r="AF574" s="118"/>
      <c r="AG574" s="118"/>
      <c r="AH574" s="118"/>
      <c r="AI574" s="118"/>
      <c r="AJ574" s="118"/>
      <c r="AK574" s="118"/>
    </row>
    <row r="575" spans="1:37">
      <c r="A575" s="131"/>
      <c r="B575" s="131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  <c r="AA575" s="118"/>
      <c r="AB575" s="118"/>
      <c r="AC575" s="118"/>
      <c r="AD575" s="118"/>
      <c r="AE575" s="118"/>
      <c r="AF575" s="118"/>
      <c r="AG575" s="118"/>
      <c r="AH575" s="118"/>
      <c r="AI575" s="118"/>
      <c r="AJ575" s="118"/>
      <c r="AK575" s="118"/>
    </row>
    <row r="576" spans="1:37">
      <c r="A576" s="131"/>
      <c r="B576" s="131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  <c r="AA576" s="118"/>
      <c r="AB576" s="118"/>
      <c r="AC576" s="118"/>
      <c r="AD576" s="118"/>
      <c r="AE576" s="118"/>
      <c r="AF576" s="118"/>
      <c r="AG576" s="118"/>
      <c r="AH576" s="118"/>
      <c r="AI576" s="118"/>
      <c r="AJ576" s="118"/>
      <c r="AK576" s="118"/>
    </row>
    <row r="577" spans="1:37">
      <c r="A577" s="131"/>
      <c r="B577" s="131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  <c r="AA577" s="118"/>
      <c r="AB577" s="118"/>
      <c r="AC577" s="118"/>
      <c r="AD577" s="118"/>
      <c r="AE577" s="118"/>
      <c r="AF577" s="118"/>
      <c r="AG577" s="118"/>
      <c r="AH577" s="118"/>
      <c r="AI577" s="118"/>
      <c r="AJ577" s="118"/>
      <c r="AK577" s="118"/>
    </row>
    <row r="578" spans="1:37">
      <c r="A578" s="131"/>
      <c r="B578" s="131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  <c r="AA578" s="118"/>
      <c r="AB578" s="118"/>
      <c r="AC578" s="118"/>
      <c r="AD578" s="118"/>
      <c r="AE578" s="118"/>
      <c r="AF578" s="118"/>
      <c r="AG578" s="118"/>
      <c r="AH578" s="118"/>
      <c r="AI578" s="118"/>
      <c r="AJ578" s="118"/>
      <c r="AK578" s="118"/>
    </row>
    <row r="579" spans="1:37">
      <c r="A579" s="131"/>
      <c r="B579" s="131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  <c r="AA579" s="118"/>
      <c r="AB579" s="118"/>
      <c r="AC579" s="118"/>
      <c r="AD579" s="118"/>
      <c r="AE579" s="118"/>
      <c r="AF579" s="118"/>
      <c r="AG579" s="118"/>
      <c r="AH579" s="118"/>
      <c r="AI579" s="118"/>
      <c r="AJ579" s="118"/>
      <c r="AK579" s="118"/>
    </row>
    <row r="580" spans="1:37">
      <c r="A580" s="131"/>
      <c r="B580" s="131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  <c r="AA580" s="118"/>
      <c r="AB580" s="118"/>
      <c r="AC580" s="118"/>
      <c r="AD580" s="118"/>
      <c r="AE580" s="118"/>
      <c r="AF580" s="118"/>
      <c r="AG580" s="118"/>
      <c r="AH580" s="118"/>
      <c r="AI580" s="118"/>
      <c r="AJ580" s="118"/>
      <c r="AK580" s="118"/>
    </row>
    <row r="581" spans="1:37">
      <c r="A581" s="131"/>
      <c r="B581" s="131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  <c r="AA581" s="118"/>
      <c r="AB581" s="118"/>
      <c r="AC581" s="118"/>
      <c r="AD581" s="118"/>
      <c r="AE581" s="118"/>
      <c r="AF581" s="118"/>
      <c r="AG581" s="118"/>
      <c r="AH581" s="118"/>
      <c r="AI581" s="118"/>
      <c r="AJ581" s="118"/>
      <c r="AK581" s="118"/>
    </row>
    <row r="582" spans="1:37">
      <c r="A582" s="131"/>
      <c r="B582" s="131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  <c r="AA582" s="118"/>
      <c r="AB582" s="118"/>
      <c r="AC582" s="118"/>
      <c r="AD582" s="118"/>
      <c r="AE582" s="118"/>
      <c r="AF582" s="118"/>
      <c r="AG582" s="118"/>
      <c r="AH582" s="118"/>
      <c r="AI582" s="118"/>
      <c r="AJ582" s="118"/>
      <c r="AK582" s="118"/>
    </row>
    <row r="583" spans="1:37">
      <c r="A583" s="131"/>
      <c r="B583" s="131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  <c r="AA583" s="118"/>
      <c r="AB583" s="118"/>
      <c r="AC583" s="118"/>
      <c r="AD583" s="118"/>
      <c r="AE583" s="118"/>
      <c r="AF583" s="118"/>
      <c r="AG583" s="118"/>
      <c r="AH583" s="118"/>
      <c r="AI583" s="118"/>
      <c r="AJ583" s="118"/>
      <c r="AK583" s="118"/>
    </row>
    <row r="584" spans="1:37">
      <c r="A584" s="131"/>
      <c r="B584" s="131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  <c r="AA584" s="118"/>
      <c r="AB584" s="118"/>
      <c r="AC584" s="118"/>
      <c r="AD584" s="118"/>
      <c r="AE584" s="118"/>
      <c r="AF584" s="118"/>
      <c r="AG584" s="118"/>
      <c r="AH584" s="118"/>
      <c r="AI584" s="118"/>
      <c r="AJ584" s="118"/>
      <c r="AK584" s="118"/>
    </row>
    <row r="585" spans="1:37">
      <c r="A585" s="131"/>
      <c r="B585" s="131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  <c r="AA585" s="118"/>
      <c r="AB585" s="118"/>
      <c r="AC585" s="118"/>
      <c r="AD585" s="118"/>
      <c r="AE585" s="118"/>
      <c r="AF585" s="118"/>
      <c r="AG585" s="118"/>
      <c r="AH585" s="118"/>
      <c r="AI585" s="118"/>
      <c r="AJ585" s="118"/>
      <c r="AK585" s="118"/>
    </row>
    <row r="586" spans="1:37">
      <c r="A586" s="131"/>
      <c r="B586" s="131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  <c r="AA586" s="118"/>
      <c r="AB586" s="118"/>
      <c r="AC586" s="118"/>
      <c r="AD586" s="118"/>
      <c r="AE586" s="118"/>
      <c r="AF586" s="118"/>
      <c r="AG586" s="118"/>
      <c r="AH586" s="118"/>
      <c r="AI586" s="118"/>
      <c r="AJ586" s="118"/>
      <c r="AK586" s="118"/>
    </row>
    <row r="587" spans="1:37">
      <c r="A587" s="131"/>
      <c r="B587" s="131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  <c r="AA587" s="118"/>
      <c r="AB587" s="118"/>
      <c r="AC587" s="118"/>
      <c r="AD587" s="118"/>
      <c r="AE587" s="118"/>
      <c r="AF587" s="118"/>
      <c r="AG587" s="118"/>
      <c r="AH587" s="118"/>
      <c r="AI587" s="118"/>
      <c r="AJ587" s="118"/>
      <c r="AK587" s="118"/>
    </row>
    <row r="588" spans="1:37">
      <c r="A588" s="131"/>
      <c r="B588" s="131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  <c r="AA588" s="118"/>
      <c r="AB588" s="118"/>
      <c r="AC588" s="118"/>
      <c r="AD588" s="118"/>
      <c r="AE588" s="118"/>
      <c r="AF588" s="118"/>
      <c r="AG588" s="118"/>
      <c r="AH588" s="118"/>
      <c r="AI588" s="118"/>
      <c r="AJ588" s="118"/>
      <c r="AK588" s="118"/>
    </row>
    <row r="589" spans="1:37">
      <c r="A589" s="131"/>
      <c r="B589" s="131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  <c r="AA589" s="118"/>
      <c r="AB589" s="118"/>
      <c r="AC589" s="118"/>
      <c r="AD589" s="118"/>
      <c r="AE589" s="118"/>
      <c r="AF589" s="118"/>
      <c r="AG589" s="118"/>
      <c r="AH589" s="118"/>
      <c r="AI589" s="118"/>
      <c r="AJ589" s="118"/>
      <c r="AK589" s="118"/>
    </row>
    <row r="590" spans="1:37">
      <c r="A590" s="131"/>
      <c r="B590" s="131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  <c r="AA590" s="118"/>
      <c r="AB590" s="118"/>
      <c r="AC590" s="118"/>
      <c r="AD590" s="118"/>
      <c r="AE590" s="118"/>
      <c r="AF590" s="118"/>
      <c r="AG590" s="118"/>
      <c r="AH590" s="118"/>
      <c r="AI590" s="118"/>
      <c r="AJ590" s="118"/>
      <c r="AK590" s="118"/>
    </row>
    <row r="591" spans="1:37">
      <c r="A591" s="131"/>
      <c r="B591" s="131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  <c r="AA591" s="118"/>
      <c r="AB591" s="118"/>
      <c r="AC591" s="118"/>
      <c r="AD591" s="118"/>
      <c r="AE591" s="118"/>
      <c r="AF591" s="118"/>
      <c r="AG591" s="118"/>
      <c r="AH591" s="118"/>
      <c r="AI591" s="118"/>
      <c r="AJ591" s="118"/>
      <c r="AK591" s="118"/>
    </row>
    <row r="592" spans="1:37">
      <c r="A592" s="131"/>
      <c r="B592" s="131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  <c r="AA592" s="118"/>
      <c r="AB592" s="118"/>
      <c r="AC592" s="118"/>
      <c r="AD592" s="118"/>
      <c r="AE592" s="118"/>
      <c r="AF592" s="118"/>
      <c r="AG592" s="118"/>
      <c r="AH592" s="118"/>
      <c r="AI592" s="118"/>
      <c r="AJ592" s="118"/>
      <c r="AK592" s="118"/>
    </row>
    <row r="593" spans="1:37">
      <c r="A593" s="131"/>
      <c r="B593" s="131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  <c r="AA593" s="118"/>
      <c r="AB593" s="118"/>
      <c r="AC593" s="118"/>
      <c r="AD593" s="118"/>
      <c r="AE593" s="118"/>
      <c r="AF593" s="118"/>
      <c r="AG593" s="118"/>
      <c r="AH593" s="118"/>
      <c r="AI593" s="118"/>
      <c r="AJ593" s="118"/>
      <c r="AK593" s="118"/>
    </row>
    <row r="594" spans="1:37">
      <c r="A594" s="131"/>
      <c r="B594" s="131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</row>
    <row r="595" spans="1:37">
      <c r="A595" s="131"/>
      <c r="B595" s="131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  <c r="AA595" s="118"/>
      <c r="AB595" s="118"/>
      <c r="AC595" s="118"/>
      <c r="AD595" s="118"/>
      <c r="AE595" s="118"/>
      <c r="AF595" s="118"/>
      <c r="AG595" s="118"/>
      <c r="AH595" s="118"/>
      <c r="AI595" s="118"/>
      <c r="AJ595" s="118"/>
      <c r="AK595" s="118"/>
    </row>
    <row r="596" spans="1:37">
      <c r="A596" s="131"/>
      <c r="B596" s="131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  <c r="AA596" s="118"/>
      <c r="AB596" s="118"/>
      <c r="AC596" s="118"/>
      <c r="AD596" s="118"/>
      <c r="AE596" s="118"/>
      <c r="AF596" s="118"/>
      <c r="AG596" s="118"/>
      <c r="AH596" s="118"/>
      <c r="AI596" s="118"/>
      <c r="AJ596" s="118"/>
      <c r="AK596" s="118"/>
    </row>
    <row r="597" spans="1:37">
      <c r="A597" s="131"/>
      <c r="B597" s="131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  <c r="AA597" s="118"/>
      <c r="AB597" s="118"/>
      <c r="AC597" s="118"/>
      <c r="AD597" s="118"/>
      <c r="AE597" s="118"/>
      <c r="AF597" s="118"/>
      <c r="AG597" s="118"/>
      <c r="AH597" s="118"/>
      <c r="AI597" s="118"/>
      <c r="AJ597" s="118"/>
      <c r="AK597" s="118"/>
    </row>
    <row r="598" spans="1:37">
      <c r="A598" s="131"/>
      <c r="B598" s="131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  <c r="AA598" s="118"/>
      <c r="AB598" s="118"/>
      <c r="AC598" s="118"/>
      <c r="AD598" s="118"/>
      <c r="AE598" s="118"/>
      <c r="AF598" s="118"/>
      <c r="AG598" s="118"/>
      <c r="AH598" s="118"/>
      <c r="AI598" s="118"/>
      <c r="AJ598" s="118"/>
      <c r="AK598" s="118"/>
    </row>
    <row r="599" spans="1:37">
      <c r="A599" s="131"/>
      <c r="B599" s="131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  <c r="AA599" s="118"/>
      <c r="AB599" s="118"/>
      <c r="AC599" s="118"/>
      <c r="AD599" s="118"/>
      <c r="AE599" s="118"/>
      <c r="AF599" s="118"/>
      <c r="AG599" s="118"/>
      <c r="AH599" s="118"/>
      <c r="AI599" s="118"/>
      <c r="AJ599" s="118"/>
      <c r="AK599" s="118"/>
    </row>
    <row r="600" spans="1:37">
      <c r="A600" s="131"/>
      <c r="B600" s="131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  <c r="AA600" s="118"/>
      <c r="AB600" s="118"/>
      <c r="AC600" s="118"/>
      <c r="AD600" s="118"/>
      <c r="AE600" s="118"/>
      <c r="AF600" s="118"/>
      <c r="AG600" s="118"/>
      <c r="AH600" s="118"/>
      <c r="AI600" s="118"/>
      <c r="AJ600" s="118"/>
      <c r="AK600" s="118"/>
    </row>
    <row r="601" spans="1:37">
      <c r="A601" s="131"/>
      <c r="B601" s="131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  <c r="AA601" s="118"/>
      <c r="AB601" s="118"/>
      <c r="AC601" s="118"/>
      <c r="AD601" s="118"/>
      <c r="AE601" s="118"/>
      <c r="AF601" s="118"/>
      <c r="AG601" s="118"/>
      <c r="AH601" s="118"/>
      <c r="AI601" s="118"/>
      <c r="AJ601" s="118"/>
      <c r="AK601" s="118"/>
    </row>
    <row r="602" spans="1:37">
      <c r="A602" s="131"/>
      <c r="B602" s="131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  <c r="AA602" s="118"/>
      <c r="AB602" s="118"/>
      <c r="AC602" s="118"/>
      <c r="AD602" s="118"/>
      <c r="AE602" s="118"/>
      <c r="AF602" s="118"/>
      <c r="AG602" s="118"/>
      <c r="AH602" s="118"/>
      <c r="AI602" s="118"/>
      <c r="AJ602" s="118"/>
      <c r="AK602" s="118"/>
    </row>
    <row r="603" spans="1:37">
      <c r="A603" s="131"/>
      <c r="B603" s="131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  <c r="AA603" s="118"/>
      <c r="AB603" s="118"/>
      <c r="AC603" s="118"/>
      <c r="AD603" s="118"/>
      <c r="AE603" s="118"/>
      <c r="AF603" s="118"/>
      <c r="AG603" s="118"/>
      <c r="AH603" s="118"/>
      <c r="AI603" s="118"/>
      <c r="AJ603" s="118"/>
      <c r="AK603" s="118"/>
    </row>
    <row r="604" spans="1:37">
      <c r="A604" s="131"/>
      <c r="B604" s="131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  <c r="AA604" s="118"/>
      <c r="AB604" s="118"/>
      <c r="AC604" s="118"/>
      <c r="AD604" s="118"/>
      <c r="AE604" s="118"/>
      <c r="AF604" s="118"/>
      <c r="AG604" s="118"/>
      <c r="AH604" s="118"/>
      <c r="AI604" s="118"/>
      <c r="AJ604" s="118"/>
      <c r="AK604" s="118"/>
    </row>
    <row r="605" spans="1:37">
      <c r="A605" s="131"/>
      <c r="B605" s="131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  <c r="AA605" s="118"/>
      <c r="AB605" s="118"/>
      <c r="AC605" s="118"/>
      <c r="AD605" s="118"/>
      <c r="AE605" s="118"/>
      <c r="AF605" s="118"/>
      <c r="AG605" s="118"/>
      <c r="AH605" s="118"/>
      <c r="AI605" s="118"/>
      <c r="AJ605" s="118"/>
      <c r="AK605" s="118"/>
    </row>
    <row r="606" spans="1:37">
      <c r="A606" s="131"/>
      <c r="B606" s="131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  <c r="AA606" s="118"/>
      <c r="AB606" s="118"/>
      <c r="AC606" s="118"/>
      <c r="AD606" s="118"/>
      <c r="AE606" s="118"/>
      <c r="AF606" s="118"/>
      <c r="AG606" s="118"/>
      <c r="AH606" s="118"/>
      <c r="AI606" s="118"/>
      <c r="AJ606" s="118"/>
      <c r="AK606" s="118"/>
    </row>
    <row r="607" spans="1:37">
      <c r="A607" s="131"/>
      <c r="B607" s="131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  <c r="AA607" s="118"/>
      <c r="AB607" s="118"/>
      <c r="AC607" s="118"/>
      <c r="AD607" s="118"/>
      <c r="AE607" s="118"/>
      <c r="AF607" s="118"/>
      <c r="AG607" s="118"/>
      <c r="AH607" s="118"/>
      <c r="AI607" s="118"/>
      <c r="AJ607" s="118"/>
      <c r="AK607" s="118"/>
    </row>
    <row r="608" spans="1:37">
      <c r="A608" s="131"/>
      <c r="B608" s="131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  <c r="AA608" s="118"/>
      <c r="AB608" s="118"/>
      <c r="AC608" s="118"/>
      <c r="AD608" s="118"/>
      <c r="AE608" s="118"/>
      <c r="AF608" s="118"/>
      <c r="AG608" s="118"/>
      <c r="AH608" s="118"/>
      <c r="AI608" s="118"/>
      <c r="AJ608" s="118"/>
      <c r="AK608" s="118"/>
    </row>
    <row r="609" spans="1:37">
      <c r="A609" s="131"/>
      <c r="B609" s="131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  <c r="AA609" s="118"/>
      <c r="AB609" s="118"/>
      <c r="AC609" s="118"/>
      <c r="AD609" s="118"/>
      <c r="AE609" s="118"/>
      <c r="AF609" s="118"/>
      <c r="AG609" s="118"/>
      <c r="AH609" s="118"/>
      <c r="AI609" s="118"/>
      <c r="AJ609" s="118"/>
      <c r="AK609" s="118"/>
    </row>
    <row r="610" spans="1:37">
      <c r="A610" s="131"/>
      <c r="B610" s="131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  <c r="AA610" s="118"/>
      <c r="AB610" s="118"/>
      <c r="AC610" s="118"/>
      <c r="AD610" s="118"/>
      <c r="AE610" s="118"/>
      <c r="AF610" s="118"/>
      <c r="AG610" s="118"/>
      <c r="AH610" s="118"/>
      <c r="AI610" s="118"/>
      <c r="AJ610" s="118"/>
      <c r="AK610" s="118"/>
    </row>
    <row r="611" spans="1:37">
      <c r="A611" s="131"/>
      <c r="B611" s="131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  <c r="AA611" s="118"/>
      <c r="AB611" s="118"/>
      <c r="AC611" s="118"/>
      <c r="AD611" s="118"/>
      <c r="AE611" s="118"/>
      <c r="AF611" s="118"/>
      <c r="AG611" s="118"/>
      <c r="AH611" s="118"/>
      <c r="AI611" s="118"/>
      <c r="AJ611" s="118"/>
      <c r="AK611" s="118"/>
    </row>
    <row r="612" spans="1:37">
      <c r="A612" s="131"/>
      <c r="B612" s="131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  <c r="AA612" s="118"/>
      <c r="AB612" s="118"/>
      <c r="AC612" s="118"/>
      <c r="AD612" s="118"/>
      <c r="AE612" s="118"/>
      <c r="AF612" s="118"/>
      <c r="AG612" s="118"/>
      <c r="AH612" s="118"/>
      <c r="AI612" s="118"/>
      <c r="AJ612" s="118"/>
      <c r="AK612" s="118"/>
    </row>
    <row r="613" spans="1:37">
      <c r="A613" s="131"/>
      <c r="B613" s="131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  <c r="AA613" s="118"/>
      <c r="AB613" s="118"/>
      <c r="AC613" s="118"/>
      <c r="AD613" s="118"/>
      <c r="AE613" s="118"/>
      <c r="AF613" s="118"/>
      <c r="AG613" s="118"/>
      <c r="AH613" s="118"/>
      <c r="AI613" s="118"/>
      <c r="AJ613" s="118"/>
      <c r="AK613" s="118"/>
    </row>
    <row r="614" spans="1:37">
      <c r="A614" s="131"/>
      <c r="B614" s="131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  <c r="AA614" s="118"/>
      <c r="AB614" s="118"/>
      <c r="AC614" s="118"/>
      <c r="AD614" s="118"/>
      <c r="AE614" s="118"/>
      <c r="AF614" s="118"/>
      <c r="AG614" s="118"/>
      <c r="AH614" s="118"/>
      <c r="AI614" s="118"/>
      <c r="AJ614" s="118"/>
      <c r="AK614" s="118"/>
    </row>
    <row r="615" spans="1:37">
      <c r="A615" s="131"/>
      <c r="B615" s="131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  <c r="AA615" s="118"/>
      <c r="AB615" s="118"/>
      <c r="AC615" s="118"/>
      <c r="AD615" s="118"/>
      <c r="AE615" s="118"/>
      <c r="AF615" s="118"/>
      <c r="AG615" s="118"/>
      <c r="AH615" s="118"/>
      <c r="AI615" s="118"/>
      <c r="AJ615" s="118"/>
      <c r="AK615" s="118"/>
    </row>
    <row r="616" spans="1:37">
      <c r="A616" s="131"/>
      <c r="B616" s="131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  <c r="AA616" s="118"/>
      <c r="AB616" s="118"/>
      <c r="AC616" s="118"/>
      <c r="AD616" s="118"/>
      <c r="AE616" s="118"/>
      <c r="AF616" s="118"/>
      <c r="AG616" s="118"/>
      <c r="AH616" s="118"/>
      <c r="AI616" s="118"/>
      <c r="AJ616" s="118"/>
      <c r="AK616" s="118"/>
    </row>
    <row r="617" spans="1:37">
      <c r="A617" s="131"/>
      <c r="B617" s="131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  <c r="AA617" s="118"/>
      <c r="AB617" s="118"/>
      <c r="AC617" s="118"/>
      <c r="AD617" s="118"/>
      <c r="AE617" s="118"/>
      <c r="AF617" s="118"/>
      <c r="AG617" s="118"/>
      <c r="AH617" s="118"/>
      <c r="AI617" s="118"/>
      <c r="AJ617" s="118"/>
      <c r="AK617" s="118"/>
    </row>
    <row r="618" spans="1:37">
      <c r="A618" s="131"/>
      <c r="B618" s="131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  <c r="AA618" s="118"/>
      <c r="AB618" s="118"/>
      <c r="AC618" s="118"/>
      <c r="AD618" s="118"/>
      <c r="AE618" s="118"/>
      <c r="AF618" s="118"/>
      <c r="AG618" s="118"/>
      <c r="AH618" s="118"/>
      <c r="AI618" s="118"/>
      <c r="AJ618" s="118"/>
      <c r="AK618" s="118"/>
    </row>
    <row r="619" spans="1:37">
      <c r="A619" s="131"/>
      <c r="B619" s="131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  <c r="AA619" s="118"/>
      <c r="AB619" s="118"/>
      <c r="AC619" s="118"/>
      <c r="AD619" s="118"/>
      <c r="AE619" s="118"/>
      <c r="AF619" s="118"/>
      <c r="AG619" s="118"/>
      <c r="AH619" s="118"/>
      <c r="AI619" s="118"/>
      <c r="AJ619" s="118"/>
      <c r="AK619" s="118"/>
    </row>
    <row r="620" spans="1:37">
      <c r="A620" s="131"/>
      <c r="B620" s="131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  <c r="AA620" s="118"/>
      <c r="AB620" s="118"/>
      <c r="AC620" s="118"/>
      <c r="AD620" s="118"/>
      <c r="AE620" s="118"/>
      <c r="AF620" s="118"/>
      <c r="AG620" s="118"/>
      <c r="AH620" s="118"/>
      <c r="AI620" s="118"/>
      <c r="AJ620" s="118"/>
      <c r="AK620" s="118"/>
    </row>
    <row r="621" spans="1:37">
      <c r="A621" s="131"/>
      <c r="B621" s="131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  <c r="AA621" s="118"/>
      <c r="AB621" s="118"/>
      <c r="AC621" s="118"/>
      <c r="AD621" s="118"/>
      <c r="AE621" s="118"/>
      <c r="AF621" s="118"/>
      <c r="AG621" s="118"/>
      <c r="AH621" s="118"/>
      <c r="AI621" s="118"/>
      <c r="AJ621" s="118"/>
      <c r="AK621" s="118"/>
    </row>
    <row r="622" spans="1:37">
      <c r="A622" s="131"/>
      <c r="B622" s="131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  <c r="AA622" s="118"/>
      <c r="AB622" s="118"/>
      <c r="AC622" s="118"/>
      <c r="AD622" s="118"/>
      <c r="AE622" s="118"/>
      <c r="AF622" s="118"/>
      <c r="AG622" s="118"/>
      <c r="AH622" s="118"/>
      <c r="AI622" s="118"/>
      <c r="AJ622" s="118"/>
      <c r="AK622" s="118"/>
    </row>
    <row r="623" spans="1:37">
      <c r="A623" s="131"/>
      <c r="B623" s="131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  <c r="AA623" s="118"/>
      <c r="AB623" s="118"/>
      <c r="AC623" s="118"/>
      <c r="AD623" s="118"/>
      <c r="AE623" s="118"/>
      <c r="AF623" s="118"/>
      <c r="AG623" s="118"/>
      <c r="AH623" s="118"/>
      <c r="AI623" s="118"/>
      <c r="AJ623" s="118"/>
      <c r="AK623" s="118"/>
    </row>
    <row r="624" spans="1:37">
      <c r="A624" s="131"/>
      <c r="B624" s="131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  <c r="AA624" s="118"/>
      <c r="AB624" s="118"/>
      <c r="AC624" s="118"/>
      <c r="AD624" s="118"/>
      <c r="AE624" s="118"/>
      <c r="AF624" s="118"/>
      <c r="AG624" s="118"/>
      <c r="AH624" s="118"/>
      <c r="AI624" s="118"/>
      <c r="AJ624" s="118"/>
      <c r="AK624" s="118"/>
    </row>
    <row r="625" spans="1:37">
      <c r="A625" s="131"/>
      <c r="B625" s="131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  <c r="AA625" s="118"/>
      <c r="AB625" s="118"/>
      <c r="AC625" s="118"/>
      <c r="AD625" s="118"/>
      <c r="AE625" s="118"/>
      <c r="AF625" s="118"/>
      <c r="AG625" s="118"/>
      <c r="AH625" s="118"/>
      <c r="AI625" s="118"/>
      <c r="AJ625" s="118"/>
      <c r="AK625" s="118"/>
    </row>
    <row r="626" spans="1:37">
      <c r="A626" s="131"/>
      <c r="B626" s="131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  <c r="AA626" s="118"/>
      <c r="AB626" s="118"/>
      <c r="AC626" s="118"/>
      <c r="AD626" s="118"/>
      <c r="AE626" s="118"/>
      <c r="AF626" s="118"/>
      <c r="AG626" s="118"/>
      <c r="AH626" s="118"/>
      <c r="AI626" s="118"/>
      <c r="AJ626" s="118"/>
      <c r="AK626" s="118"/>
    </row>
    <row r="627" spans="1:37">
      <c r="A627" s="131"/>
      <c r="B627" s="131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  <c r="AA627" s="118"/>
      <c r="AB627" s="118"/>
      <c r="AC627" s="118"/>
      <c r="AD627" s="118"/>
      <c r="AE627" s="118"/>
      <c r="AF627" s="118"/>
      <c r="AG627" s="118"/>
      <c r="AH627" s="118"/>
      <c r="AI627" s="118"/>
      <c r="AJ627" s="118"/>
      <c r="AK627" s="118"/>
    </row>
    <row r="628" spans="1:37">
      <c r="A628" s="131"/>
      <c r="B628" s="131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  <c r="AA628" s="118"/>
      <c r="AB628" s="118"/>
      <c r="AC628" s="118"/>
      <c r="AD628" s="118"/>
      <c r="AE628" s="118"/>
      <c r="AF628" s="118"/>
      <c r="AG628" s="118"/>
      <c r="AH628" s="118"/>
      <c r="AI628" s="118"/>
      <c r="AJ628" s="118"/>
      <c r="AK628" s="118"/>
    </row>
    <row r="629" spans="1:37">
      <c r="A629" s="131"/>
      <c r="B629" s="131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  <c r="AA629" s="118"/>
      <c r="AB629" s="118"/>
      <c r="AC629" s="118"/>
      <c r="AD629" s="118"/>
      <c r="AE629" s="118"/>
      <c r="AF629" s="118"/>
      <c r="AG629" s="118"/>
      <c r="AH629" s="118"/>
      <c r="AI629" s="118"/>
      <c r="AJ629" s="118"/>
      <c r="AK629" s="118"/>
    </row>
    <row r="630" spans="1:37">
      <c r="A630" s="131"/>
      <c r="B630" s="131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  <c r="AA630" s="118"/>
      <c r="AB630" s="118"/>
      <c r="AC630" s="118"/>
      <c r="AD630" s="118"/>
      <c r="AE630" s="118"/>
      <c r="AF630" s="118"/>
      <c r="AG630" s="118"/>
      <c r="AH630" s="118"/>
      <c r="AI630" s="118"/>
      <c r="AJ630" s="118"/>
      <c r="AK630" s="118"/>
    </row>
    <row r="631" spans="1:37">
      <c r="A631" s="131"/>
      <c r="B631" s="131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  <c r="AA631" s="118"/>
      <c r="AB631" s="118"/>
      <c r="AC631" s="118"/>
      <c r="AD631" s="118"/>
      <c r="AE631" s="118"/>
      <c r="AF631" s="118"/>
      <c r="AG631" s="118"/>
      <c r="AH631" s="118"/>
      <c r="AI631" s="118"/>
      <c r="AJ631" s="118"/>
      <c r="AK631" s="118"/>
    </row>
    <row r="632" spans="1:37">
      <c r="A632" s="131"/>
      <c r="B632" s="131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</row>
    <row r="633" spans="1:37">
      <c r="A633" s="131"/>
      <c r="B633" s="131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  <c r="AA633" s="118"/>
      <c r="AB633" s="118"/>
      <c r="AC633" s="118"/>
      <c r="AD633" s="118"/>
      <c r="AE633" s="118"/>
      <c r="AF633" s="118"/>
      <c r="AG633" s="118"/>
      <c r="AH633" s="118"/>
      <c r="AI633" s="118"/>
      <c r="AJ633" s="118"/>
      <c r="AK633" s="118"/>
    </row>
    <row r="634" spans="1:37">
      <c r="A634" s="131"/>
      <c r="B634" s="131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  <c r="AA634" s="118"/>
      <c r="AB634" s="118"/>
      <c r="AC634" s="118"/>
      <c r="AD634" s="118"/>
      <c r="AE634" s="118"/>
      <c r="AF634" s="118"/>
      <c r="AG634" s="118"/>
      <c r="AH634" s="118"/>
      <c r="AI634" s="118"/>
      <c r="AJ634" s="118"/>
      <c r="AK634" s="118"/>
    </row>
    <row r="635" spans="1:37">
      <c r="A635" s="131"/>
      <c r="B635" s="131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  <c r="AA635" s="118"/>
      <c r="AB635" s="118"/>
      <c r="AC635" s="118"/>
      <c r="AD635" s="118"/>
      <c r="AE635" s="118"/>
      <c r="AF635" s="118"/>
      <c r="AG635" s="118"/>
      <c r="AH635" s="118"/>
      <c r="AI635" s="118"/>
      <c r="AJ635" s="118"/>
      <c r="AK635" s="118"/>
    </row>
    <row r="636" spans="1:37">
      <c r="A636" s="131"/>
      <c r="B636" s="131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  <c r="AA636" s="118"/>
      <c r="AB636" s="118"/>
      <c r="AC636" s="118"/>
      <c r="AD636" s="118"/>
      <c r="AE636" s="118"/>
      <c r="AF636" s="118"/>
      <c r="AG636" s="118"/>
      <c r="AH636" s="118"/>
      <c r="AI636" s="118"/>
      <c r="AJ636" s="118"/>
      <c r="AK636" s="118"/>
    </row>
    <row r="637" spans="1:37">
      <c r="A637" s="131"/>
      <c r="B637" s="131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  <c r="AA637" s="118"/>
      <c r="AB637" s="118"/>
      <c r="AC637" s="118"/>
      <c r="AD637" s="118"/>
      <c r="AE637" s="118"/>
      <c r="AF637" s="118"/>
      <c r="AG637" s="118"/>
      <c r="AH637" s="118"/>
      <c r="AI637" s="118"/>
      <c r="AJ637" s="118"/>
      <c r="AK637" s="118"/>
    </row>
    <row r="638" spans="1:37">
      <c r="A638" s="131"/>
      <c r="B638" s="131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  <c r="AA638" s="118"/>
      <c r="AB638" s="118"/>
      <c r="AC638" s="118"/>
      <c r="AD638" s="118"/>
      <c r="AE638" s="118"/>
      <c r="AF638" s="118"/>
      <c r="AG638" s="118"/>
      <c r="AH638" s="118"/>
      <c r="AI638" s="118"/>
      <c r="AJ638" s="118"/>
      <c r="AK638" s="118"/>
    </row>
    <row r="639" spans="1:37">
      <c r="A639" s="131"/>
      <c r="B639" s="131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  <c r="AA639" s="118"/>
      <c r="AB639" s="118"/>
      <c r="AC639" s="118"/>
      <c r="AD639" s="118"/>
      <c r="AE639" s="118"/>
      <c r="AF639" s="118"/>
      <c r="AG639" s="118"/>
      <c r="AH639" s="118"/>
      <c r="AI639" s="118"/>
      <c r="AJ639" s="118"/>
      <c r="AK639" s="118"/>
    </row>
    <row r="640" spans="1:37">
      <c r="A640" s="131"/>
      <c r="B640" s="131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  <c r="AA640" s="118"/>
      <c r="AB640" s="118"/>
      <c r="AC640" s="118"/>
      <c r="AD640" s="118"/>
      <c r="AE640" s="118"/>
      <c r="AF640" s="118"/>
      <c r="AG640" s="118"/>
      <c r="AH640" s="118"/>
      <c r="AI640" s="118"/>
      <c r="AJ640" s="118"/>
      <c r="AK640" s="118"/>
    </row>
    <row r="641" spans="1:37">
      <c r="A641" s="131"/>
      <c r="B641" s="131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  <c r="AA641" s="118"/>
      <c r="AB641" s="118"/>
      <c r="AC641" s="118"/>
      <c r="AD641" s="118"/>
      <c r="AE641" s="118"/>
      <c r="AF641" s="118"/>
      <c r="AG641" s="118"/>
      <c r="AH641" s="118"/>
      <c r="AI641" s="118"/>
      <c r="AJ641" s="118"/>
      <c r="AK641" s="118"/>
    </row>
    <row r="642" spans="1:37">
      <c r="A642" s="131"/>
      <c r="B642" s="131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  <c r="AA642" s="118"/>
      <c r="AB642" s="118"/>
      <c r="AC642" s="118"/>
      <c r="AD642" s="118"/>
      <c r="AE642" s="118"/>
      <c r="AF642" s="118"/>
      <c r="AG642" s="118"/>
      <c r="AH642" s="118"/>
      <c r="AI642" s="118"/>
      <c r="AJ642" s="118"/>
      <c r="AK642" s="118"/>
    </row>
    <row r="643" spans="1:37">
      <c r="A643" s="131"/>
      <c r="B643" s="131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  <c r="AA643" s="118"/>
      <c r="AB643" s="118"/>
      <c r="AC643" s="118"/>
      <c r="AD643" s="118"/>
      <c r="AE643" s="118"/>
      <c r="AF643" s="118"/>
      <c r="AG643" s="118"/>
      <c r="AH643" s="118"/>
      <c r="AI643" s="118"/>
      <c r="AJ643" s="118"/>
      <c r="AK643" s="118"/>
    </row>
    <row r="644" spans="1:37">
      <c r="A644" s="131"/>
      <c r="B644" s="131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  <c r="AA644" s="118"/>
      <c r="AB644" s="118"/>
      <c r="AC644" s="118"/>
      <c r="AD644" s="118"/>
      <c r="AE644" s="118"/>
      <c r="AF644" s="118"/>
      <c r="AG644" s="118"/>
      <c r="AH644" s="118"/>
      <c r="AI644" s="118"/>
      <c r="AJ644" s="118"/>
      <c r="AK644" s="118"/>
    </row>
    <row r="645" spans="1:37">
      <c r="A645" s="131"/>
      <c r="B645" s="131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  <c r="AA645" s="118"/>
      <c r="AB645" s="118"/>
      <c r="AC645" s="118"/>
      <c r="AD645" s="118"/>
      <c r="AE645" s="118"/>
      <c r="AF645" s="118"/>
      <c r="AG645" s="118"/>
      <c r="AH645" s="118"/>
      <c r="AI645" s="118"/>
      <c r="AJ645" s="118"/>
      <c r="AK645" s="118"/>
    </row>
    <row r="646" spans="1:37">
      <c r="A646" s="131"/>
      <c r="B646" s="131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  <c r="AA646" s="118"/>
      <c r="AB646" s="118"/>
      <c r="AC646" s="118"/>
      <c r="AD646" s="118"/>
      <c r="AE646" s="118"/>
      <c r="AF646" s="118"/>
      <c r="AG646" s="118"/>
      <c r="AH646" s="118"/>
      <c r="AI646" s="118"/>
      <c r="AJ646" s="118"/>
      <c r="AK646" s="118"/>
    </row>
    <row r="647" spans="1:37">
      <c r="A647" s="131"/>
      <c r="B647" s="131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  <c r="AA647" s="118"/>
      <c r="AB647" s="118"/>
      <c r="AC647" s="118"/>
      <c r="AD647" s="118"/>
      <c r="AE647" s="118"/>
      <c r="AF647" s="118"/>
      <c r="AG647" s="118"/>
      <c r="AH647" s="118"/>
      <c r="AI647" s="118"/>
      <c r="AJ647" s="118"/>
      <c r="AK647" s="118"/>
    </row>
    <row r="648" spans="1:37">
      <c r="A648" s="131"/>
      <c r="B648" s="131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  <c r="AA648" s="118"/>
      <c r="AB648" s="118"/>
      <c r="AC648" s="118"/>
      <c r="AD648" s="118"/>
      <c r="AE648" s="118"/>
      <c r="AF648" s="118"/>
      <c r="AG648" s="118"/>
      <c r="AH648" s="118"/>
      <c r="AI648" s="118"/>
      <c r="AJ648" s="118"/>
      <c r="AK648" s="118"/>
    </row>
    <row r="649" spans="1:37">
      <c r="A649" s="131"/>
      <c r="B649" s="131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  <c r="AA649" s="118"/>
      <c r="AB649" s="118"/>
      <c r="AC649" s="118"/>
      <c r="AD649" s="118"/>
      <c r="AE649" s="118"/>
      <c r="AF649" s="118"/>
      <c r="AG649" s="118"/>
      <c r="AH649" s="118"/>
      <c r="AI649" s="118"/>
      <c r="AJ649" s="118"/>
      <c r="AK649" s="118"/>
    </row>
    <row r="650" spans="1:37">
      <c r="A650" s="131"/>
      <c r="B650" s="131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  <c r="AA650" s="118"/>
      <c r="AB650" s="118"/>
      <c r="AC650" s="118"/>
      <c r="AD650" s="118"/>
      <c r="AE650" s="118"/>
      <c r="AF650" s="118"/>
      <c r="AG650" s="118"/>
      <c r="AH650" s="118"/>
      <c r="AI650" s="118"/>
      <c r="AJ650" s="118"/>
      <c r="AK650" s="118"/>
    </row>
    <row r="651" spans="1:37">
      <c r="A651" s="131"/>
      <c r="B651" s="131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  <c r="AA651" s="118"/>
      <c r="AB651" s="118"/>
      <c r="AC651" s="118"/>
      <c r="AD651" s="118"/>
      <c r="AE651" s="118"/>
      <c r="AF651" s="118"/>
      <c r="AG651" s="118"/>
      <c r="AH651" s="118"/>
      <c r="AI651" s="118"/>
      <c r="AJ651" s="118"/>
      <c r="AK651" s="118"/>
    </row>
    <row r="652" spans="1:37">
      <c r="A652" s="131"/>
      <c r="B652" s="131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  <c r="AA652" s="118"/>
      <c r="AB652" s="118"/>
      <c r="AC652" s="118"/>
      <c r="AD652" s="118"/>
      <c r="AE652" s="118"/>
      <c r="AF652" s="118"/>
      <c r="AG652" s="118"/>
      <c r="AH652" s="118"/>
      <c r="AI652" s="118"/>
      <c r="AJ652" s="118"/>
      <c r="AK652" s="118"/>
    </row>
    <row r="653" spans="1:37">
      <c r="A653" s="131"/>
      <c r="B653" s="131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  <c r="AA653" s="118"/>
      <c r="AB653" s="118"/>
      <c r="AC653" s="118"/>
      <c r="AD653" s="118"/>
      <c r="AE653" s="118"/>
      <c r="AF653" s="118"/>
      <c r="AG653" s="118"/>
      <c r="AH653" s="118"/>
      <c r="AI653" s="118"/>
      <c r="AJ653" s="118"/>
      <c r="AK653" s="118"/>
    </row>
    <row r="654" spans="1:37">
      <c r="A654" s="131"/>
      <c r="B654" s="131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  <c r="AA654" s="118"/>
      <c r="AB654" s="118"/>
      <c r="AC654" s="118"/>
      <c r="AD654" s="118"/>
      <c r="AE654" s="118"/>
      <c r="AF654" s="118"/>
      <c r="AG654" s="118"/>
      <c r="AH654" s="118"/>
      <c r="AI654" s="118"/>
      <c r="AJ654" s="118"/>
      <c r="AK654" s="118"/>
    </row>
    <row r="655" spans="1:37">
      <c r="A655" s="131"/>
      <c r="B655" s="131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  <c r="AA655" s="118"/>
      <c r="AB655" s="118"/>
      <c r="AC655" s="118"/>
      <c r="AD655" s="118"/>
      <c r="AE655" s="118"/>
      <c r="AF655" s="118"/>
      <c r="AG655" s="118"/>
      <c r="AH655" s="118"/>
      <c r="AI655" s="118"/>
      <c r="AJ655" s="118"/>
      <c r="AK655" s="118"/>
    </row>
    <row r="656" spans="1:37">
      <c r="A656" s="131"/>
      <c r="B656" s="131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  <c r="AA656" s="118"/>
      <c r="AB656" s="118"/>
      <c r="AC656" s="118"/>
      <c r="AD656" s="118"/>
      <c r="AE656" s="118"/>
      <c r="AF656" s="118"/>
      <c r="AG656" s="118"/>
      <c r="AH656" s="118"/>
      <c r="AI656" s="118"/>
      <c r="AJ656" s="118"/>
      <c r="AK656" s="118"/>
    </row>
    <row r="657" spans="1:37">
      <c r="A657" s="131"/>
      <c r="B657" s="131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  <c r="AA657" s="118"/>
      <c r="AB657" s="118"/>
      <c r="AC657" s="118"/>
      <c r="AD657" s="118"/>
      <c r="AE657" s="118"/>
      <c r="AF657" s="118"/>
      <c r="AG657" s="118"/>
      <c r="AH657" s="118"/>
      <c r="AI657" s="118"/>
      <c r="AJ657" s="118"/>
      <c r="AK657" s="118"/>
    </row>
    <row r="658" spans="1:37">
      <c r="A658" s="131"/>
      <c r="B658" s="131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  <c r="AA658" s="118"/>
      <c r="AB658" s="118"/>
      <c r="AC658" s="118"/>
      <c r="AD658" s="118"/>
      <c r="AE658" s="118"/>
      <c r="AF658" s="118"/>
      <c r="AG658" s="118"/>
      <c r="AH658" s="118"/>
      <c r="AI658" s="118"/>
      <c r="AJ658" s="118"/>
      <c r="AK658" s="118"/>
    </row>
    <row r="659" spans="1:37">
      <c r="A659" s="131"/>
      <c r="B659" s="131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  <c r="AA659" s="118"/>
      <c r="AB659" s="118"/>
      <c r="AC659" s="118"/>
      <c r="AD659" s="118"/>
      <c r="AE659" s="118"/>
      <c r="AF659" s="118"/>
      <c r="AG659" s="118"/>
      <c r="AH659" s="118"/>
      <c r="AI659" s="118"/>
      <c r="AJ659" s="118"/>
      <c r="AK659" s="118"/>
    </row>
    <row r="660" spans="1:37">
      <c r="A660" s="131"/>
      <c r="B660" s="131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  <c r="AA660" s="118"/>
      <c r="AB660" s="118"/>
      <c r="AC660" s="118"/>
      <c r="AD660" s="118"/>
      <c r="AE660" s="118"/>
      <c r="AF660" s="118"/>
      <c r="AG660" s="118"/>
      <c r="AH660" s="118"/>
      <c r="AI660" s="118"/>
      <c r="AJ660" s="118"/>
      <c r="AK660" s="118"/>
    </row>
    <row r="661" spans="1:37">
      <c r="A661" s="131"/>
      <c r="B661" s="131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  <c r="AA661" s="118"/>
      <c r="AB661" s="118"/>
      <c r="AC661" s="118"/>
      <c r="AD661" s="118"/>
      <c r="AE661" s="118"/>
      <c r="AF661" s="118"/>
      <c r="AG661" s="118"/>
      <c r="AH661" s="118"/>
      <c r="AI661" s="118"/>
      <c r="AJ661" s="118"/>
      <c r="AK661" s="118"/>
    </row>
    <row r="662" spans="1:37">
      <c r="A662" s="131"/>
      <c r="B662" s="131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  <c r="AA662" s="118"/>
      <c r="AB662" s="118"/>
      <c r="AC662" s="118"/>
      <c r="AD662" s="118"/>
      <c r="AE662" s="118"/>
      <c r="AF662" s="118"/>
      <c r="AG662" s="118"/>
      <c r="AH662" s="118"/>
      <c r="AI662" s="118"/>
      <c r="AJ662" s="118"/>
      <c r="AK662" s="118"/>
    </row>
    <row r="663" spans="1:37">
      <c r="A663" s="131"/>
      <c r="B663" s="131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  <c r="AA663" s="118"/>
      <c r="AB663" s="118"/>
      <c r="AC663" s="118"/>
      <c r="AD663" s="118"/>
      <c r="AE663" s="118"/>
      <c r="AF663" s="118"/>
      <c r="AG663" s="118"/>
      <c r="AH663" s="118"/>
      <c r="AI663" s="118"/>
      <c r="AJ663" s="118"/>
      <c r="AK663" s="118"/>
    </row>
    <row r="664" spans="1:37">
      <c r="A664" s="131"/>
      <c r="B664" s="131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  <c r="AA664" s="118"/>
      <c r="AB664" s="118"/>
      <c r="AC664" s="118"/>
      <c r="AD664" s="118"/>
      <c r="AE664" s="118"/>
      <c r="AF664" s="118"/>
      <c r="AG664" s="118"/>
      <c r="AH664" s="118"/>
      <c r="AI664" s="118"/>
      <c r="AJ664" s="118"/>
      <c r="AK664" s="118"/>
    </row>
    <row r="665" spans="1:37">
      <c r="A665" s="131"/>
      <c r="B665" s="131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  <c r="AA665" s="118"/>
      <c r="AB665" s="118"/>
      <c r="AC665" s="118"/>
      <c r="AD665" s="118"/>
      <c r="AE665" s="118"/>
      <c r="AF665" s="118"/>
      <c r="AG665" s="118"/>
      <c r="AH665" s="118"/>
      <c r="AI665" s="118"/>
      <c r="AJ665" s="118"/>
      <c r="AK665" s="118"/>
    </row>
    <row r="666" spans="1:37">
      <c r="A666" s="131"/>
      <c r="B666" s="131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  <c r="AA666" s="118"/>
      <c r="AB666" s="118"/>
      <c r="AC666" s="118"/>
      <c r="AD666" s="118"/>
      <c r="AE666" s="118"/>
      <c r="AF666" s="118"/>
      <c r="AG666" s="118"/>
      <c r="AH666" s="118"/>
      <c r="AI666" s="118"/>
      <c r="AJ666" s="118"/>
      <c r="AK666" s="118"/>
    </row>
    <row r="667" spans="1:37">
      <c r="A667" s="131"/>
      <c r="B667" s="131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  <c r="AA667" s="118"/>
      <c r="AB667" s="118"/>
      <c r="AC667" s="118"/>
      <c r="AD667" s="118"/>
      <c r="AE667" s="118"/>
      <c r="AF667" s="118"/>
      <c r="AG667" s="118"/>
      <c r="AH667" s="118"/>
      <c r="AI667" s="118"/>
      <c r="AJ667" s="118"/>
      <c r="AK667" s="118"/>
    </row>
    <row r="668" spans="1:37">
      <c r="A668" s="131"/>
      <c r="B668" s="131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  <c r="AA668" s="118"/>
      <c r="AB668" s="118"/>
      <c r="AC668" s="118"/>
      <c r="AD668" s="118"/>
      <c r="AE668" s="118"/>
      <c r="AF668" s="118"/>
      <c r="AG668" s="118"/>
      <c r="AH668" s="118"/>
      <c r="AI668" s="118"/>
      <c r="AJ668" s="118"/>
      <c r="AK668" s="118"/>
    </row>
    <row r="669" spans="1:37">
      <c r="A669" s="131"/>
      <c r="B669" s="131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  <c r="AA669" s="118"/>
      <c r="AB669" s="118"/>
      <c r="AC669" s="118"/>
      <c r="AD669" s="118"/>
      <c r="AE669" s="118"/>
      <c r="AF669" s="118"/>
      <c r="AG669" s="118"/>
      <c r="AH669" s="118"/>
      <c r="AI669" s="118"/>
      <c r="AJ669" s="118"/>
      <c r="AK669" s="118"/>
    </row>
    <row r="670" spans="1:37">
      <c r="A670" s="131"/>
      <c r="B670" s="131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</row>
    <row r="671" spans="1:37">
      <c r="A671" s="131"/>
      <c r="B671" s="131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  <c r="AA671" s="118"/>
      <c r="AB671" s="118"/>
      <c r="AC671" s="118"/>
      <c r="AD671" s="118"/>
      <c r="AE671" s="118"/>
      <c r="AF671" s="118"/>
      <c r="AG671" s="118"/>
      <c r="AH671" s="118"/>
      <c r="AI671" s="118"/>
      <c r="AJ671" s="118"/>
      <c r="AK671" s="118"/>
    </row>
    <row r="672" spans="1:37">
      <c r="A672" s="131"/>
      <c r="B672" s="131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  <c r="AA672" s="118"/>
      <c r="AB672" s="118"/>
      <c r="AC672" s="118"/>
      <c r="AD672" s="118"/>
      <c r="AE672" s="118"/>
      <c r="AF672" s="118"/>
      <c r="AG672" s="118"/>
      <c r="AH672" s="118"/>
      <c r="AI672" s="118"/>
      <c r="AJ672" s="118"/>
      <c r="AK672" s="118"/>
    </row>
    <row r="673" spans="1:37">
      <c r="A673" s="131"/>
      <c r="B673" s="131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  <c r="AA673" s="118"/>
      <c r="AB673" s="118"/>
      <c r="AC673" s="118"/>
      <c r="AD673" s="118"/>
      <c r="AE673" s="118"/>
      <c r="AF673" s="118"/>
      <c r="AG673" s="118"/>
      <c r="AH673" s="118"/>
      <c r="AI673" s="118"/>
      <c r="AJ673" s="118"/>
      <c r="AK673" s="118"/>
    </row>
    <row r="674" spans="1:37">
      <c r="A674" s="131"/>
      <c r="B674" s="131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  <c r="AA674" s="118"/>
      <c r="AB674" s="118"/>
      <c r="AC674" s="118"/>
      <c r="AD674" s="118"/>
      <c r="AE674" s="118"/>
      <c r="AF674" s="118"/>
      <c r="AG674" s="118"/>
      <c r="AH674" s="118"/>
      <c r="AI674" s="118"/>
      <c r="AJ674" s="118"/>
      <c r="AK674" s="118"/>
    </row>
    <row r="675" spans="1:37">
      <c r="A675" s="131"/>
      <c r="B675" s="131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  <c r="AA675" s="118"/>
      <c r="AB675" s="118"/>
      <c r="AC675" s="118"/>
      <c r="AD675" s="118"/>
      <c r="AE675" s="118"/>
      <c r="AF675" s="118"/>
      <c r="AG675" s="118"/>
      <c r="AH675" s="118"/>
      <c r="AI675" s="118"/>
      <c r="AJ675" s="118"/>
      <c r="AK675" s="118"/>
    </row>
    <row r="676" spans="1:37">
      <c r="A676" s="131"/>
      <c r="B676" s="131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  <c r="AA676" s="118"/>
      <c r="AB676" s="118"/>
      <c r="AC676" s="118"/>
      <c r="AD676" s="118"/>
      <c r="AE676" s="118"/>
      <c r="AF676" s="118"/>
      <c r="AG676" s="118"/>
      <c r="AH676" s="118"/>
      <c r="AI676" s="118"/>
      <c r="AJ676" s="118"/>
      <c r="AK676" s="118"/>
    </row>
    <row r="677" spans="1:37">
      <c r="A677" s="131"/>
      <c r="B677" s="131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  <c r="AA677" s="118"/>
      <c r="AB677" s="118"/>
      <c r="AC677" s="118"/>
      <c r="AD677" s="118"/>
      <c r="AE677" s="118"/>
      <c r="AF677" s="118"/>
      <c r="AG677" s="118"/>
      <c r="AH677" s="118"/>
      <c r="AI677" s="118"/>
      <c r="AJ677" s="118"/>
      <c r="AK677" s="118"/>
    </row>
    <row r="678" spans="1:37">
      <c r="A678" s="131"/>
      <c r="B678" s="131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  <c r="AA678" s="118"/>
      <c r="AB678" s="118"/>
      <c r="AC678" s="118"/>
      <c r="AD678" s="118"/>
      <c r="AE678" s="118"/>
      <c r="AF678" s="118"/>
      <c r="AG678" s="118"/>
      <c r="AH678" s="118"/>
      <c r="AI678" s="118"/>
      <c r="AJ678" s="118"/>
      <c r="AK678" s="118"/>
    </row>
    <row r="679" spans="1:37">
      <c r="A679" s="131"/>
      <c r="B679" s="131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  <c r="AA679" s="118"/>
      <c r="AB679" s="118"/>
      <c r="AC679" s="118"/>
      <c r="AD679" s="118"/>
      <c r="AE679" s="118"/>
      <c r="AF679" s="118"/>
      <c r="AG679" s="118"/>
      <c r="AH679" s="118"/>
      <c r="AI679" s="118"/>
      <c r="AJ679" s="118"/>
      <c r="AK679" s="118"/>
    </row>
    <row r="680" spans="1:37">
      <c r="A680" s="131"/>
      <c r="B680" s="131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  <c r="AA680" s="118"/>
      <c r="AB680" s="118"/>
      <c r="AC680" s="118"/>
      <c r="AD680" s="118"/>
      <c r="AE680" s="118"/>
      <c r="AF680" s="118"/>
      <c r="AG680" s="118"/>
      <c r="AH680" s="118"/>
      <c r="AI680" s="118"/>
      <c r="AJ680" s="118"/>
      <c r="AK680" s="118"/>
    </row>
    <row r="681" spans="1:37">
      <c r="A681" s="131"/>
      <c r="B681" s="131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  <c r="AA681" s="118"/>
      <c r="AB681" s="118"/>
      <c r="AC681" s="118"/>
      <c r="AD681" s="118"/>
      <c r="AE681" s="118"/>
      <c r="AF681" s="118"/>
      <c r="AG681" s="118"/>
      <c r="AH681" s="118"/>
      <c r="AI681" s="118"/>
      <c r="AJ681" s="118"/>
      <c r="AK681" s="118"/>
    </row>
    <row r="682" spans="1:37">
      <c r="A682" s="131"/>
      <c r="B682" s="131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  <c r="AA682" s="118"/>
      <c r="AB682" s="118"/>
      <c r="AC682" s="118"/>
      <c r="AD682" s="118"/>
      <c r="AE682" s="118"/>
      <c r="AF682" s="118"/>
      <c r="AG682" s="118"/>
      <c r="AH682" s="118"/>
      <c r="AI682" s="118"/>
      <c r="AJ682" s="118"/>
      <c r="AK682" s="118"/>
    </row>
    <row r="683" spans="1:37">
      <c r="A683" s="131"/>
      <c r="B683" s="131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  <c r="AA683" s="118"/>
      <c r="AB683" s="118"/>
      <c r="AC683" s="118"/>
      <c r="AD683" s="118"/>
      <c r="AE683" s="118"/>
      <c r="AF683" s="118"/>
      <c r="AG683" s="118"/>
      <c r="AH683" s="118"/>
      <c r="AI683" s="118"/>
      <c r="AJ683" s="118"/>
      <c r="AK683" s="118"/>
    </row>
    <row r="684" spans="1:37">
      <c r="A684" s="131"/>
      <c r="B684" s="131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  <c r="AA684" s="118"/>
      <c r="AB684" s="118"/>
      <c r="AC684" s="118"/>
      <c r="AD684" s="118"/>
      <c r="AE684" s="118"/>
      <c r="AF684" s="118"/>
      <c r="AG684" s="118"/>
      <c r="AH684" s="118"/>
      <c r="AI684" s="118"/>
      <c r="AJ684" s="118"/>
      <c r="AK684" s="118"/>
    </row>
    <row r="685" spans="1:37">
      <c r="A685" s="131"/>
      <c r="B685" s="131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  <c r="AA685" s="118"/>
      <c r="AB685" s="118"/>
      <c r="AC685" s="118"/>
      <c r="AD685" s="118"/>
      <c r="AE685" s="118"/>
      <c r="AF685" s="118"/>
      <c r="AG685" s="118"/>
      <c r="AH685" s="118"/>
      <c r="AI685" s="118"/>
      <c r="AJ685" s="118"/>
      <c r="AK685" s="118"/>
    </row>
    <row r="686" spans="1:37">
      <c r="A686" s="131"/>
      <c r="B686" s="131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  <c r="AA686" s="118"/>
      <c r="AB686" s="118"/>
      <c r="AC686" s="118"/>
      <c r="AD686" s="118"/>
      <c r="AE686" s="118"/>
      <c r="AF686" s="118"/>
      <c r="AG686" s="118"/>
      <c r="AH686" s="118"/>
      <c r="AI686" s="118"/>
      <c r="AJ686" s="118"/>
      <c r="AK686" s="118"/>
    </row>
    <row r="687" spans="1:37">
      <c r="A687" s="131"/>
      <c r="B687" s="131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  <c r="AA687" s="118"/>
      <c r="AB687" s="118"/>
      <c r="AC687" s="118"/>
      <c r="AD687" s="118"/>
      <c r="AE687" s="118"/>
      <c r="AF687" s="118"/>
      <c r="AG687" s="118"/>
      <c r="AH687" s="118"/>
      <c r="AI687" s="118"/>
      <c r="AJ687" s="118"/>
      <c r="AK687" s="118"/>
    </row>
    <row r="688" spans="1:37">
      <c r="A688" s="131"/>
      <c r="B688" s="131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  <c r="AA688" s="118"/>
      <c r="AB688" s="118"/>
      <c r="AC688" s="118"/>
      <c r="AD688" s="118"/>
      <c r="AE688" s="118"/>
      <c r="AF688" s="118"/>
      <c r="AG688" s="118"/>
      <c r="AH688" s="118"/>
      <c r="AI688" s="118"/>
      <c r="AJ688" s="118"/>
      <c r="AK688" s="118"/>
    </row>
    <row r="689" spans="1:37">
      <c r="A689" s="131"/>
      <c r="B689" s="131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  <c r="AA689" s="118"/>
      <c r="AB689" s="118"/>
      <c r="AC689" s="118"/>
      <c r="AD689" s="118"/>
      <c r="AE689" s="118"/>
      <c r="AF689" s="118"/>
      <c r="AG689" s="118"/>
      <c r="AH689" s="118"/>
      <c r="AI689" s="118"/>
      <c r="AJ689" s="118"/>
      <c r="AK689" s="118"/>
    </row>
    <row r="690" spans="1:37">
      <c r="A690" s="131"/>
      <c r="B690" s="131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  <c r="AA690" s="118"/>
      <c r="AB690" s="118"/>
      <c r="AC690" s="118"/>
      <c r="AD690" s="118"/>
      <c r="AE690" s="118"/>
      <c r="AF690" s="118"/>
      <c r="AG690" s="118"/>
      <c r="AH690" s="118"/>
      <c r="AI690" s="118"/>
      <c r="AJ690" s="118"/>
      <c r="AK690" s="118"/>
    </row>
    <row r="691" spans="1:37">
      <c r="A691" s="131"/>
      <c r="B691" s="131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  <c r="AA691" s="118"/>
      <c r="AB691" s="118"/>
      <c r="AC691" s="118"/>
      <c r="AD691" s="118"/>
      <c r="AE691" s="118"/>
      <c r="AF691" s="118"/>
      <c r="AG691" s="118"/>
      <c r="AH691" s="118"/>
      <c r="AI691" s="118"/>
      <c r="AJ691" s="118"/>
      <c r="AK691" s="118"/>
    </row>
    <row r="692" spans="1:37">
      <c r="A692" s="131"/>
      <c r="B692" s="131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  <c r="AA692" s="118"/>
      <c r="AB692" s="118"/>
      <c r="AC692" s="118"/>
      <c r="AD692" s="118"/>
      <c r="AE692" s="118"/>
      <c r="AF692" s="118"/>
      <c r="AG692" s="118"/>
      <c r="AH692" s="118"/>
      <c r="AI692" s="118"/>
      <c r="AJ692" s="118"/>
      <c r="AK692" s="118"/>
    </row>
    <row r="693" spans="1:37">
      <c r="A693" s="131"/>
      <c r="B693" s="131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  <c r="AA693" s="118"/>
      <c r="AB693" s="118"/>
      <c r="AC693" s="118"/>
      <c r="AD693" s="118"/>
      <c r="AE693" s="118"/>
      <c r="AF693" s="118"/>
      <c r="AG693" s="118"/>
      <c r="AH693" s="118"/>
      <c r="AI693" s="118"/>
      <c r="AJ693" s="118"/>
      <c r="AK693" s="118"/>
    </row>
    <row r="694" spans="1:37">
      <c r="A694" s="131"/>
      <c r="B694" s="131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  <c r="AA694" s="118"/>
      <c r="AB694" s="118"/>
      <c r="AC694" s="118"/>
      <c r="AD694" s="118"/>
      <c r="AE694" s="118"/>
      <c r="AF694" s="118"/>
      <c r="AG694" s="118"/>
      <c r="AH694" s="118"/>
      <c r="AI694" s="118"/>
      <c r="AJ694" s="118"/>
      <c r="AK694" s="118"/>
    </row>
    <row r="695" spans="1:37">
      <c r="A695" s="131"/>
      <c r="B695" s="131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  <c r="AA695" s="118"/>
      <c r="AB695" s="118"/>
      <c r="AC695" s="118"/>
      <c r="AD695" s="118"/>
      <c r="AE695" s="118"/>
      <c r="AF695" s="118"/>
      <c r="AG695" s="118"/>
      <c r="AH695" s="118"/>
      <c r="AI695" s="118"/>
      <c r="AJ695" s="118"/>
      <c r="AK695" s="118"/>
    </row>
    <row r="696" spans="1:37">
      <c r="A696" s="131"/>
      <c r="B696" s="131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  <c r="AA696" s="118"/>
      <c r="AB696" s="118"/>
      <c r="AC696" s="118"/>
      <c r="AD696" s="118"/>
      <c r="AE696" s="118"/>
      <c r="AF696" s="118"/>
      <c r="AG696" s="118"/>
      <c r="AH696" s="118"/>
      <c r="AI696" s="118"/>
      <c r="AJ696" s="118"/>
      <c r="AK696" s="118"/>
    </row>
    <row r="697" spans="1:37">
      <c r="A697" s="131"/>
      <c r="B697" s="131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  <c r="AA697" s="118"/>
      <c r="AB697" s="118"/>
      <c r="AC697" s="118"/>
      <c r="AD697" s="118"/>
      <c r="AE697" s="118"/>
      <c r="AF697" s="118"/>
      <c r="AG697" s="118"/>
      <c r="AH697" s="118"/>
      <c r="AI697" s="118"/>
      <c r="AJ697" s="118"/>
      <c r="AK697" s="118"/>
    </row>
    <row r="698" spans="1:37">
      <c r="A698" s="131"/>
      <c r="B698" s="131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  <c r="AA698" s="118"/>
      <c r="AB698" s="118"/>
      <c r="AC698" s="118"/>
      <c r="AD698" s="118"/>
      <c r="AE698" s="118"/>
      <c r="AF698" s="118"/>
      <c r="AG698" s="118"/>
      <c r="AH698" s="118"/>
      <c r="AI698" s="118"/>
      <c r="AJ698" s="118"/>
      <c r="AK698" s="118"/>
    </row>
    <row r="699" spans="1:37">
      <c r="A699" s="131"/>
      <c r="B699" s="131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  <c r="AA699" s="118"/>
      <c r="AB699" s="118"/>
      <c r="AC699" s="118"/>
      <c r="AD699" s="118"/>
      <c r="AE699" s="118"/>
      <c r="AF699" s="118"/>
      <c r="AG699" s="118"/>
      <c r="AH699" s="118"/>
      <c r="AI699" s="118"/>
      <c r="AJ699" s="118"/>
      <c r="AK699" s="118"/>
    </row>
    <row r="700" spans="1:37">
      <c r="A700" s="131"/>
      <c r="B700" s="131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  <c r="AA700" s="118"/>
      <c r="AB700" s="118"/>
      <c r="AC700" s="118"/>
      <c r="AD700" s="118"/>
      <c r="AE700" s="118"/>
      <c r="AF700" s="118"/>
      <c r="AG700" s="118"/>
      <c r="AH700" s="118"/>
      <c r="AI700" s="118"/>
      <c r="AJ700" s="118"/>
      <c r="AK700" s="118"/>
    </row>
    <row r="701" spans="1:37">
      <c r="A701" s="131"/>
      <c r="B701" s="131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  <c r="AA701" s="118"/>
      <c r="AB701" s="118"/>
      <c r="AC701" s="118"/>
      <c r="AD701" s="118"/>
      <c r="AE701" s="118"/>
      <c r="AF701" s="118"/>
      <c r="AG701" s="118"/>
      <c r="AH701" s="118"/>
      <c r="AI701" s="118"/>
      <c r="AJ701" s="118"/>
      <c r="AK701" s="118"/>
    </row>
    <row r="702" spans="1:37">
      <c r="A702" s="131"/>
      <c r="B702" s="131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  <c r="AA702" s="118"/>
      <c r="AB702" s="118"/>
      <c r="AC702" s="118"/>
      <c r="AD702" s="118"/>
      <c r="AE702" s="118"/>
      <c r="AF702" s="118"/>
      <c r="AG702" s="118"/>
      <c r="AH702" s="118"/>
      <c r="AI702" s="118"/>
      <c r="AJ702" s="118"/>
      <c r="AK702" s="118"/>
    </row>
    <row r="703" spans="1:37">
      <c r="A703" s="131"/>
      <c r="B703" s="131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  <c r="AA703" s="118"/>
      <c r="AB703" s="118"/>
      <c r="AC703" s="118"/>
      <c r="AD703" s="118"/>
      <c r="AE703" s="118"/>
      <c r="AF703" s="118"/>
      <c r="AG703" s="118"/>
      <c r="AH703" s="118"/>
      <c r="AI703" s="118"/>
      <c r="AJ703" s="118"/>
      <c r="AK703" s="118"/>
    </row>
    <row r="704" spans="1:37">
      <c r="A704" s="131"/>
      <c r="B704" s="131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  <c r="AA704" s="118"/>
      <c r="AB704" s="118"/>
      <c r="AC704" s="118"/>
      <c r="AD704" s="118"/>
      <c r="AE704" s="118"/>
      <c r="AF704" s="118"/>
      <c r="AG704" s="118"/>
      <c r="AH704" s="118"/>
      <c r="AI704" s="118"/>
      <c r="AJ704" s="118"/>
      <c r="AK704" s="118"/>
    </row>
    <row r="705" spans="1:37">
      <c r="A705" s="131"/>
      <c r="B705" s="131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  <c r="AA705" s="118"/>
      <c r="AB705" s="118"/>
      <c r="AC705" s="118"/>
      <c r="AD705" s="118"/>
      <c r="AE705" s="118"/>
      <c r="AF705" s="118"/>
      <c r="AG705" s="118"/>
      <c r="AH705" s="118"/>
      <c r="AI705" s="118"/>
      <c r="AJ705" s="118"/>
      <c r="AK705" s="118"/>
    </row>
    <row r="706" spans="1:37">
      <c r="A706" s="131"/>
      <c r="B706" s="131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  <c r="AA706" s="118"/>
      <c r="AB706" s="118"/>
      <c r="AC706" s="118"/>
      <c r="AD706" s="118"/>
      <c r="AE706" s="118"/>
      <c r="AF706" s="118"/>
      <c r="AG706" s="118"/>
      <c r="AH706" s="118"/>
      <c r="AI706" s="118"/>
      <c r="AJ706" s="118"/>
      <c r="AK706" s="118"/>
    </row>
    <row r="707" spans="1:37">
      <c r="A707" s="131"/>
      <c r="B707" s="131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  <c r="AA707" s="118"/>
      <c r="AB707" s="118"/>
      <c r="AC707" s="118"/>
      <c r="AD707" s="118"/>
      <c r="AE707" s="118"/>
      <c r="AF707" s="118"/>
      <c r="AG707" s="118"/>
      <c r="AH707" s="118"/>
      <c r="AI707" s="118"/>
      <c r="AJ707" s="118"/>
      <c r="AK707" s="118"/>
    </row>
    <row r="708" spans="1:37">
      <c r="A708" s="131"/>
      <c r="B708" s="131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</row>
    <row r="709" spans="1:37">
      <c r="A709" s="131"/>
      <c r="B709" s="131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  <c r="AA709" s="118"/>
      <c r="AB709" s="118"/>
      <c r="AC709" s="118"/>
      <c r="AD709" s="118"/>
      <c r="AE709" s="118"/>
      <c r="AF709" s="118"/>
      <c r="AG709" s="118"/>
      <c r="AH709" s="118"/>
      <c r="AI709" s="118"/>
      <c r="AJ709" s="118"/>
      <c r="AK709" s="118"/>
    </row>
    <row r="710" spans="1:37">
      <c r="A710" s="131"/>
      <c r="B710" s="131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  <c r="AA710" s="118"/>
      <c r="AB710" s="118"/>
      <c r="AC710" s="118"/>
      <c r="AD710" s="118"/>
      <c r="AE710" s="118"/>
      <c r="AF710" s="118"/>
      <c r="AG710" s="118"/>
      <c r="AH710" s="118"/>
      <c r="AI710" s="118"/>
      <c r="AJ710" s="118"/>
      <c r="AK710" s="118"/>
    </row>
    <row r="711" spans="1:37">
      <c r="A711" s="131"/>
      <c r="B711" s="131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  <c r="AA711" s="118"/>
      <c r="AB711" s="118"/>
      <c r="AC711" s="118"/>
      <c r="AD711" s="118"/>
      <c r="AE711" s="118"/>
      <c r="AF711" s="118"/>
      <c r="AG711" s="118"/>
      <c r="AH711" s="118"/>
      <c r="AI711" s="118"/>
      <c r="AJ711" s="118"/>
      <c r="AK711" s="118"/>
    </row>
    <row r="712" spans="1:37">
      <c r="A712" s="131"/>
      <c r="B712" s="131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  <c r="AA712" s="118"/>
      <c r="AB712" s="118"/>
      <c r="AC712" s="118"/>
      <c r="AD712" s="118"/>
      <c r="AE712" s="118"/>
      <c r="AF712" s="118"/>
      <c r="AG712" s="118"/>
      <c r="AH712" s="118"/>
      <c r="AI712" s="118"/>
      <c r="AJ712" s="118"/>
      <c r="AK712" s="118"/>
    </row>
    <row r="713" spans="1:37">
      <c r="A713" s="131"/>
      <c r="B713" s="131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  <c r="AA713" s="118"/>
      <c r="AB713" s="118"/>
      <c r="AC713" s="118"/>
      <c r="AD713" s="118"/>
      <c r="AE713" s="118"/>
      <c r="AF713" s="118"/>
      <c r="AG713" s="118"/>
      <c r="AH713" s="118"/>
      <c r="AI713" s="118"/>
      <c r="AJ713" s="118"/>
      <c r="AK713" s="118"/>
    </row>
    <row r="714" spans="1:37">
      <c r="A714" s="131"/>
      <c r="B714" s="131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  <c r="AA714" s="118"/>
      <c r="AB714" s="118"/>
      <c r="AC714" s="118"/>
      <c r="AD714" s="118"/>
      <c r="AE714" s="118"/>
      <c r="AF714" s="118"/>
      <c r="AG714" s="118"/>
      <c r="AH714" s="118"/>
      <c r="AI714" s="118"/>
      <c r="AJ714" s="118"/>
      <c r="AK714" s="118"/>
    </row>
    <row r="715" spans="1:37">
      <c r="A715" s="131"/>
      <c r="B715" s="131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  <c r="AA715" s="118"/>
      <c r="AB715" s="118"/>
      <c r="AC715" s="118"/>
      <c r="AD715" s="118"/>
      <c r="AE715" s="118"/>
      <c r="AF715" s="118"/>
      <c r="AG715" s="118"/>
      <c r="AH715" s="118"/>
      <c r="AI715" s="118"/>
      <c r="AJ715" s="118"/>
      <c r="AK715" s="118"/>
    </row>
    <row r="716" spans="1:37">
      <c r="A716" s="131"/>
      <c r="B716" s="131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  <c r="AA716" s="118"/>
      <c r="AB716" s="118"/>
      <c r="AC716" s="118"/>
      <c r="AD716" s="118"/>
      <c r="AE716" s="118"/>
      <c r="AF716" s="118"/>
      <c r="AG716" s="118"/>
      <c r="AH716" s="118"/>
      <c r="AI716" s="118"/>
      <c r="AJ716" s="118"/>
      <c r="AK716" s="118"/>
    </row>
    <row r="717" spans="1:37">
      <c r="A717" s="131"/>
      <c r="B717" s="131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  <c r="AA717" s="118"/>
      <c r="AB717" s="118"/>
      <c r="AC717" s="118"/>
      <c r="AD717" s="118"/>
      <c r="AE717" s="118"/>
      <c r="AF717" s="118"/>
      <c r="AG717" s="118"/>
      <c r="AH717" s="118"/>
      <c r="AI717" s="118"/>
      <c r="AJ717" s="118"/>
      <c r="AK717" s="118"/>
    </row>
    <row r="718" spans="1:37">
      <c r="A718" s="131"/>
      <c r="B718" s="131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  <c r="AA718" s="118"/>
      <c r="AB718" s="118"/>
      <c r="AC718" s="118"/>
      <c r="AD718" s="118"/>
      <c r="AE718" s="118"/>
      <c r="AF718" s="118"/>
      <c r="AG718" s="118"/>
      <c r="AH718" s="118"/>
      <c r="AI718" s="118"/>
      <c r="AJ718" s="118"/>
      <c r="AK718" s="118"/>
    </row>
    <row r="719" spans="1:37">
      <c r="A719" s="131"/>
      <c r="B719" s="131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  <c r="AA719" s="118"/>
      <c r="AB719" s="118"/>
      <c r="AC719" s="118"/>
      <c r="AD719" s="118"/>
      <c r="AE719" s="118"/>
      <c r="AF719" s="118"/>
      <c r="AG719" s="118"/>
      <c r="AH719" s="118"/>
      <c r="AI719" s="118"/>
      <c r="AJ719" s="118"/>
      <c r="AK719" s="118"/>
    </row>
    <row r="720" spans="1:37">
      <c r="A720" s="131"/>
      <c r="B720" s="131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  <c r="AA720" s="118"/>
      <c r="AB720" s="118"/>
      <c r="AC720" s="118"/>
      <c r="AD720" s="118"/>
      <c r="AE720" s="118"/>
      <c r="AF720" s="118"/>
      <c r="AG720" s="118"/>
      <c r="AH720" s="118"/>
      <c r="AI720" s="118"/>
      <c r="AJ720" s="118"/>
      <c r="AK720" s="118"/>
    </row>
    <row r="721" spans="1:37">
      <c r="A721" s="131"/>
      <c r="B721" s="131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  <c r="AA721" s="118"/>
      <c r="AB721" s="118"/>
      <c r="AC721" s="118"/>
      <c r="AD721" s="118"/>
      <c r="AE721" s="118"/>
      <c r="AF721" s="118"/>
      <c r="AG721" s="118"/>
      <c r="AH721" s="118"/>
      <c r="AI721" s="118"/>
      <c r="AJ721" s="118"/>
      <c r="AK721" s="118"/>
    </row>
    <row r="722" spans="1:37">
      <c r="A722" s="131"/>
      <c r="B722" s="131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  <c r="AA722" s="118"/>
      <c r="AB722" s="118"/>
      <c r="AC722" s="118"/>
      <c r="AD722" s="118"/>
      <c r="AE722" s="118"/>
      <c r="AF722" s="118"/>
      <c r="AG722" s="118"/>
      <c r="AH722" s="118"/>
      <c r="AI722" s="118"/>
      <c r="AJ722" s="118"/>
      <c r="AK722" s="118"/>
    </row>
    <row r="723" spans="1:37">
      <c r="A723" s="131"/>
      <c r="B723" s="131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  <c r="AA723" s="118"/>
      <c r="AB723" s="118"/>
      <c r="AC723" s="118"/>
      <c r="AD723" s="118"/>
      <c r="AE723" s="118"/>
      <c r="AF723" s="118"/>
      <c r="AG723" s="118"/>
      <c r="AH723" s="118"/>
      <c r="AI723" s="118"/>
      <c r="AJ723" s="118"/>
      <c r="AK723" s="118"/>
    </row>
    <row r="724" spans="1:37">
      <c r="A724" s="131"/>
      <c r="B724" s="131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  <c r="AA724" s="118"/>
      <c r="AB724" s="118"/>
      <c r="AC724" s="118"/>
      <c r="AD724" s="118"/>
      <c r="AE724" s="118"/>
      <c r="AF724" s="118"/>
      <c r="AG724" s="118"/>
      <c r="AH724" s="118"/>
      <c r="AI724" s="118"/>
      <c r="AJ724" s="118"/>
      <c r="AK724" s="118"/>
    </row>
    <row r="725" spans="1:37">
      <c r="A725" s="131"/>
      <c r="B725" s="131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  <c r="AA725" s="118"/>
      <c r="AB725" s="118"/>
      <c r="AC725" s="118"/>
      <c r="AD725" s="118"/>
      <c r="AE725" s="118"/>
      <c r="AF725" s="118"/>
      <c r="AG725" s="118"/>
      <c r="AH725" s="118"/>
      <c r="AI725" s="118"/>
      <c r="AJ725" s="118"/>
      <c r="AK725" s="118"/>
    </row>
    <row r="726" spans="1:37">
      <c r="A726" s="131"/>
      <c r="B726" s="131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  <c r="AA726" s="118"/>
      <c r="AB726" s="118"/>
      <c r="AC726" s="118"/>
      <c r="AD726" s="118"/>
      <c r="AE726" s="118"/>
      <c r="AF726" s="118"/>
      <c r="AG726" s="118"/>
      <c r="AH726" s="118"/>
      <c r="AI726" s="118"/>
      <c r="AJ726" s="118"/>
      <c r="AK726" s="118"/>
    </row>
    <row r="727" spans="1:37">
      <c r="A727" s="131"/>
      <c r="B727" s="131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  <c r="AA727" s="118"/>
      <c r="AB727" s="118"/>
      <c r="AC727" s="118"/>
      <c r="AD727" s="118"/>
      <c r="AE727" s="118"/>
      <c r="AF727" s="118"/>
      <c r="AG727" s="118"/>
      <c r="AH727" s="118"/>
      <c r="AI727" s="118"/>
      <c r="AJ727" s="118"/>
      <c r="AK727" s="118"/>
    </row>
    <row r="728" spans="1:37">
      <c r="A728" s="131"/>
      <c r="B728" s="131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  <c r="AA728" s="118"/>
      <c r="AB728" s="118"/>
      <c r="AC728" s="118"/>
      <c r="AD728" s="118"/>
      <c r="AE728" s="118"/>
      <c r="AF728" s="118"/>
      <c r="AG728" s="118"/>
      <c r="AH728" s="118"/>
      <c r="AI728" s="118"/>
      <c r="AJ728" s="118"/>
      <c r="AK728" s="118"/>
    </row>
    <row r="729" spans="1:37">
      <c r="A729" s="131"/>
      <c r="B729" s="131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  <c r="AA729" s="118"/>
      <c r="AB729" s="118"/>
      <c r="AC729" s="118"/>
      <c r="AD729" s="118"/>
      <c r="AE729" s="118"/>
      <c r="AF729" s="118"/>
      <c r="AG729" s="118"/>
      <c r="AH729" s="118"/>
      <c r="AI729" s="118"/>
      <c r="AJ729" s="118"/>
      <c r="AK729" s="118"/>
    </row>
    <row r="730" spans="1:37">
      <c r="A730" s="131"/>
      <c r="B730" s="131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  <c r="AA730" s="118"/>
      <c r="AB730" s="118"/>
      <c r="AC730" s="118"/>
      <c r="AD730" s="118"/>
      <c r="AE730" s="118"/>
      <c r="AF730" s="118"/>
      <c r="AG730" s="118"/>
      <c r="AH730" s="118"/>
      <c r="AI730" s="118"/>
      <c r="AJ730" s="118"/>
      <c r="AK730" s="118"/>
    </row>
    <row r="731" spans="1:37">
      <c r="A731" s="131"/>
      <c r="B731" s="131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  <c r="AA731" s="118"/>
      <c r="AB731" s="118"/>
      <c r="AC731" s="118"/>
      <c r="AD731" s="118"/>
      <c r="AE731" s="118"/>
      <c r="AF731" s="118"/>
      <c r="AG731" s="118"/>
      <c r="AH731" s="118"/>
      <c r="AI731" s="118"/>
      <c r="AJ731" s="118"/>
      <c r="AK731" s="118"/>
    </row>
    <row r="732" spans="1:37">
      <c r="A732" s="131"/>
      <c r="B732" s="131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  <c r="AA732" s="118"/>
      <c r="AB732" s="118"/>
      <c r="AC732" s="118"/>
      <c r="AD732" s="118"/>
      <c r="AE732" s="118"/>
      <c r="AF732" s="118"/>
      <c r="AG732" s="118"/>
      <c r="AH732" s="118"/>
      <c r="AI732" s="118"/>
      <c r="AJ732" s="118"/>
      <c r="AK732" s="118"/>
    </row>
    <row r="733" spans="1:37">
      <c r="A733" s="131"/>
      <c r="B733" s="131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  <c r="AA733" s="118"/>
      <c r="AB733" s="118"/>
      <c r="AC733" s="118"/>
      <c r="AD733" s="118"/>
      <c r="AE733" s="118"/>
      <c r="AF733" s="118"/>
      <c r="AG733" s="118"/>
      <c r="AH733" s="118"/>
      <c r="AI733" s="118"/>
      <c r="AJ733" s="118"/>
      <c r="AK733" s="118"/>
    </row>
    <row r="734" spans="1:37">
      <c r="A734" s="131"/>
      <c r="B734" s="131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  <c r="AA734" s="118"/>
      <c r="AB734" s="118"/>
      <c r="AC734" s="118"/>
      <c r="AD734" s="118"/>
      <c r="AE734" s="118"/>
      <c r="AF734" s="118"/>
      <c r="AG734" s="118"/>
      <c r="AH734" s="118"/>
      <c r="AI734" s="118"/>
      <c r="AJ734" s="118"/>
      <c r="AK734" s="118"/>
    </row>
    <row r="735" spans="1:37">
      <c r="A735" s="131"/>
      <c r="B735" s="131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  <c r="AA735" s="118"/>
      <c r="AB735" s="118"/>
      <c r="AC735" s="118"/>
      <c r="AD735" s="118"/>
      <c r="AE735" s="118"/>
      <c r="AF735" s="118"/>
      <c r="AG735" s="118"/>
      <c r="AH735" s="118"/>
      <c r="AI735" s="118"/>
      <c r="AJ735" s="118"/>
      <c r="AK735" s="118"/>
    </row>
    <row r="736" spans="1:37">
      <c r="A736" s="131"/>
      <c r="B736" s="131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  <c r="AA736" s="118"/>
      <c r="AB736" s="118"/>
      <c r="AC736" s="118"/>
      <c r="AD736" s="118"/>
      <c r="AE736" s="118"/>
      <c r="AF736" s="118"/>
      <c r="AG736" s="118"/>
      <c r="AH736" s="118"/>
      <c r="AI736" s="118"/>
      <c r="AJ736" s="118"/>
      <c r="AK736" s="118"/>
    </row>
    <row r="737" spans="1:37">
      <c r="A737" s="131"/>
      <c r="B737" s="131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  <c r="AA737" s="118"/>
      <c r="AB737" s="118"/>
      <c r="AC737" s="118"/>
      <c r="AD737" s="118"/>
      <c r="AE737" s="118"/>
      <c r="AF737" s="118"/>
      <c r="AG737" s="118"/>
      <c r="AH737" s="118"/>
      <c r="AI737" s="118"/>
      <c r="AJ737" s="118"/>
      <c r="AK737" s="118"/>
    </row>
    <row r="738" spans="1:37">
      <c r="A738" s="131"/>
      <c r="B738" s="131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  <c r="AA738" s="118"/>
      <c r="AB738" s="118"/>
      <c r="AC738" s="118"/>
      <c r="AD738" s="118"/>
      <c r="AE738" s="118"/>
      <c r="AF738" s="118"/>
      <c r="AG738" s="118"/>
      <c r="AH738" s="118"/>
      <c r="AI738" s="118"/>
      <c r="AJ738" s="118"/>
      <c r="AK738" s="118"/>
    </row>
    <row r="739" spans="1:37">
      <c r="A739" s="131"/>
      <c r="B739" s="131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  <c r="AA739" s="118"/>
      <c r="AB739" s="118"/>
      <c r="AC739" s="118"/>
      <c r="AD739" s="118"/>
      <c r="AE739" s="118"/>
      <c r="AF739" s="118"/>
      <c r="AG739" s="118"/>
      <c r="AH739" s="118"/>
      <c r="AI739" s="118"/>
      <c r="AJ739" s="118"/>
      <c r="AK739" s="118"/>
    </row>
    <row r="740" spans="1:37">
      <c r="A740" s="131"/>
      <c r="B740" s="131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  <c r="AA740" s="118"/>
      <c r="AB740" s="118"/>
      <c r="AC740" s="118"/>
      <c r="AD740" s="118"/>
      <c r="AE740" s="118"/>
      <c r="AF740" s="118"/>
      <c r="AG740" s="118"/>
      <c r="AH740" s="118"/>
      <c r="AI740" s="118"/>
      <c r="AJ740" s="118"/>
      <c r="AK740" s="118"/>
    </row>
    <row r="741" spans="1:37">
      <c r="A741" s="131"/>
      <c r="B741" s="131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  <c r="AA741" s="118"/>
      <c r="AB741" s="118"/>
      <c r="AC741" s="118"/>
      <c r="AD741" s="118"/>
      <c r="AE741" s="118"/>
      <c r="AF741" s="118"/>
      <c r="AG741" s="118"/>
      <c r="AH741" s="118"/>
      <c r="AI741" s="118"/>
      <c r="AJ741" s="118"/>
      <c r="AK741" s="118"/>
    </row>
    <row r="742" spans="1:37">
      <c r="A742" s="131"/>
      <c r="B742" s="131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  <c r="AA742" s="118"/>
      <c r="AB742" s="118"/>
      <c r="AC742" s="118"/>
      <c r="AD742" s="118"/>
      <c r="AE742" s="118"/>
      <c r="AF742" s="118"/>
      <c r="AG742" s="118"/>
      <c r="AH742" s="118"/>
      <c r="AI742" s="118"/>
      <c r="AJ742" s="118"/>
      <c r="AK742" s="118"/>
    </row>
    <row r="743" spans="1:37">
      <c r="A743" s="131"/>
      <c r="B743" s="131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  <c r="AA743" s="118"/>
      <c r="AB743" s="118"/>
      <c r="AC743" s="118"/>
      <c r="AD743" s="118"/>
      <c r="AE743" s="118"/>
      <c r="AF743" s="118"/>
      <c r="AG743" s="118"/>
      <c r="AH743" s="118"/>
      <c r="AI743" s="118"/>
      <c r="AJ743" s="118"/>
      <c r="AK743" s="118"/>
    </row>
    <row r="744" spans="1:37">
      <c r="A744" s="131"/>
      <c r="B744" s="131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  <c r="AA744" s="118"/>
      <c r="AB744" s="118"/>
      <c r="AC744" s="118"/>
      <c r="AD744" s="118"/>
      <c r="AE744" s="118"/>
      <c r="AF744" s="118"/>
      <c r="AG744" s="118"/>
      <c r="AH744" s="118"/>
      <c r="AI744" s="118"/>
      <c r="AJ744" s="118"/>
      <c r="AK744" s="118"/>
    </row>
    <row r="745" spans="1:37">
      <c r="A745" s="131"/>
      <c r="B745" s="131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  <c r="AA745" s="118"/>
      <c r="AB745" s="118"/>
      <c r="AC745" s="118"/>
      <c r="AD745" s="118"/>
      <c r="AE745" s="118"/>
      <c r="AF745" s="118"/>
      <c r="AG745" s="118"/>
      <c r="AH745" s="118"/>
      <c r="AI745" s="118"/>
      <c r="AJ745" s="118"/>
      <c r="AK745" s="118"/>
    </row>
    <row r="746" spans="1:37">
      <c r="A746" s="131"/>
      <c r="B746" s="131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</row>
    <row r="747" spans="1:37">
      <c r="A747" s="131"/>
      <c r="B747" s="131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  <c r="AA747" s="118"/>
      <c r="AB747" s="118"/>
      <c r="AC747" s="118"/>
      <c r="AD747" s="118"/>
      <c r="AE747" s="118"/>
      <c r="AF747" s="118"/>
      <c r="AG747" s="118"/>
      <c r="AH747" s="118"/>
      <c r="AI747" s="118"/>
      <c r="AJ747" s="118"/>
      <c r="AK747" s="118"/>
    </row>
    <row r="748" spans="1:37">
      <c r="A748" s="131"/>
      <c r="B748" s="131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  <c r="AA748" s="118"/>
      <c r="AB748" s="118"/>
      <c r="AC748" s="118"/>
      <c r="AD748" s="118"/>
      <c r="AE748" s="118"/>
      <c r="AF748" s="118"/>
      <c r="AG748" s="118"/>
      <c r="AH748" s="118"/>
      <c r="AI748" s="118"/>
      <c r="AJ748" s="118"/>
      <c r="AK748" s="118"/>
    </row>
    <row r="749" spans="1:37">
      <c r="A749" s="131"/>
      <c r="B749" s="131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  <c r="AA749" s="118"/>
      <c r="AB749" s="118"/>
      <c r="AC749" s="118"/>
      <c r="AD749" s="118"/>
      <c r="AE749" s="118"/>
      <c r="AF749" s="118"/>
      <c r="AG749" s="118"/>
      <c r="AH749" s="118"/>
      <c r="AI749" s="118"/>
      <c r="AJ749" s="118"/>
      <c r="AK749" s="118"/>
    </row>
    <row r="750" spans="1:37">
      <c r="A750" s="131"/>
      <c r="B750" s="131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  <c r="AA750" s="118"/>
      <c r="AB750" s="118"/>
      <c r="AC750" s="118"/>
      <c r="AD750" s="118"/>
      <c r="AE750" s="118"/>
      <c r="AF750" s="118"/>
      <c r="AG750" s="118"/>
      <c r="AH750" s="118"/>
      <c r="AI750" s="118"/>
      <c r="AJ750" s="118"/>
      <c r="AK750" s="118"/>
    </row>
    <row r="751" spans="1:37">
      <c r="A751" s="131"/>
      <c r="B751" s="131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  <c r="AA751" s="118"/>
      <c r="AB751" s="118"/>
      <c r="AC751" s="118"/>
      <c r="AD751" s="118"/>
      <c r="AE751" s="118"/>
      <c r="AF751" s="118"/>
      <c r="AG751" s="118"/>
      <c r="AH751" s="118"/>
      <c r="AI751" s="118"/>
      <c r="AJ751" s="118"/>
      <c r="AK751" s="118"/>
    </row>
    <row r="752" spans="1:37">
      <c r="A752" s="131"/>
      <c r="B752" s="131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  <c r="AA752" s="118"/>
      <c r="AB752" s="118"/>
      <c r="AC752" s="118"/>
      <c r="AD752" s="118"/>
      <c r="AE752" s="118"/>
      <c r="AF752" s="118"/>
      <c r="AG752" s="118"/>
      <c r="AH752" s="118"/>
      <c r="AI752" s="118"/>
      <c r="AJ752" s="118"/>
      <c r="AK752" s="118"/>
    </row>
    <row r="753" spans="1:37">
      <c r="A753" s="131"/>
      <c r="B753" s="131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  <c r="AA753" s="118"/>
      <c r="AB753" s="118"/>
      <c r="AC753" s="118"/>
      <c r="AD753" s="118"/>
      <c r="AE753" s="118"/>
      <c r="AF753" s="118"/>
      <c r="AG753" s="118"/>
      <c r="AH753" s="118"/>
      <c r="AI753" s="118"/>
      <c r="AJ753" s="118"/>
      <c r="AK753" s="118"/>
    </row>
    <row r="754" spans="1:37">
      <c r="A754" s="131"/>
      <c r="B754" s="131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  <c r="AA754" s="118"/>
      <c r="AB754" s="118"/>
      <c r="AC754" s="118"/>
      <c r="AD754" s="118"/>
      <c r="AE754" s="118"/>
      <c r="AF754" s="118"/>
      <c r="AG754" s="118"/>
      <c r="AH754" s="118"/>
      <c r="AI754" s="118"/>
      <c r="AJ754" s="118"/>
      <c r="AK754" s="118"/>
    </row>
    <row r="755" spans="1:37">
      <c r="A755" s="131"/>
      <c r="B755" s="131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  <c r="AA755" s="118"/>
      <c r="AB755" s="118"/>
      <c r="AC755" s="118"/>
      <c r="AD755" s="118"/>
      <c r="AE755" s="118"/>
      <c r="AF755" s="118"/>
      <c r="AG755" s="118"/>
      <c r="AH755" s="118"/>
      <c r="AI755" s="118"/>
      <c r="AJ755" s="118"/>
      <c r="AK755" s="118"/>
    </row>
    <row r="756" spans="1:37">
      <c r="A756" s="131"/>
      <c r="B756" s="131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  <c r="AA756" s="118"/>
      <c r="AB756" s="118"/>
      <c r="AC756" s="118"/>
      <c r="AD756" s="118"/>
      <c r="AE756" s="118"/>
      <c r="AF756" s="118"/>
      <c r="AG756" s="118"/>
      <c r="AH756" s="118"/>
      <c r="AI756" s="118"/>
      <c r="AJ756" s="118"/>
      <c r="AK756" s="118"/>
    </row>
    <row r="757" spans="1:37">
      <c r="A757" s="131"/>
      <c r="B757" s="131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  <c r="AA757" s="118"/>
      <c r="AB757" s="118"/>
      <c r="AC757" s="118"/>
      <c r="AD757" s="118"/>
      <c r="AE757" s="118"/>
      <c r="AF757" s="118"/>
      <c r="AG757" s="118"/>
      <c r="AH757" s="118"/>
      <c r="AI757" s="118"/>
      <c r="AJ757" s="118"/>
      <c r="AK757" s="118"/>
    </row>
    <row r="758" spans="1:37">
      <c r="A758" s="131"/>
      <c r="B758" s="131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  <c r="AA758" s="118"/>
      <c r="AB758" s="118"/>
      <c r="AC758" s="118"/>
      <c r="AD758" s="118"/>
      <c r="AE758" s="118"/>
      <c r="AF758" s="118"/>
      <c r="AG758" s="118"/>
      <c r="AH758" s="118"/>
      <c r="AI758" s="118"/>
      <c r="AJ758" s="118"/>
      <c r="AK758" s="118"/>
    </row>
    <row r="759" spans="1:37">
      <c r="A759" s="131"/>
      <c r="B759" s="131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  <c r="AA759" s="118"/>
      <c r="AB759" s="118"/>
      <c r="AC759" s="118"/>
      <c r="AD759" s="118"/>
      <c r="AE759" s="118"/>
      <c r="AF759" s="118"/>
      <c r="AG759" s="118"/>
      <c r="AH759" s="118"/>
      <c r="AI759" s="118"/>
      <c r="AJ759" s="118"/>
      <c r="AK759" s="118"/>
    </row>
    <row r="760" spans="1:37">
      <c r="A760" s="131"/>
      <c r="B760" s="131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  <c r="AA760" s="118"/>
      <c r="AB760" s="118"/>
      <c r="AC760" s="118"/>
      <c r="AD760" s="118"/>
      <c r="AE760" s="118"/>
      <c r="AF760" s="118"/>
      <c r="AG760" s="118"/>
      <c r="AH760" s="118"/>
      <c r="AI760" s="118"/>
      <c r="AJ760" s="118"/>
      <c r="AK760" s="118"/>
    </row>
    <row r="761" spans="1:37">
      <c r="A761" s="131"/>
      <c r="B761" s="131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  <c r="AA761" s="118"/>
      <c r="AB761" s="118"/>
      <c r="AC761" s="118"/>
      <c r="AD761" s="118"/>
      <c r="AE761" s="118"/>
      <c r="AF761" s="118"/>
      <c r="AG761" s="118"/>
      <c r="AH761" s="118"/>
      <c r="AI761" s="118"/>
      <c r="AJ761" s="118"/>
      <c r="AK761" s="118"/>
    </row>
    <row r="762" spans="1:37">
      <c r="A762" s="131"/>
      <c r="B762" s="131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  <c r="AA762" s="118"/>
      <c r="AB762" s="118"/>
      <c r="AC762" s="118"/>
      <c r="AD762" s="118"/>
      <c r="AE762" s="118"/>
      <c r="AF762" s="118"/>
      <c r="AG762" s="118"/>
      <c r="AH762" s="118"/>
      <c r="AI762" s="118"/>
      <c r="AJ762" s="118"/>
      <c r="AK762" s="118"/>
    </row>
    <row r="763" spans="1:37">
      <c r="A763" s="131"/>
      <c r="B763" s="131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  <c r="AA763" s="118"/>
      <c r="AB763" s="118"/>
      <c r="AC763" s="118"/>
      <c r="AD763" s="118"/>
      <c r="AE763" s="118"/>
      <c r="AF763" s="118"/>
      <c r="AG763" s="118"/>
      <c r="AH763" s="118"/>
      <c r="AI763" s="118"/>
      <c r="AJ763" s="118"/>
      <c r="AK763" s="118"/>
    </row>
    <row r="764" spans="1:37">
      <c r="A764" s="131"/>
      <c r="B764" s="131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  <c r="AA764" s="118"/>
      <c r="AB764" s="118"/>
      <c r="AC764" s="118"/>
      <c r="AD764" s="118"/>
      <c r="AE764" s="118"/>
      <c r="AF764" s="118"/>
      <c r="AG764" s="118"/>
      <c r="AH764" s="118"/>
      <c r="AI764" s="118"/>
      <c r="AJ764" s="118"/>
      <c r="AK764" s="118"/>
    </row>
    <row r="765" spans="1:37">
      <c r="A765" s="131"/>
      <c r="B765" s="131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  <c r="AA765" s="118"/>
      <c r="AB765" s="118"/>
      <c r="AC765" s="118"/>
      <c r="AD765" s="118"/>
      <c r="AE765" s="118"/>
      <c r="AF765" s="118"/>
      <c r="AG765" s="118"/>
      <c r="AH765" s="118"/>
      <c r="AI765" s="118"/>
      <c r="AJ765" s="118"/>
      <c r="AK765" s="118"/>
    </row>
    <row r="766" spans="1:37">
      <c r="A766" s="131"/>
      <c r="B766" s="131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  <c r="AA766" s="118"/>
      <c r="AB766" s="118"/>
      <c r="AC766" s="118"/>
      <c r="AD766" s="118"/>
      <c r="AE766" s="118"/>
      <c r="AF766" s="118"/>
      <c r="AG766" s="118"/>
      <c r="AH766" s="118"/>
      <c r="AI766" s="118"/>
      <c r="AJ766" s="118"/>
      <c r="AK766" s="118"/>
    </row>
    <row r="767" spans="1:37">
      <c r="A767" s="131"/>
      <c r="B767" s="131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  <c r="AA767" s="118"/>
      <c r="AB767" s="118"/>
      <c r="AC767" s="118"/>
      <c r="AD767" s="118"/>
      <c r="AE767" s="118"/>
      <c r="AF767" s="118"/>
      <c r="AG767" s="118"/>
      <c r="AH767" s="118"/>
      <c r="AI767" s="118"/>
      <c r="AJ767" s="118"/>
      <c r="AK767" s="118"/>
    </row>
    <row r="768" spans="1:37">
      <c r="A768" s="131"/>
      <c r="B768" s="131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  <c r="AA768" s="118"/>
      <c r="AB768" s="118"/>
      <c r="AC768" s="118"/>
      <c r="AD768" s="118"/>
      <c r="AE768" s="118"/>
      <c r="AF768" s="118"/>
      <c r="AG768" s="118"/>
      <c r="AH768" s="118"/>
      <c r="AI768" s="118"/>
      <c r="AJ768" s="118"/>
      <c r="AK768" s="118"/>
    </row>
    <row r="769" spans="1:37">
      <c r="A769" s="131"/>
      <c r="B769" s="131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  <c r="AA769" s="118"/>
      <c r="AB769" s="118"/>
      <c r="AC769" s="118"/>
      <c r="AD769" s="118"/>
      <c r="AE769" s="118"/>
      <c r="AF769" s="118"/>
      <c r="AG769" s="118"/>
      <c r="AH769" s="118"/>
      <c r="AI769" s="118"/>
      <c r="AJ769" s="118"/>
      <c r="AK769" s="118"/>
    </row>
    <row r="770" spans="1:37">
      <c r="A770" s="131"/>
      <c r="B770" s="131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  <c r="AA770" s="118"/>
      <c r="AB770" s="118"/>
      <c r="AC770" s="118"/>
      <c r="AD770" s="118"/>
      <c r="AE770" s="118"/>
      <c r="AF770" s="118"/>
      <c r="AG770" s="118"/>
      <c r="AH770" s="118"/>
      <c r="AI770" s="118"/>
      <c r="AJ770" s="118"/>
      <c r="AK770" s="118"/>
    </row>
    <row r="771" spans="1:37">
      <c r="A771" s="131"/>
      <c r="B771" s="131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  <c r="AA771" s="118"/>
      <c r="AB771" s="118"/>
      <c r="AC771" s="118"/>
      <c r="AD771" s="118"/>
      <c r="AE771" s="118"/>
      <c r="AF771" s="118"/>
      <c r="AG771" s="118"/>
      <c r="AH771" s="118"/>
      <c r="AI771" s="118"/>
      <c r="AJ771" s="118"/>
      <c r="AK771" s="118"/>
    </row>
    <row r="772" spans="1:37">
      <c r="A772" s="131"/>
      <c r="B772" s="131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  <c r="AA772" s="118"/>
      <c r="AB772" s="118"/>
      <c r="AC772" s="118"/>
      <c r="AD772" s="118"/>
      <c r="AE772" s="118"/>
      <c r="AF772" s="118"/>
      <c r="AG772" s="118"/>
      <c r="AH772" s="118"/>
      <c r="AI772" s="118"/>
      <c r="AJ772" s="118"/>
      <c r="AK772" s="118"/>
    </row>
    <row r="773" spans="1:37">
      <c r="A773" s="131"/>
      <c r="B773" s="131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  <c r="AA773" s="118"/>
      <c r="AB773" s="118"/>
      <c r="AC773" s="118"/>
      <c r="AD773" s="118"/>
      <c r="AE773" s="118"/>
      <c r="AF773" s="118"/>
      <c r="AG773" s="118"/>
      <c r="AH773" s="118"/>
      <c r="AI773" s="118"/>
      <c r="AJ773" s="118"/>
      <c r="AK773" s="118"/>
    </row>
    <row r="774" spans="1:37">
      <c r="A774" s="131"/>
      <c r="B774" s="131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  <c r="AA774" s="118"/>
      <c r="AB774" s="118"/>
      <c r="AC774" s="118"/>
      <c r="AD774" s="118"/>
      <c r="AE774" s="118"/>
      <c r="AF774" s="118"/>
      <c r="AG774" s="118"/>
      <c r="AH774" s="118"/>
      <c r="AI774" s="118"/>
      <c r="AJ774" s="118"/>
      <c r="AK774" s="118"/>
    </row>
    <row r="775" spans="1:37">
      <c r="A775" s="131"/>
      <c r="B775" s="131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  <c r="AA775" s="118"/>
      <c r="AB775" s="118"/>
      <c r="AC775" s="118"/>
      <c r="AD775" s="118"/>
      <c r="AE775" s="118"/>
      <c r="AF775" s="118"/>
      <c r="AG775" s="118"/>
      <c r="AH775" s="118"/>
      <c r="AI775" s="118"/>
      <c r="AJ775" s="118"/>
      <c r="AK775" s="118"/>
    </row>
    <row r="776" spans="1:37">
      <c r="A776" s="131"/>
      <c r="B776" s="131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  <c r="AA776" s="118"/>
      <c r="AB776" s="118"/>
      <c r="AC776" s="118"/>
      <c r="AD776" s="118"/>
      <c r="AE776" s="118"/>
      <c r="AF776" s="118"/>
      <c r="AG776" s="118"/>
      <c r="AH776" s="118"/>
      <c r="AI776" s="118"/>
      <c r="AJ776" s="118"/>
      <c r="AK776" s="118"/>
    </row>
    <row r="777" spans="1:37">
      <c r="A777" s="131"/>
      <c r="B777" s="131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  <c r="AA777" s="118"/>
      <c r="AB777" s="118"/>
      <c r="AC777" s="118"/>
      <c r="AD777" s="118"/>
      <c r="AE777" s="118"/>
      <c r="AF777" s="118"/>
      <c r="AG777" s="118"/>
      <c r="AH777" s="118"/>
      <c r="AI777" s="118"/>
      <c r="AJ777" s="118"/>
      <c r="AK777" s="118"/>
    </row>
    <row r="778" spans="1:37">
      <c r="A778" s="131"/>
      <c r="B778" s="131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  <c r="AA778" s="118"/>
      <c r="AB778" s="118"/>
      <c r="AC778" s="118"/>
      <c r="AD778" s="118"/>
      <c r="AE778" s="118"/>
      <c r="AF778" s="118"/>
      <c r="AG778" s="118"/>
      <c r="AH778" s="118"/>
      <c r="AI778" s="118"/>
      <c r="AJ778" s="118"/>
      <c r="AK778" s="118"/>
    </row>
    <row r="779" spans="1:37">
      <c r="A779" s="131"/>
      <c r="B779" s="131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  <c r="AA779" s="118"/>
      <c r="AB779" s="118"/>
      <c r="AC779" s="118"/>
      <c r="AD779" s="118"/>
      <c r="AE779" s="118"/>
      <c r="AF779" s="118"/>
      <c r="AG779" s="118"/>
      <c r="AH779" s="118"/>
      <c r="AI779" s="118"/>
      <c r="AJ779" s="118"/>
      <c r="AK779" s="118"/>
    </row>
    <row r="780" spans="1:37">
      <c r="A780" s="131"/>
      <c r="B780" s="131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  <c r="AA780" s="118"/>
      <c r="AB780" s="118"/>
      <c r="AC780" s="118"/>
      <c r="AD780" s="118"/>
      <c r="AE780" s="118"/>
      <c r="AF780" s="118"/>
      <c r="AG780" s="118"/>
      <c r="AH780" s="118"/>
      <c r="AI780" s="118"/>
      <c r="AJ780" s="118"/>
      <c r="AK780" s="118"/>
    </row>
    <row r="781" spans="1:37">
      <c r="A781" s="131"/>
      <c r="B781" s="131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  <c r="AA781" s="118"/>
      <c r="AB781" s="118"/>
      <c r="AC781" s="118"/>
      <c r="AD781" s="118"/>
      <c r="AE781" s="118"/>
      <c r="AF781" s="118"/>
      <c r="AG781" s="118"/>
      <c r="AH781" s="118"/>
      <c r="AI781" s="118"/>
      <c r="AJ781" s="118"/>
      <c r="AK781" s="118"/>
    </row>
    <row r="782" spans="1:37">
      <c r="A782" s="131"/>
      <c r="B782" s="131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  <c r="AA782" s="118"/>
      <c r="AB782" s="118"/>
      <c r="AC782" s="118"/>
      <c r="AD782" s="118"/>
      <c r="AE782" s="118"/>
      <c r="AF782" s="118"/>
      <c r="AG782" s="118"/>
      <c r="AH782" s="118"/>
      <c r="AI782" s="118"/>
      <c r="AJ782" s="118"/>
      <c r="AK782" s="118"/>
    </row>
    <row r="783" spans="1:37">
      <c r="A783" s="131"/>
      <c r="B783" s="131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  <c r="AA783" s="118"/>
      <c r="AB783" s="118"/>
      <c r="AC783" s="118"/>
      <c r="AD783" s="118"/>
      <c r="AE783" s="118"/>
      <c r="AF783" s="118"/>
      <c r="AG783" s="118"/>
      <c r="AH783" s="118"/>
      <c r="AI783" s="118"/>
      <c r="AJ783" s="118"/>
      <c r="AK783" s="118"/>
    </row>
    <row r="784" spans="1:37">
      <c r="A784" s="131"/>
      <c r="B784" s="131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</row>
    <row r="785" spans="1:37">
      <c r="A785" s="131"/>
      <c r="B785" s="131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  <c r="AA785" s="118"/>
      <c r="AB785" s="118"/>
      <c r="AC785" s="118"/>
      <c r="AD785" s="118"/>
      <c r="AE785" s="118"/>
      <c r="AF785" s="118"/>
      <c r="AG785" s="118"/>
      <c r="AH785" s="118"/>
      <c r="AI785" s="118"/>
      <c r="AJ785" s="118"/>
      <c r="AK785" s="118"/>
    </row>
    <row r="786" spans="1:37">
      <c r="A786" s="131"/>
      <c r="B786" s="131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  <c r="AA786" s="118"/>
      <c r="AB786" s="118"/>
      <c r="AC786" s="118"/>
      <c r="AD786" s="118"/>
      <c r="AE786" s="118"/>
      <c r="AF786" s="118"/>
      <c r="AG786" s="118"/>
      <c r="AH786" s="118"/>
      <c r="AI786" s="118"/>
      <c r="AJ786" s="118"/>
      <c r="AK786" s="118"/>
    </row>
    <row r="787" spans="1:37">
      <c r="A787" s="131"/>
      <c r="B787" s="131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  <c r="AA787" s="118"/>
      <c r="AB787" s="118"/>
      <c r="AC787" s="118"/>
      <c r="AD787" s="118"/>
      <c r="AE787" s="118"/>
      <c r="AF787" s="118"/>
      <c r="AG787" s="118"/>
      <c r="AH787" s="118"/>
      <c r="AI787" s="118"/>
      <c r="AJ787" s="118"/>
      <c r="AK787" s="118"/>
    </row>
    <row r="788" spans="1:37">
      <c r="A788" s="131"/>
      <c r="B788" s="131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  <c r="AA788" s="118"/>
      <c r="AB788" s="118"/>
      <c r="AC788" s="118"/>
      <c r="AD788" s="118"/>
      <c r="AE788" s="118"/>
      <c r="AF788" s="118"/>
      <c r="AG788" s="118"/>
      <c r="AH788" s="118"/>
      <c r="AI788" s="118"/>
      <c r="AJ788" s="118"/>
      <c r="AK788" s="118"/>
    </row>
    <row r="789" spans="1:37">
      <c r="A789" s="131"/>
      <c r="B789" s="131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  <c r="AA789" s="118"/>
      <c r="AB789" s="118"/>
      <c r="AC789" s="118"/>
      <c r="AD789" s="118"/>
      <c r="AE789" s="118"/>
      <c r="AF789" s="118"/>
      <c r="AG789" s="118"/>
      <c r="AH789" s="118"/>
      <c r="AI789" s="118"/>
      <c r="AJ789" s="118"/>
      <c r="AK789" s="118"/>
    </row>
    <row r="790" spans="1:37">
      <c r="A790" s="131"/>
      <c r="B790" s="131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  <c r="AA790" s="118"/>
      <c r="AB790" s="118"/>
      <c r="AC790" s="118"/>
      <c r="AD790" s="118"/>
      <c r="AE790" s="118"/>
      <c r="AF790" s="118"/>
      <c r="AG790" s="118"/>
      <c r="AH790" s="118"/>
      <c r="AI790" s="118"/>
      <c r="AJ790" s="118"/>
      <c r="AK790" s="118"/>
    </row>
    <row r="791" spans="1:37">
      <c r="A791" s="131"/>
      <c r="B791" s="131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  <c r="AA791" s="118"/>
      <c r="AB791" s="118"/>
      <c r="AC791" s="118"/>
      <c r="AD791" s="118"/>
      <c r="AE791" s="118"/>
      <c r="AF791" s="118"/>
      <c r="AG791" s="118"/>
      <c r="AH791" s="118"/>
      <c r="AI791" s="118"/>
      <c r="AJ791" s="118"/>
      <c r="AK791" s="118"/>
    </row>
    <row r="792" spans="1:37">
      <c r="A792" s="131"/>
      <c r="B792" s="131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  <c r="AA792" s="118"/>
      <c r="AB792" s="118"/>
      <c r="AC792" s="118"/>
      <c r="AD792" s="118"/>
      <c r="AE792" s="118"/>
      <c r="AF792" s="118"/>
      <c r="AG792" s="118"/>
      <c r="AH792" s="118"/>
      <c r="AI792" s="118"/>
      <c r="AJ792" s="118"/>
      <c r="AK792" s="118"/>
    </row>
    <row r="793" spans="1:37">
      <c r="A793" s="131"/>
      <c r="B793" s="131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  <c r="AA793" s="118"/>
      <c r="AB793" s="118"/>
      <c r="AC793" s="118"/>
      <c r="AD793" s="118"/>
      <c r="AE793" s="118"/>
      <c r="AF793" s="118"/>
      <c r="AG793" s="118"/>
      <c r="AH793" s="118"/>
      <c r="AI793" s="118"/>
      <c r="AJ793" s="118"/>
      <c r="AK793" s="118"/>
    </row>
    <row r="794" spans="1:37">
      <c r="A794" s="131"/>
      <c r="B794" s="131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  <c r="AA794" s="118"/>
      <c r="AB794" s="118"/>
      <c r="AC794" s="118"/>
      <c r="AD794" s="118"/>
      <c r="AE794" s="118"/>
      <c r="AF794" s="118"/>
      <c r="AG794" s="118"/>
      <c r="AH794" s="118"/>
      <c r="AI794" s="118"/>
      <c r="AJ794" s="118"/>
      <c r="AK794" s="118"/>
    </row>
    <row r="795" spans="1:37">
      <c r="A795" s="131"/>
      <c r="B795" s="131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  <c r="AA795" s="118"/>
      <c r="AB795" s="118"/>
      <c r="AC795" s="118"/>
      <c r="AD795" s="118"/>
      <c r="AE795" s="118"/>
      <c r="AF795" s="118"/>
      <c r="AG795" s="118"/>
      <c r="AH795" s="118"/>
      <c r="AI795" s="118"/>
      <c r="AJ795" s="118"/>
      <c r="AK795" s="118"/>
    </row>
    <row r="796" spans="1:37">
      <c r="A796" s="131"/>
      <c r="B796" s="131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  <c r="AA796" s="118"/>
      <c r="AB796" s="118"/>
      <c r="AC796" s="118"/>
      <c r="AD796" s="118"/>
      <c r="AE796" s="118"/>
      <c r="AF796" s="118"/>
      <c r="AG796" s="118"/>
      <c r="AH796" s="118"/>
      <c r="AI796" s="118"/>
      <c r="AJ796" s="118"/>
      <c r="AK796" s="118"/>
    </row>
    <row r="797" spans="1:37">
      <c r="A797" s="131"/>
      <c r="B797" s="131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  <c r="AA797" s="118"/>
      <c r="AB797" s="118"/>
      <c r="AC797" s="118"/>
      <c r="AD797" s="118"/>
      <c r="AE797" s="118"/>
      <c r="AF797" s="118"/>
      <c r="AG797" s="118"/>
      <c r="AH797" s="118"/>
      <c r="AI797" s="118"/>
      <c r="AJ797" s="118"/>
      <c r="AK797" s="118"/>
    </row>
    <row r="798" spans="1:37">
      <c r="A798" s="131"/>
      <c r="B798" s="131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  <c r="AA798" s="118"/>
      <c r="AB798" s="118"/>
      <c r="AC798" s="118"/>
      <c r="AD798" s="118"/>
      <c r="AE798" s="118"/>
      <c r="AF798" s="118"/>
      <c r="AG798" s="118"/>
      <c r="AH798" s="118"/>
      <c r="AI798" s="118"/>
      <c r="AJ798" s="118"/>
      <c r="AK798" s="118"/>
    </row>
    <row r="799" spans="1:37">
      <c r="A799" s="131"/>
      <c r="B799" s="131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  <c r="AA799" s="118"/>
      <c r="AB799" s="118"/>
      <c r="AC799" s="118"/>
      <c r="AD799" s="118"/>
      <c r="AE799" s="118"/>
      <c r="AF799" s="118"/>
      <c r="AG799" s="118"/>
      <c r="AH799" s="118"/>
      <c r="AI799" s="118"/>
      <c r="AJ799" s="118"/>
      <c r="AK799" s="118"/>
    </row>
    <row r="800" spans="1:37">
      <c r="A800" s="131"/>
      <c r="B800" s="131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  <c r="AA800" s="118"/>
      <c r="AB800" s="118"/>
      <c r="AC800" s="118"/>
      <c r="AD800" s="118"/>
      <c r="AE800" s="118"/>
      <c r="AF800" s="118"/>
      <c r="AG800" s="118"/>
      <c r="AH800" s="118"/>
      <c r="AI800" s="118"/>
      <c r="AJ800" s="118"/>
      <c r="AK800" s="118"/>
    </row>
    <row r="801" spans="1:37">
      <c r="A801" s="131"/>
      <c r="B801" s="131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  <c r="AA801" s="118"/>
      <c r="AB801" s="118"/>
      <c r="AC801" s="118"/>
      <c r="AD801" s="118"/>
      <c r="AE801" s="118"/>
      <c r="AF801" s="118"/>
      <c r="AG801" s="118"/>
      <c r="AH801" s="118"/>
      <c r="AI801" s="118"/>
      <c r="AJ801" s="118"/>
      <c r="AK801" s="118"/>
    </row>
    <row r="802" spans="1:37">
      <c r="A802" s="131"/>
      <c r="B802" s="131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  <c r="AA802" s="118"/>
      <c r="AB802" s="118"/>
      <c r="AC802" s="118"/>
      <c r="AD802" s="118"/>
      <c r="AE802" s="118"/>
      <c r="AF802" s="118"/>
      <c r="AG802" s="118"/>
      <c r="AH802" s="118"/>
      <c r="AI802" s="118"/>
      <c r="AJ802" s="118"/>
      <c r="AK802" s="118"/>
    </row>
    <row r="803" spans="1:37">
      <c r="A803" s="131"/>
      <c r="B803" s="131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  <c r="AA803" s="118"/>
      <c r="AB803" s="118"/>
      <c r="AC803" s="118"/>
      <c r="AD803" s="118"/>
      <c r="AE803" s="118"/>
      <c r="AF803" s="118"/>
      <c r="AG803" s="118"/>
      <c r="AH803" s="118"/>
      <c r="AI803" s="118"/>
      <c r="AJ803" s="118"/>
      <c r="AK803" s="118"/>
    </row>
    <row r="804" spans="1:37">
      <c r="A804" s="131"/>
      <c r="B804" s="131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  <c r="AA804" s="118"/>
      <c r="AB804" s="118"/>
      <c r="AC804" s="118"/>
      <c r="AD804" s="118"/>
      <c r="AE804" s="118"/>
      <c r="AF804" s="118"/>
      <c r="AG804" s="118"/>
      <c r="AH804" s="118"/>
      <c r="AI804" s="118"/>
      <c r="AJ804" s="118"/>
      <c r="AK804" s="118"/>
    </row>
    <row r="805" spans="1:37">
      <c r="A805" s="131"/>
      <c r="B805" s="131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  <c r="AA805" s="118"/>
      <c r="AB805" s="118"/>
      <c r="AC805" s="118"/>
      <c r="AD805" s="118"/>
      <c r="AE805" s="118"/>
      <c r="AF805" s="118"/>
      <c r="AG805" s="118"/>
      <c r="AH805" s="118"/>
      <c r="AI805" s="118"/>
      <c r="AJ805" s="118"/>
      <c r="AK805" s="118"/>
    </row>
    <row r="806" spans="1:37">
      <c r="A806" s="131"/>
      <c r="B806" s="131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  <c r="AA806" s="118"/>
      <c r="AB806" s="118"/>
      <c r="AC806" s="118"/>
      <c r="AD806" s="118"/>
      <c r="AE806" s="118"/>
      <c r="AF806" s="118"/>
      <c r="AG806" s="118"/>
      <c r="AH806" s="118"/>
      <c r="AI806" s="118"/>
      <c r="AJ806" s="118"/>
      <c r="AK806" s="118"/>
    </row>
    <row r="807" spans="1:37">
      <c r="A807" s="131"/>
      <c r="B807" s="131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  <c r="AA807" s="118"/>
      <c r="AB807" s="118"/>
      <c r="AC807" s="118"/>
      <c r="AD807" s="118"/>
      <c r="AE807" s="118"/>
      <c r="AF807" s="118"/>
      <c r="AG807" s="118"/>
      <c r="AH807" s="118"/>
      <c r="AI807" s="118"/>
      <c r="AJ807" s="118"/>
      <c r="AK807" s="118"/>
    </row>
    <row r="808" spans="1:37">
      <c r="A808" s="131"/>
      <c r="B808" s="131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  <c r="AA808" s="118"/>
      <c r="AB808" s="118"/>
      <c r="AC808" s="118"/>
      <c r="AD808" s="118"/>
      <c r="AE808" s="118"/>
      <c r="AF808" s="118"/>
      <c r="AG808" s="118"/>
      <c r="AH808" s="118"/>
      <c r="AI808" s="118"/>
      <c r="AJ808" s="118"/>
      <c r="AK808" s="118"/>
    </row>
    <row r="809" spans="1:37">
      <c r="A809" s="131"/>
      <c r="B809" s="131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  <c r="AA809" s="118"/>
      <c r="AB809" s="118"/>
      <c r="AC809" s="118"/>
      <c r="AD809" s="118"/>
      <c r="AE809" s="118"/>
      <c r="AF809" s="118"/>
      <c r="AG809" s="118"/>
      <c r="AH809" s="118"/>
      <c r="AI809" s="118"/>
      <c r="AJ809" s="118"/>
      <c r="AK809" s="118"/>
    </row>
    <row r="810" spans="1:37">
      <c r="A810" s="131"/>
      <c r="B810" s="131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  <c r="AA810" s="118"/>
      <c r="AB810" s="118"/>
      <c r="AC810" s="118"/>
      <c r="AD810" s="118"/>
      <c r="AE810" s="118"/>
      <c r="AF810" s="118"/>
      <c r="AG810" s="118"/>
      <c r="AH810" s="118"/>
      <c r="AI810" s="118"/>
      <c r="AJ810" s="118"/>
      <c r="AK810" s="118"/>
    </row>
    <row r="811" spans="1:37">
      <c r="A811" s="131"/>
      <c r="B811" s="131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  <c r="AA811" s="118"/>
      <c r="AB811" s="118"/>
      <c r="AC811" s="118"/>
      <c r="AD811" s="118"/>
      <c r="AE811" s="118"/>
      <c r="AF811" s="118"/>
      <c r="AG811" s="118"/>
      <c r="AH811" s="118"/>
      <c r="AI811" s="118"/>
      <c r="AJ811" s="118"/>
      <c r="AK811" s="118"/>
    </row>
    <row r="812" spans="1:37">
      <c r="A812" s="131"/>
      <c r="B812" s="131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  <c r="AA812" s="118"/>
      <c r="AB812" s="118"/>
      <c r="AC812" s="118"/>
      <c r="AD812" s="118"/>
      <c r="AE812" s="118"/>
      <c r="AF812" s="118"/>
      <c r="AG812" s="118"/>
      <c r="AH812" s="118"/>
      <c r="AI812" s="118"/>
      <c r="AJ812" s="118"/>
      <c r="AK812" s="118"/>
    </row>
    <row r="813" spans="1:37">
      <c r="A813" s="131"/>
      <c r="B813" s="131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  <c r="AA813" s="118"/>
      <c r="AB813" s="118"/>
      <c r="AC813" s="118"/>
      <c r="AD813" s="118"/>
      <c r="AE813" s="118"/>
      <c r="AF813" s="118"/>
      <c r="AG813" s="118"/>
      <c r="AH813" s="118"/>
      <c r="AI813" s="118"/>
      <c r="AJ813" s="118"/>
      <c r="AK813" s="118"/>
    </row>
    <row r="814" spans="1:37">
      <c r="A814" s="131"/>
      <c r="B814" s="131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  <c r="AA814" s="118"/>
      <c r="AB814" s="118"/>
      <c r="AC814" s="118"/>
      <c r="AD814" s="118"/>
      <c r="AE814" s="118"/>
      <c r="AF814" s="118"/>
      <c r="AG814" s="118"/>
      <c r="AH814" s="118"/>
      <c r="AI814" s="118"/>
      <c r="AJ814" s="118"/>
      <c r="AK814" s="118"/>
    </row>
    <row r="815" spans="1:37">
      <c r="A815" s="131"/>
      <c r="B815" s="131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  <c r="AA815" s="118"/>
      <c r="AB815" s="118"/>
      <c r="AC815" s="118"/>
      <c r="AD815" s="118"/>
      <c r="AE815" s="118"/>
      <c r="AF815" s="118"/>
      <c r="AG815" s="118"/>
      <c r="AH815" s="118"/>
      <c r="AI815" s="118"/>
      <c r="AJ815" s="118"/>
      <c r="AK815" s="118"/>
    </row>
    <row r="816" spans="1:37">
      <c r="A816" s="131"/>
      <c r="B816" s="131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  <c r="AA816" s="118"/>
      <c r="AB816" s="118"/>
      <c r="AC816" s="118"/>
      <c r="AD816" s="118"/>
      <c r="AE816" s="118"/>
      <c r="AF816" s="118"/>
      <c r="AG816" s="118"/>
      <c r="AH816" s="118"/>
      <c r="AI816" s="118"/>
      <c r="AJ816" s="118"/>
      <c r="AK816" s="118"/>
    </row>
    <row r="817" spans="1:37">
      <c r="A817" s="131"/>
      <c r="B817" s="131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  <c r="AA817" s="118"/>
      <c r="AB817" s="118"/>
      <c r="AC817" s="118"/>
      <c r="AD817" s="118"/>
      <c r="AE817" s="118"/>
      <c r="AF817" s="118"/>
      <c r="AG817" s="118"/>
      <c r="AH817" s="118"/>
      <c r="AI817" s="118"/>
      <c r="AJ817" s="118"/>
      <c r="AK817" s="118"/>
    </row>
    <row r="818" spans="1:37">
      <c r="A818" s="131"/>
      <c r="B818" s="131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  <c r="AA818" s="118"/>
      <c r="AB818" s="118"/>
      <c r="AC818" s="118"/>
      <c r="AD818" s="118"/>
      <c r="AE818" s="118"/>
      <c r="AF818" s="118"/>
      <c r="AG818" s="118"/>
      <c r="AH818" s="118"/>
      <c r="AI818" s="118"/>
      <c r="AJ818" s="118"/>
      <c r="AK818" s="118"/>
    </row>
    <row r="819" spans="1:37">
      <c r="A819" s="131"/>
      <c r="B819" s="131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  <c r="AA819" s="118"/>
      <c r="AB819" s="118"/>
      <c r="AC819" s="118"/>
      <c r="AD819" s="118"/>
      <c r="AE819" s="118"/>
      <c r="AF819" s="118"/>
      <c r="AG819" s="118"/>
      <c r="AH819" s="118"/>
      <c r="AI819" s="118"/>
      <c r="AJ819" s="118"/>
      <c r="AK819" s="118"/>
    </row>
    <row r="820" spans="1:37">
      <c r="A820" s="131"/>
      <c r="B820" s="131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  <c r="AA820" s="118"/>
      <c r="AB820" s="118"/>
      <c r="AC820" s="118"/>
      <c r="AD820" s="118"/>
      <c r="AE820" s="118"/>
      <c r="AF820" s="118"/>
      <c r="AG820" s="118"/>
      <c r="AH820" s="118"/>
      <c r="AI820" s="118"/>
      <c r="AJ820" s="118"/>
      <c r="AK820" s="118"/>
    </row>
    <row r="821" spans="1:37">
      <c r="A821" s="131"/>
      <c r="B821" s="131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  <c r="AA821" s="118"/>
      <c r="AB821" s="118"/>
      <c r="AC821" s="118"/>
      <c r="AD821" s="118"/>
      <c r="AE821" s="118"/>
      <c r="AF821" s="118"/>
      <c r="AG821" s="118"/>
      <c r="AH821" s="118"/>
      <c r="AI821" s="118"/>
      <c r="AJ821" s="118"/>
      <c r="AK821" s="118"/>
    </row>
    <row r="822" spans="1:37">
      <c r="A822" s="131"/>
      <c r="B822" s="131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</row>
    <row r="823" spans="1:37">
      <c r="A823" s="131"/>
      <c r="B823" s="131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  <c r="AA823" s="118"/>
      <c r="AB823" s="118"/>
      <c r="AC823" s="118"/>
      <c r="AD823" s="118"/>
      <c r="AE823" s="118"/>
      <c r="AF823" s="118"/>
      <c r="AG823" s="118"/>
      <c r="AH823" s="118"/>
      <c r="AI823" s="118"/>
      <c r="AJ823" s="118"/>
      <c r="AK823" s="118"/>
    </row>
    <row r="824" spans="1:37">
      <c r="A824" s="131"/>
      <c r="B824" s="131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  <c r="AA824" s="118"/>
      <c r="AB824" s="118"/>
      <c r="AC824" s="118"/>
      <c r="AD824" s="118"/>
      <c r="AE824" s="118"/>
      <c r="AF824" s="118"/>
      <c r="AG824" s="118"/>
      <c r="AH824" s="118"/>
      <c r="AI824" s="118"/>
      <c r="AJ824" s="118"/>
      <c r="AK824" s="118"/>
    </row>
    <row r="825" spans="1:37">
      <c r="A825" s="131"/>
      <c r="B825" s="131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  <c r="AA825" s="118"/>
      <c r="AB825" s="118"/>
      <c r="AC825" s="118"/>
      <c r="AD825" s="118"/>
      <c r="AE825" s="118"/>
      <c r="AF825" s="118"/>
      <c r="AG825" s="118"/>
      <c r="AH825" s="118"/>
      <c r="AI825" s="118"/>
      <c r="AJ825" s="118"/>
      <c r="AK825" s="118"/>
    </row>
    <row r="826" spans="1:37">
      <c r="A826" s="131"/>
      <c r="B826" s="131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  <c r="AA826" s="118"/>
      <c r="AB826" s="118"/>
      <c r="AC826" s="118"/>
      <c r="AD826" s="118"/>
      <c r="AE826" s="118"/>
      <c r="AF826" s="118"/>
      <c r="AG826" s="118"/>
      <c r="AH826" s="118"/>
      <c r="AI826" s="118"/>
      <c r="AJ826" s="118"/>
      <c r="AK826" s="118"/>
    </row>
    <row r="827" spans="1:37">
      <c r="A827" s="131"/>
      <c r="B827" s="131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  <c r="AA827" s="118"/>
      <c r="AB827" s="118"/>
      <c r="AC827" s="118"/>
      <c r="AD827" s="118"/>
      <c r="AE827" s="118"/>
      <c r="AF827" s="118"/>
      <c r="AG827" s="118"/>
      <c r="AH827" s="118"/>
      <c r="AI827" s="118"/>
      <c r="AJ827" s="118"/>
      <c r="AK827" s="118"/>
    </row>
    <row r="828" spans="1:37">
      <c r="A828" s="131"/>
      <c r="B828" s="131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  <c r="AA828" s="118"/>
      <c r="AB828" s="118"/>
      <c r="AC828" s="118"/>
      <c r="AD828" s="118"/>
      <c r="AE828" s="118"/>
      <c r="AF828" s="118"/>
      <c r="AG828" s="118"/>
      <c r="AH828" s="118"/>
      <c r="AI828" s="118"/>
      <c r="AJ828" s="118"/>
      <c r="AK828" s="118"/>
    </row>
    <row r="829" spans="1:37">
      <c r="A829" s="131"/>
      <c r="B829" s="131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  <c r="AA829" s="118"/>
      <c r="AB829" s="118"/>
      <c r="AC829" s="118"/>
      <c r="AD829" s="118"/>
      <c r="AE829" s="118"/>
      <c r="AF829" s="118"/>
      <c r="AG829" s="118"/>
      <c r="AH829" s="118"/>
      <c r="AI829" s="118"/>
      <c r="AJ829" s="118"/>
      <c r="AK829" s="118"/>
    </row>
    <row r="830" spans="1:37">
      <c r="A830" s="131"/>
      <c r="B830" s="131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  <c r="AA830" s="118"/>
      <c r="AB830" s="118"/>
      <c r="AC830" s="118"/>
      <c r="AD830" s="118"/>
      <c r="AE830" s="118"/>
      <c r="AF830" s="118"/>
      <c r="AG830" s="118"/>
      <c r="AH830" s="118"/>
      <c r="AI830" s="118"/>
      <c r="AJ830" s="118"/>
      <c r="AK830" s="118"/>
    </row>
    <row r="831" spans="1:37">
      <c r="A831" s="131"/>
      <c r="B831" s="131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  <c r="AA831" s="118"/>
      <c r="AB831" s="118"/>
      <c r="AC831" s="118"/>
      <c r="AD831" s="118"/>
      <c r="AE831" s="118"/>
      <c r="AF831" s="118"/>
      <c r="AG831" s="118"/>
      <c r="AH831" s="118"/>
      <c r="AI831" s="118"/>
      <c r="AJ831" s="118"/>
      <c r="AK831" s="118"/>
    </row>
    <row r="832" spans="1:37">
      <c r="A832" s="131"/>
      <c r="B832" s="131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  <c r="AA832" s="118"/>
      <c r="AB832" s="118"/>
      <c r="AC832" s="118"/>
      <c r="AD832" s="118"/>
      <c r="AE832" s="118"/>
      <c r="AF832" s="118"/>
      <c r="AG832" s="118"/>
      <c r="AH832" s="118"/>
      <c r="AI832" s="118"/>
      <c r="AJ832" s="118"/>
      <c r="AK832" s="118"/>
    </row>
    <row r="833" spans="1:37">
      <c r="A833" s="131"/>
      <c r="B833" s="131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  <c r="AA833" s="118"/>
      <c r="AB833" s="118"/>
      <c r="AC833" s="118"/>
      <c r="AD833" s="118"/>
      <c r="AE833" s="118"/>
      <c r="AF833" s="118"/>
      <c r="AG833" s="118"/>
      <c r="AH833" s="118"/>
      <c r="AI833" s="118"/>
      <c r="AJ833" s="118"/>
      <c r="AK833" s="118"/>
    </row>
    <row r="834" spans="1:37">
      <c r="A834" s="131"/>
      <c r="B834" s="131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  <c r="AA834" s="118"/>
      <c r="AB834" s="118"/>
      <c r="AC834" s="118"/>
      <c r="AD834" s="118"/>
      <c r="AE834" s="118"/>
      <c r="AF834" s="118"/>
      <c r="AG834" s="118"/>
      <c r="AH834" s="118"/>
      <c r="AI834" s="118"/>
      <c r="AJ834" s="118"/>
      <c r="AK834" s="118"/>
    </row>
    <row r="835" spans="1:37">
      <c r="A835" s="131"/>
      <c r="B835" s="131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  <c r="AA835" s="118"/>
      <c r="AB835" s="118"/>
      <c r="AC835" s="118"/>
      <c r="AD835" s="118"/>
      <c r="AE835" s="118"/>
      <c r="AF835" s="118"/>
      <c r="AG835" s="118"/>
      <c r="AH835" s="118"/>
      <c r="AI835" s="118"/>
      <c r="AJ835" s="118"/>
      <c r="AK835" s="118"/>
    </row>
    <row r="836" spans="1:37">
      <c r="A836" s="131"/>
      <c r="B836" s="131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  <c r="AA836" s="118"/>
      <c r="AB836" s="118"/>
      <c r="AC836" s="118"/>
      <c r="AD836" s="118"/>
      <c r="AE836" s="118"/>
      <c r="AF836" s="118"/>
      <c r="AG836" s="118"/>
      <c r="AH836" s="118"/>
      <c r="AI836" s="118"/>
      <c r="AJ836" s="118"/>
      <c r="AK836" s="118"/>
    </row>
    <row r="837" spans="1:37">
      <c r="A837" s="131"/>
      <c r="B837" s="131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  <c r="AA837" s="118"/>
      <c r="AB837" s="118"/>
      <c r="AC837" s="118"/>
      <c r="AD837" s="118"/>
      <c r="AE837" s="118"/>
      <c r="AF837" s="118"/>
      <c r="AG837" s="118"/>
      <c r="AH837" s="118"/>
      <c r="AI837" s="118"/>
      <c r="AJ837" s="118"/>
      <c r="AK837" s="118"/>
    </row>
    <row r="838" spans="1:37">
      <c r="A838" s="131"/>
      <c r="B838" s="131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  <c r="AA838" s="118"/>
      <c r="AB838" s="118"/>
      <c r="AC838" s="118"/>
      <c r="AD838" s="118"/>
      <c r="AE838" s="118"/>
      <c r="AF838" s="118"/>
      <c r="AG838" s="118"/>
      <c r="AH838" s="118"/>
      <c r="AI838" s="118"/>
      <c r="AJ838" s="118"/>
      <c r="AK838" s="118"/>
    </row>
    <row r="839" spans="1:37">
      <c r="A839" s="131"/>
      <c r="B839" s="131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  <c r="AA839" s="118"/>
      <c r="AB839" s="118"/>
      <c r="AC839" s="118"/>
      <c r="AD839" s="118"/>
      <c r="AE839" s="118"/>
      <c r="AF839" s="118"/>
      <c r="AG839" s="118"/>
      <c r="AH839" s="118"/>
      <c r="AI839" s="118"/>
      <c r="AJ839" s="118"/>
      <c r="AK839" s="118"/>
    </row>
    <row r="840" spans="1:37">
      <c r="A840" s="131"/>
      <c r="B840" s="131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  <c r="AA840" s="118"/>
      <c r="AB840" s="118"/>
      <c r="AC840" s="118"/>
      <c r="AD840" s="118"/>
      <c r="AE840" s="118"/>
      <c r="AF840" s="118"/>
      <c r="AG840" s="118"/>
      <c r="AH840" s="118"/>
      <c r="AI840" s="118"/>
      <c r="AJ840" s="118"/>
      <c r="AK840" s="118"/>
    </row>
    <row r="841" spans="1:37">
      <c r="A841" s="131"/>
      <c r="B841" s="131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  <c r="AA841" s="118"/>
      <c r="AB841" s="118"/>
      <c r="AC841" s="118"/>
      <c r="AD841" s="118"/>
      <c r="AE841" s="118"/>
      <c r="AF841" s="118"/>
      <c r="AG841" s="118"/>
      <c r="AH841" s="118"/>
      <c r="AI841" s="118"/>
      <c r="AJ841" s="118"/>
      <c r="AK841" s="118"/>
    </row>
    <row r="842" spans="1:37">
      <c r="A842" s="131"/>
      <c r="B842" s="131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  <c r="AA842" s="118"/>
      <c r="AB842" s="118"/>
      <c r="AC842" s="118"/>
      <c r="AD842" s="118"/>
      <c r="AE842" s="118"/>
      <c r="AF842" s="118"/>
      <c r="AG842" s="118"/>
      <c r="AH842" s="118"/>
      <c r="AI842" s="118"/>
      <c r="AJ842" s="118"/>
      <c r="AK842" s="118"/>
    </row>
    <row r="843" spans="1:37">
      <c r="A843" s="131"/>
      <c r="B843" s="131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  <c r="AA843" s="118"/>
      <c r="AB843" s="118"/>
      <c r="AC843" s="118"/>
      <c r="AD843" s="118"/>
      <c r="AE843" s="118"/>
      <c r="AF843" s="118"/>
      <c r="AG843" s="118"/>
      <c r="AH843" s="118"/>
      <c r="AI843" s="118"/>
      <c r="AJ843" s="118"/>
      <c r="AK843" s="118"/>
    </row>
    <row r="844" spans="1:37">
      <c r="A844" s="131"/>
      <c r="B844" s="131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  <c r="AA844" s="118"/>
      <c r="AB844" s="118"/>
      <c r="AC844" s="118"/>
      <c r="AD844" s="118"/>
      <c r="AE844" s="118"/>
      <c r="AF844" s="118"/>
      <c r="AG844" s="118"/>
      <c r="AH844" s="118"/>
      <c r="AI844" s="118"/>
      <c r="AJ844" s="118"/>
      <c r="AK844" s="118"/>
    </row>
    <row r="845" spans="1:37">
      <c r="A845" s="131"/>
      <c r="B845" s="131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  <c r="AA845" s="118"/>
      <c r="AB845" s="118"/>
      <c r="AC845" s="118"/>
      <c r="AD845" s="118"/>
      <c r="AE845" s="118"/>
      <c r="AF845" s="118"/>
      <c r="AG845" s="118"/>
      <c r="AH845" s="118"/>
      <c r="AI845" s="118"/>
      <c r="AJ845" s="118"/>
      <c r="AK845" s="118"/>
    </row>
    <row r="846" spans="1:37">
      <c r="A846" s="131"/>
      <c r="B846" s="131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  <c r="AA846" s="118"/>
      <c r="AB846" s="118"/>
      <c r="AC846" s="118"/>
      <c r="AD846" s="118"/>
      <c r="AE846" s="118"/>
      <c r="AF846" s="118"/>
      <c r="AG846" s="118"/>
      <c r="AH846" s="118"/>
      <c r="AI846" s="118"/>
      <c r="AJ846" s="118"/>
      <c r="AK846" s="118"/>
    </row>
    <row r="847" spans="1:37">
      <c r="A847" s="131"/>
      <c r="B847" s="131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  <c r="AA847" s="118"/>
      <c r="AB847" s="118"/>
      <c r="AC847" s="118"/>
      <c r="AD847" s="118"/>
      <c r="AE847" s="118"/>
      <c r="AF847" s="118"/>
      <c r="AG847" s="118"/>
      <c r="AH847" s="118"/>
      <c r="AI847" s="118"/>
      <c r="AJ847" s="118"/>
      <c r="AK847" s="118"/>
    </row>
    <row r="848" spans="1:37">
      <c r="A848" s="131"/>
      <c r="B848" s="131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  <c r="AA848" s="118"/>
      <c r="AB848" s="118"/>
      <c r="AC848" s="118"/>
      <c r="AD848" s="118"/>
      <c r="AE848" s="118"/>
      <c r="AF848" s="118"/>
      <c r="AG848" s="118"/>
      <c r="AH848" s="118"/>
      <c r="AI848" s="118"/>
      <c r="AJ848" s="118"/>
      <c r="AK848" s="118"/>
    </row>
    <row r="849" spans="1:37">
      <c r="A849" s="131"/>
      <c r="B849" s="131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  <c r="AA849" s="118"/>
      <c r="AB849" s="118"/>
      <c r="AC849" s="118"/>
      <c r="AD849" s="118"/>
      <c r="AE849" s="118"/>
      <c r="AF849" s="118"/>
      <c r="AG849" s="118"/>
      <c r="AH849" s="118"/>
      <c r="AI849" s="118"/>
      <c r="AJ849" s="118"/>
      <c r="AK849" s="118"/>
    </row>
    <row r="850" spans="1:37">
      <c r="A850" s="131"/>
      <c r="B850" s="131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  <c r="AA850" s="118"/>
      <c r="AB850" s="118"/>
      <c r="AC850" s="118"/>
      <c r="AD850" s="118"/>
      <c r="AE850" s="118"/>
      <c r="AF850" s="118"/>
      <c r="AG850" s="118"/>
      <c r="AH850" s="118"/>
      <c r="AI850" s="118"/>
      <c r="AJ850" s="118"/>
      <c r="AK850" s="118"/>
    </row>
    <row r="851" spans="1:37">
      <c r="A851" s="131"/>
      <c r="B851" s="131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  <c r="AA851" s="118"/>
      <c r="AB851" s="118"/>
      <c r="AC851" s="118"/>
      <c r="AD851" s="118"/>
      <c r="AE851" s="118"/>
      <c r="AF851" s="118"/>
      <c r="AG851" s="118"/>
      <c r="AH851" s="118"/>
      <c r="AI851" s="118"/>
      <c r="AJ851" s="118"/>
      <c r="AK851" s="118"/>
    </row>
    <row r="852" spans="1:37">
      <c r="A852" s="131"/>
      <c r="B852" s="131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  <c r="AA852" s="118"/>
      <c r="AB852" s="118"/>
      <c r="AC852" s="118"/>
      <c r="AD852" s="118"/>
      <c r="AE852" s="118"/>
      <c r="AF852" s="118"/>
      <c r="AG852" s="118"/>
      <c r="AH852" s="118"/>
      <c r="AI852" s="118"/>
      <c r="AJ852" s="118"/>
      <c r="AK852" s="118"/>
    </row>
    <row r="853" spans="1:37">
      <c r="A853" s="131"/>
      <c r="B853" s="131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  <c r="AA853" s="118"/>
      <c r="AB853" s="118"/>
      <c r="AC853" s="118"/>
      <c r="AD853" s="118"/>
      <c r="AE853" s="118"/>
      <c r="AF853" s="118"/>
      <c r="AG853" s="118"/>
      <c r="AH853" s="118"/>
      <c r="AI853" s="118"/>
      <c r="AJ853" s="118"/>
      <c r="AK853" s="118"/>
    </row>
    <row r="854" spans="1:37">
      <c r="A854" s="131"/>
      <c r="B854" s="131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  <c r="AA854" s="118"/>
      <c r="AB854" s="118"/>
      <c r="AC854" s="118"/>
      <c r="AD854" s="118"/>
      <c r="AE854" s="118"/>
      <c r="AF854" s="118"/>
      <c r="AG854" s="118"/>
      <c r="AH854" s="118"/>
      <c r="AI854" s="118"/>
      <c r="AJ854" s="118"/>
      <c r="AK854" s="118"/>
    </row>
    <row r="855" spans="1:37">
      <c r="A855" s="131"/>
      <c r="B855" s="131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  <c r="AA855" s="118"/>
      <c r="AB855" s="118"/>
      <c r="AC855" s="118"/>
      <c r="AD855" s="118"/>
      <c r="AE855" s="118"/>
      <c r="AF855" s="118"/>
      <c r="AG855" s="118"/>
      <c r="AH855" s="118"/>
      <c r="AI855" s="118"/>
      <c r="AJ855" s="118"/>
      <c r="AK855" s="118"/>
    </row>
    <row r="856" spans="1:37">
      <c r="A856" s="131"/>
      <c r="B856" s="131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  <c r="AA856" s="118"/>
      <c r="AB856" s="118"/>
      <c r="AC856" s="118"/>
      <c r="AD856" s="118"/>
      <c r="AE856" s="118"/>
      <c r="AF856" s="118"/>
      <c r="AG856" s="118"/>
      <c r="AH856" s="118"/>
      <c r="AI856" s="118"/>
      <c r="AJ856" s="118"/>
      <c r="AK856" s="118"/>
    </row>
    <row r="857" spans="1:37">
      <c r="A857" s="131"/>
      <c r="B857" s="131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  <c r="AA857" s="118"/>
      <c r="AB857" s="118"/>
      <c r="AC857" s="118"/>
      <c r="AD857" s="118"/>
      <c r="AE857" s="118"/>
      <c r="AF857" s="118"/>
      <c r="AG857" s="118"/>
      <c r="AH857" s="118"/>
      <c r="AI857" s="118"/>
      <c r="AJ857" s="118"/>
      <c r="AK857" s="118"/>
    </row>
    <row r="858" spans="1:37">
      <c r="A858" s="131"/>
      <c r="B858" s="131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  <c r="AA858" s="118"/>
      <c r="AB858" s="118"/>
      <c r="AC858" s="118"/>
      <c r="AD858" s="118"/>
      <c r="AE858" s="118"/>
      <c r="AF858" s="118"/>
      <c r="AG858" s="118"/>
      <c r="AH858" s="118"/>
      <c r="AI858" s="118"/>
      <c r="AJ858" s="118"/>
      <c r="AK858" s="118"/>
    </row>
    <row r="859" spans="1:37">
      <c r="A859" s="131"/>
      <c r="B859" s="131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  <c r="AA859" s="118"/>
      <c r="AB859" s="118"/>
      <c r="AC859" s="118"/>
      <c r="AD859" s="118"/>
      <c r="AE859" s="118"/>
      <c r="AF859" s="118"/>
      <c r="AG859" s="118"/>
      <c r="AH859" s="118"/>
      <c r="AI859" s="118"/>
      <c r="AJ859" s="118"/>
      <c r="AK859" s="118"/>
    </row>
    <row r="860" spans="1:37">
      <c r="A860" s="131"/>
      <c r="B860" s="131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</row>
    <row r="861" spans="1:37">
      <c r="A861" s="131"/>
      <c r="B861" s="131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  <c r="AA861" s="118"/>
      <c r="AB861" s="118"/>
      <c r="AC861" s="118"/>
      <c r="AD861" s="118"/>
      <c r="AE861" s="118"/>
      <c r="AF861" s="118"/>
      <c r="AG861" s="118"/>
      <c r="AH861" s="118"/>
      <c r="AI861" s="118"/>
      <c r="AJ861" s="118"/>
      <c r="AK861" s="118"/>
    </row>
    <row r="862" spans="1:37">
      <c r="A862" s="131"/>
      <c r="B862" s="131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  <c r="AA862" s="118"/>
      <c r="AB862" s="118"/>
      <c r="AC862" s="118"/>
      <c r="AD862" s="118"/>
      <c r="AE862" s="118"/>
      <c r="AF862" s="118"/>
      <c r="AG862" s="118"/>
      <c r="AH862" s="118"/>
      <c r="AI862" s="118"/>
      <c r="AJ862" s="118"/>
      <c r="AK862" s="118"/>
    </row>
    <row r="863" spans="1:37">
      <c r="A863" s="131"/>
      <c r="B863" s="131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  <c r="AA863" s="118"/>
      <c r="AB863" s="118"/>
      <c r="AC863" s="118"/>
      <c r="AD863" s="118"/>
      <c r="AE863" s="118"/>
      <c r="AF863" s="118"/>
      <c r="AG863" s="118"/>
      <c r="AH863" s="118"/>
      <c r="AI863" s="118"/>
      <c r="AJ863" s="118"/>
      <c r="AK863" s="118"/>
    </row>
    <row r="864" spans="1:37">
      <c r="A864" s="131"/>
      <c r="B864" s="131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  <c r="AA864" s="118"/>
      <c r="AB864" s="118"/>
      <c r="AC864" s="118"/>
      <c r="AD864" s="118"/>
      <c r="AE864" s="118"/>
      <c r="AF864" s="118"/>
      <c r="AG864" s="118"/>
      <c r="AH864" s="118"/>
      <c r="AI864" s="118"/>
      <c r="AJ864" s="118"/>
      <c r="AK864" s="118"/>
    </row>
    <row r="865" spans="1:37">
      <c r="A865" s="131"/>
      <c r="B865" s="131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  <c r="AA865" s="118"/>
      <c r="AB865" s="118"/>
      <c r="AC865" s="118"/>
      <c r="AD865" s="118"/>
      <c r="AE865" s="118"/>
      <c r="AF865" s="118"/>
      <c r="AG865" s="118"/>
      <c r="AH865" s="118"/>
      <c r="AI865" s="118"/>
      <c r="AJ865" s="118"/>
      <c r="AK865" s="118"/>
    </row>
    <row r="866" spans="1:37">
      <c r="A866" s="131"/>
      <c r="B866" s="131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  <c r="AA866" s="118"/>
      <c r="AB866" s="118"/>
      <c r="AC866" s="118"/>
      <c r="AD866" s="118"/>
      <c r="AE866" s="118"/>
      <c r="AF866" s="118"/>
      <c r="AG866" s="118"/>
      <c r="AH866" s="118"/>
      <c r="AI866" s="118"/>
      <c r="AJ866" s="118"/>
      <c r="AK866" s="118"/>
    </row>
    <row r="867" spans="1:37">
      <c r="A867" s="131"/>
      <c r="B867" s="131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  <c r="AA867" s="118"/>
      <c r="AB867" s="118"/>
      <c r="AC867" s="118"/>
      <c r="AD867" s="118"/>
      <c r="AE867" s="118"/>
      <c r="AF867" s="118"/>
      <c r="AG867" s="118"/>
      <c r="AH867" s="118"/>
      <c r="AI867" s="118"/>
      <c r="AJ867" s="118"/>
      <c r="AK867" s="118"/>
    </row>
    <row r="868" spans="1:37">
      <c r="A868" s="131"/>
      <c r="B868" s="131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  <c r="AA868" s="118"/>
      <c r="AB868" s="118"/>
      <c r="AC868" s="118"/>
      <c r="AD868" s="118"/>
      <c r="AE868" s="118"/>
      <c r="AF868" s="118"/>
      <c r="AG868" s="118"/>
      <c r="AH868" s="118"/>
      <c r="AI868" s="118"/>
      <c r="AJ868" s="118"/>
      <c r="AK868" s="118"/>
    </row>
    <row r="869" spans="1:37">
      <c r="A869" s="131"/>
      <c r="B869" s="131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  <c r="AA869" s="118"/>
      <c r="AB869" s="118"/>
      <c r="AC869" s="118"/>
      <c r="AD869" s="118"/>
      <c r="AE869" s="118"/>
      <c r="AF869" s="118"/>
      <c r="AG869" s="118"/>
      <c r="AH869" s="118"/>
      <c r="AI869" s="118"/>
      <c r="AJ869" s="118"/>
      <c r="AK869" s="118"/>
    </row>
    <row r="870" spans="1:37">
      <c r="A870" s="131"/>
      <c r="B870" s="131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  <c r="AA870" s="118"/>
      <c r="AB870" s="118"/>
      <c r="AC870" s="118"/>
      <c r="AD870" s="118"/>
      <c r="AE870" s="118"/>
      <c r="AF870" s="118"/>
      <c r="AG870" s="118"/>
      <c r="AH870" s="118"/>
      <c r="AI870" s="118"/>
      <c r="AJ870" s="118"/>
      <c r="AK870" s="118"/>
    </row>
    <row r="871" spans="1:37">
      <c r="A871" s="131"/>
      <c r="B871" s="131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  <c r="AA871" s="118"/>
      <c r="AB871" s="118"/>
      <c r="AC871" s="118"/>
      <c r="AD871" s="118"/>
      <c r="AE871" s="118"/>
      <c r="AF871" s="118"/>
      <c r="AG871" s="118"/>
      <c r="AH871" s="118"/>
      <c r="AI871" s="118"/>
      <c r="AJ871" s="118"/>
      <c r="AK871" s="118"/>
    </row>
    <row r="872" spans="1:37">
      <c r="A872" s="131"/>
      <c r="B872" s="131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  <c r="AA872" s="118"/>
      <c r="AB872" s="118"/>
      <c r="AC872" s="118"/>
      <c r="AD872" s="118"/>
      <c r="AE872" s="118"/>
      <c r="AF872" s="118"/>
      <c r="AG872" s="118"/>
      <c r="AH872" s="118"/>
      <c r="AI872" s="118"/>
      <c r="AJ872" s="118"/>
      <c r="AK872" s="118"/>
    </row>
    <row r="873" spans="1:37">
      <c r="A873" s="131"/>
      <c r="B873" s="131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  <c r="AA873" s="118"/>
      <c r="AB873" s="118"/>
      <c r="AC873" s="118"/>
      <c r="AD873" s="118"/>
      <c r="AE873" s="118"/>
      <c r="AF873" s="118"/>
      <c r="AG873" s="118"/>
      <c r="AH873" s="118"/>
      <c r="AI873" s="118"/>
      <c r="AJ873" s="118"/>
      <c r="AK873" s="118"/>
    </row>
    <row r="874" spans="1:37">
      <c r="A874" s="131"/>
      <c r="B874" s="131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  <c r="AA874" s="118"/>
      <c r="AB874" s="118"/>
      <c r="AC874" s="118"/>
      <c r="AD874" s="118"/>
      <c r="AE874" s="118"/>
      <c r="AF874" s="118"/>
      <c r="AG874" s="118"/>
      <c r="AH874" s="118"/>
      <c r="AI874" s="118"/>
      <c r="AJ874" s="118"/>
      <c r="AK874" s="118"/>
    </row>
    <row r="875" spans="1:37">
      <c r="A875" s="131"/>
      <c r="B875" s="131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  <c r="AA875" s="118"/>
      <c r="AB875" s="118"/>
      <c r="AC875" s="118"/>
      <c r="AD875" s="118"/>
      <c r="AE875" s="118"/>
      <c r="AF875" s="118"/>
      <c r="AG875" s="118"/>
      <c r="AH875" s="118"/>
      <c r="AI875" s="118"/>
      <c r="AJ875" s="118"/>
      <c r="AK875" s="118"/>
    </row>
    <row r="876" spans="1:37">
      <c r="A876" s="131"/>
      <c r="B876" s="131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  <c r="AA876" s="118"/>
      <c r="AB876" s="118"/>
      <c r="AC876" s="118"/>
      <c r="AD876" s="118"/>
      <c r="AE876" s="118"/>
      <c r="AF876" s="118"/>
      <c r="AG876" s="118"/>
      <c r="AH876" s="118"/>
      <c r="AI876" s="118"/>
      <c r="AJ876" s="118"/>
      <c r="AK876" s="118"/>
    </row>
    <row r="877" spans="1:37">
      <c r="A877" s="131"/>
      <c r="B877" s="131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  <c r="AA877" s="118"/>
      <c r="AB877" s="118"/>
      <c r="AC877" s="118"/>
      <c r="AD877" s="118"/>
      <c r="AE877" s="118"/>
      <c r="AF877" s="118"/>
      <c r="AG877" s="118"/>
      <c r="AH877" s="118"/>
      <c r="AI877" s="118"/>
      <c r="AJ877" s="118"/>
      <c r="AK877" s="118"/>
    </row>
    <row r="878" spans="1:37">
      <c r="A878" s="131"/>
      <c r="B878" s="131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  <c r="AA878" s="118"/>
      <c r="AB878" s="118"/>
      <c r="AC878" s="118"/>
      <c r="AD878" s="118"/>
      <c r="AE878" s="118"/>
      <c r="AF878" s="118"/>
      <c r="AG878" s="118"/>
      <c r="AH878" s="118"/>
      <c r="AI878" s="118"/>
      <c r="AJ878" s="118"/>
      <c r="AK878" s="118"/>
    </row>
    <row r="879" spans="1:37">
      <c r="A879" s="131"/>
      <c r="B879" s="131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  <c r="AA879" s="118"/>
      <c r="AB879" s="118"/>
      <c r="AC879" s="118"/>
      <c r="AD879" s="118"/>
      <c r="AE879" s="118"/>
      <c r="AF879" s="118"/>
      <c r="AG879" s="118"/>
      <c r="AH879" s="118"/>
      <c r="AI879" s="118"/>
      <c r="AJ879" s="118"/>
      <c r="AK879" s="118"/>
    </row>
    <row r="880" spans="1:37">
      <c r="A880" s="131"/>
      <c r="B880" s="131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  <c r="AA880" s="118"/>
      <c r="AB880" s="118"/>
      <c r="AC880" s="118"/>
      <c r="AD880" s="118"/>
      <c r="AE880" s="118"/>
      <c r="AF880" s="118"/>
      <c r="AG880" s="118"/>
      <c r="AH880" s="118"/>
      <c r="AI880" s="118"/>
      <c r="AJ880" s="118"/>
      <c r="AK880" s="118"/>
    </row>
    <row r="881" spans="1:37">
      <c r="A881" s="131"/>
      <c r="B881" s="131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  <c r="AA881" s="118"/>
      <c r="AB881" s="118"/>
      <c r="AC881" s="118"/>
      <c r="AD881" s="118"/>
      <c r="AE881" s="118"/>
      <c r="AF881" s="118"/>
      <c r="AG881" s="118"/>
      <c r="AH881" s="118"/>
      <c r="AI881" s="118"/>
      <c r="AJ881" s="118"/>
      <c r="AK881" s="118"/>
    </row>
    <row r="882" spans="1:37">
      <c r="A882" s="131"/>
      <c r="B882" s="131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  <c r="AA882" s="118"/>
      <c r="AB882" s="118"/>
      <c r="AC882" s="118"/>
      <c r="AD882" s="118"/>
      <c r="AE882" s="118"/>
      <c r="AF882" s="118"/>
      <c r="AG882" s="118"/>
      <c r="AH882" s="118"/>
      <c r="AI882" s="118"/>
      <c r="AJ882" s="118"/>
      <c r="AK882" s="118"/>
    </row>
    <row r="883" spans="1:37">
      <c r="A883" s="131"/>
      <c r="B883" s="131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  <c r="AA883" s="118"/>
      <c r="AB883" s="118"/>
      <c r="AC883" s="118"/>
      <c r="AD883" s="118"/>
      <c r="AE883" s="118"/>
      <c r="AF883" s="118"/>
      <c r="AG883" s="118"/>
      <c r="AH883" s="118"/>
      <c r="AI883" s="118"/>
      <c r="AJ883" s="118"/>
      <c r="AK883" s="118"/>
    </row>
    <row r="884" spans="1:37">
      <c r="A884" s="131"/>
      <c r="B884" s="131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  <c r="AA884" s="118"/>
      <c r="AB884" s="118"/>
      <c r="AC884" s="118"/>
      <c r="AD884" s="118"/>
      <c r="AE884" s="118"/>
      <c r="AF884" s="118"/>
      <c r="AG884" s="118"/>
      <c r="AH884" s="118"/>
      <c r="AI884" s="118"/>
      <c r="AJ884" s="118"/>
      <c r="AK884" s="118"/>
    </row>
    <row r="885" spans="1:37">
      <c r="A885" s="131"/>
      <c r="B885" s="131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  <c r="AA885" s="118"/>
      <c r="AB885" s="118"/>
      <c r="AC885" s="118"/>
      <c r="AD885" s="118"/>
      <c r="AE885" s="118"/>
      <c r="AF885" s="118"/>
      <c r="AG885" s="118"/>
      <c r="AH885" s="118"/>
      <c r="AI885" s="118"/>
      <c r="AJ885" s="118"/>
      <c r="AK885" s="118"/>
    </row>
    <row r="886" spans="1:37">
      <c r="A886" s="131"/>
      <c r="B886" s="131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  <c r="AA886" s="118"/>
      <c r="AB886" s="118"/>
      <c r="AC886" s="118"/>
      <c r="AD886" s="118"/>
      <c r="AE886" s="118"/>
      <c r="AF886" s="118"/>
      <c r="AG886" s="118"/>
      <c r="AH886" s="118"/>
      <c r="AI886" s="118"/>
      <c r="AJ886" s="118"/>
      <c r="AK886" s="118"/>
    </row>
    <row r="887" spans="1:37">
      <c r="A887" s="131"/>
      <c r="B887" s="131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  <c r="AA887" s="118"/>
      <c r="AB887" s="118"/>
      <c r="AC887" s="118"/>
      <c r="AD887" s="118"/>
      <c r="AE887" s="118"/>
      <c r="AF887" s="118"/>
      <c r="AG887" s="118"/>
      <c r="AH887" s="118"/>
      <c r="AI887" s="118"/>
      <c r="AJ887" s="118"/>
      <c r="AK887" s="118"/>
    </row>
    <row r="888" spans="1:37">
      <c r="A888" s="131"/>
      <c r="B888" s="131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  <c r="AA888" s="118"/>
      <c r="AB888" s="118"/>
      <c r="AC888" s="118"/>
      <c r="AD888" s="118"/>
      <c r="AE888" s="118"/>
      <c r="AF888" s="118"/>
      <c r="AG888" s="118"/>
      <c r="AH888" s="118"/>
      <c r="AI888" s="118"/>
      <c r="AJ888" s="118"/>
      <c r="AK888" s="118"/>
    </row>
    <row r="889" spans="1:37">
      <c r="A889" s="131"/>
      <c r="B889" s="131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  <c r="AA889" s="118"/>
      <c r="AB889" s="118"/>
      <c r="AC889" s="118"/>
      <c r="AD889" s="118"/>
      <c r="AE889" s="118"/>
      <c r="AF889" s="118"/>
      <c r="AG889" s="118"/>
      <c r="AH889" s="118"/>
      <c r="AI889" s="118"/>
      <c r="AJ889" s="118"/>
      <c r="AK889" s="118"/>
    </row>
    <row r="890" spans="1:37">
      <c r="A890" s="131"/>
      <c r="B890" s="131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  <c r="AA890" s="118"/>
      <c r="AB890" s="118"/>
      <c r="AC890" s="118"/>
      <c r="AD890" s="118"/>
      <c r="AE890" s="118"/>
      <c r="AF890" s="118"/>
      <c r="AG890" s="118"/>
      <c r="AH890" s="118"/>
      <c r="AI890" s="118"/>
      <c r="AJ890" s="118"/>
      <c r="AK890" s="118"/>
    </row>
    <row r="891" spans="1:37">
      <c r="A891" s="131"/>
      <c r="B891" s="131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  <c r="AA891" s="118"/>
      <c r="AB891" s="118"/>
      <c r="AC891" s="118"/>
      <c r="AD891" s="118"/>
      <c r="AE891" s="118"/>
      <c r="AF891" s="118"/>
      <c r="AG891" s="118"/>
      <c r="AH891" s="118"/>
      <c r="AI891" s="118"/>
      <c r="AJ891" s="118"/>
      <c r="AK891" s="118"/>
    </row>
    <row r="892" spans="1:37">
      <c r="A892" s="131"/>
      <c r="B892" s="131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  <c r="AA892" s="118"/>
      <c r="AB892" s="118"/>
      <c r="AC892" s="118"/>
      <c r="AD892" s="118"/>
      <c r="AE892" s="118"/>
      <c r="AF892" s="118"/>
      <c r="AG892" s="118"/>
      <c r="AH892" s="118"/>
      <c r="AI892" s="118"/>
      <c r="AJ892" s="118"/>
      <c r="AK892" s="118"/>
    </row>
    <row r="893" spans="1:37">
      <c r="A893" s="131"/>
      <c r="B893" s="131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  <c r="AA893" s="118"/>
      <c r="AB893" s="118"/>
      <c r="AC893" s="118"/>
      <c r="AD893" s="118"/>
      <c r="AE893" s="118"/>
      <c r="AF893" s="118"/>
      <c r="AG893" s="118"/>
      <c r="AH893" s="118"/>
      <c r="AI893" s="118"/>
      <c r="AJ893" s="118"/>
      <c r="AK893" s="118"/>
    </row>
    <row r="894" spans="1:37">
      <c r="A894" s="131"/>
      <c r="B894" s="131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  <c r="AA894" s="118"/>
      <c r="AB894" s="118"/>
      <c r="AC894" s="118"/>
      <c r="AD894" s="118"/>
      <c r="AE894" s="118"/>
      <c r="AF894" s="118"/>
      <c r="AG894" s="118"/>
      <c r="AH894" s="118"/>
      <c r="AI894" s="118"/>
      <c r="AJ894" s="118"/>
      <c r="AK894" s="118"/>
    </row>
    <row r="895" spans="1:37">
      <c r="A895" s="131"/>
      <c r="B895" s="131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  <c r="AA895" s="118"/>
      <c r="AB895" s="118"/>
      <c r="AC895" s="118"/>
      <c r="AD895" s="118"/>
      <c r="AE895" s="118"/>
      <c r="AF895" s="118"/>
      <c r="AG895" s="118"/>
      <c r="AH895" s="118"/>
      <c r="AI895" s="118"/>
      <c r="AJ895" s="118"/>
      <c r="AK895" s="118"/>
    </row>
    <row r="896" spans="1:37">
      <c r="A896" s="131"/>
      <c r="B896" s="131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  <c r="AA896" s="118"/>
      <c r="AB896" s="118"/>
      <c r="AC896" s="118"/>
      <c r="AD896" s="118"/>
      <c r="AE896" s="118"/>
      <c r="AF896" s="118"/>
      <c r="AG896" s="118"/>
      <c r="AH896" s="118"/>
      <c r="AI896" s="118"/>
      <c r="AJ896" s="118"/>
      <c r="AK896" s="118"/>
    </row>
    <row r="897" spans="1:37">
      <c r="A897" s="131"/>
      <c r="B897" s="131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  <c r="AA897" s="118"/>
      <c r="AB897" s="118"/>
      <c r="AC897" s="118"/>
      <c r="AD897" s="118"/>
      <c r="AE897" s="118"/>
      <c r="AF897" s="118"/>
      <c r="AG897" s="118"/>
      <c r="AH897" s="118"/>
      <c r="AI897" s="118"/>
      <c r="AJ897" s="118"/>
      <c r="AK897" s="118"/>
    </row>
    <row r="898" spans="1:37">
      <c r="A898" s="131"/>
      <c r="B898" s="131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</row>
    <row r="899" spans="1:37">
      <c r="A899" s="131"/>
      <c r="B899" s="131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  <c r="AA899" s="118"/>
      <c r="AB899" s="118"/>
      <c r="AC899" s="118"/>
      <c r="AD899" s="118"/>
      <c r="AE899" s="118"/>
      <c r="AF899" s="118"/>
      <c r="AG899" s="118"/>
      <c r="AH899" s="118"/>
      <c r="AI899" s="118"/>
      <c r="AJ899" s="118"/>
      <c r="AK899" s="118"/>
    </row>
    <row r="900" spans="1:37">
      <c r="A900" s="131"/>
      <c r="B900" s="131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  <c r="AA900" s="118"/>
      <c r="AB900" s="118"/>
      <c r="AC900" s="118"/>
      <c r="AD900" s="118"/>
      <c r="AE900" s="118"/>
      <c r="AF900" s="118"/>
      <c r="AG900" s="118"/>
      <c r="AH900" s="118"/>
      <c r="AI900" s="118"/>
      <c r="AJ900" s="118"/>
      <c r="AK900" s="118"/>
    </row>
    <row r="901" spans="1:37">
      <c r="A901" s="131"/>
      <c r="B901" s="131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  <c r="AA901" s="118"/>
      <c r="AB901" s="118"/>
      <c r="AC901" s="118"/>
      <c r="AD901" s="118"/>
      <c r="AE901" s="118"/>
      <c r="AF901" s="118"/>
      <c r="AG901" s="118"/>
      <c r="AH901" s="118"/>
      <c r="AI901" s="118"/>
      <c r="AJ901" s="118"/>
      <c r="AK901" s="118"/>
    </row>
    <row r="902" spans="1:37">
      <c r="A902" s="131"/>
      <c r="B902" s="131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  <c r="AA902" s="118"/>
      <c r="AB902" s="118"/>
      <c r="AC902" s="118"/>
      <c r="AD902" s="118"/>
      <c r="AE902" s="118"/>
      <c r="AF902" s="118"/>
      <c r="AG902" s="118"/>
      <c r="AH902" s="118"/>
      <c r="AI902" s="118"/>
      <c r="AJ902" s="118"/>
      <c r="AK902" s="118"/>
    </row>
    <row r="903" spans="1:37">
      <c r="A903" s="131"/>
      <c r="B903" s="131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  <c r="AA903" s="118"/>
      <c r="AB903" s="118"/>
      <c r="AC903" s="118"/>
      <c r="AD903" s="118"/>
      <c r="AE903" s="118"/>
      <c r="AF903" s="118"/>
      <c r="AG903" s="118"/>
      <c r="AH903" s="118"/>
      <c r="AI903" s="118"/>
      <c r="AJ903" s="118"/>
      <c r="AK903" s="118"/>
    </row>
    <row r="904" spans="1:37">
      <c r="A904" s="131"/>
      <c r="B904" s="131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  <c r="AA904" s="118"/>
      <c r="AB904" s="118"/>
      <c r="AC904" s="118"/>
      <c r="AD904" s="118"/>
      <c r="AE904" s="118"/>
      <c r="AF904" s="118"/>
      <c r="AG904" s="118"/>
      <c r="AH904" s="118"/>
      <c r="AI904" s="118"/>
      <c r="AJ904" s="118"/>
      <c r="AK904" s="118"/>
    </row>
    <row r="905" spans="1:37">
      <c r="A905" s="131"/>
      <c r="B905" s="131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  <c r="AA905" s="118"/>
      <c r="AB905" s="118"/>
      <c r="AC905" s="118"/>
      <c r="AD905" s="118"/>
      <c r="AE905" s="118"/>
      <c r="AF905" s="118"/>
      <c r="AG905" s="118"/>
      <c r="AH905" s="118"/>
      <c r="AI905" s="118"/>
      <c r="AJ905" s="118"/>
      <c r="AK905" s="118"/>
    </row>
    <row r="906" spans="1:37">
      <c r="A906" s="131"/>
      <c r="B906" s="131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  <c r="AA906" s="118"/>
      <c r="AB906" s="118"/>
      <c r="AC906" s="118"/>
      <c r="AD906" s="118"/>
      <c r="AE906" s="118"/>
      <c r="AF906" s="118"/>
      <c r="AG906" s="118"/>
      <c r="AH906" s="118"/>
      <c r="AI906" s="118"/>
      <c r="AJ906" s="118"/>
      <c r="AK906" s="118"/>
    </row>
    <row r="907" spans="1:37">
      <c r="A907" s="131"/>
      <c r="B907" s="131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  <c r="AA907" s="118"/>
      <c r="AB907" s="118"/>
      <c r="AC907" s="118"/>
      <c r="AD907" s="118"/>
      <c r="AE907" s="118"/>
      <c r="AF907" s="118"/>
      <c r="AG907" s="118"/>
      <c r="AH907" s="118"/>
      <c r="AI907" s="118"/>
      <c r="AJ907" s="118"/>
      <c r="AK907" s="118"/>
    </row>
    <row r="908" spans="1:37">
      <c r="A908" s="131"/>
      <c r="B908" s="131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  <c r="AA908" s="118"/>
      <c r="AB908" s="118"/>
      <c r="AC908" s="118"/>
      <c r="AD908" s="118"/>
      <c r="AE908" s="118"/>
      <c r="AF908" s="118"/>
      <c r="AG908" s="118"/>
      <c r="AH908" s="118"/>
      <c r="AI908" s="118"/>
      <c r="AJ908" s="118"/>
      <c r="AK908" s="118"/>
    </row>
    <row r="909" spans="1:37">
      <c r="A909" s="131"/>
      <c r="B909" s="131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  <c r="AA909" s="118"/>
      <c r="AB909" s="118"/>
      <c r="AC909" s="118"/>
      <c r="AD909" s="118"/>
      <c r="AE909" s="118"/>
      <c r="AF909" s="118"/>
      <c r="AG909" s="118"/>
      <c r="AH909" s="118"/>
      <c r="AI909" s="118"/>
      <c r="AJ909" s="118"/>
      <c r="AK909" s="118"/>
    </row>
    <row r="910" spans="1:37">
      <c r="A910" s="131"/>
      <c r="B910" s="131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  <c r="AA910" s="118"/>
      <c r="AB910" s="118"/>
      <c r="AC910" s="118"/>
      <c r="AD910" s="118"/>
      <c r="AE910" s="118"/>
      <c r="AF910" s="118"/>
      <c r="AG910" s="118"/>
      <c r="AH910" s="118"/>
      <c r="AI910" s="118"/>
      <c r="AJ910" s="118"/>
      <c r="AK910" s="118"/>
    </row>
    <row r="911" spans="1:37">
      <c r="A911" s="131"/>
      <c r="B911" s="131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  <c r="AA911" s="118"/>
      <c r="AB911" s="118"/>
      <c r="AC911" s="118"/>
      <c r="AD911" s="118"/>
      <c r="AE911" s="118"/>
      <c r="AF911" s="118"/>
      <c r="AG911" s="118"/>
      <c r="AH911" s="118"/>
      <c r="AI911" s="118"/>
      <c r="AJ911" s="118"/>
      <c r="AK911" s="118"/>
    </row>
    <row r="912" spans="1:37">
      <c r="A912" s="131"/>
      <c r="B912" s="131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  <c r="AA912" s="118"/>
      <c r="AB912" s="118"/>
      <c r="AC912" s="118"/>
      <c r="AD912" s="118"/>
      <c r="AE912" s="118"/>
      <c r="AF912" s="118"/>
      <c r="AG912" s="118"/>
      <c r="AH912" s="118"/>
      <c r="AI912" s="118"/>
      <c r="AJ912" s="118"/>
      <c r="AK912" s="118"/>
    </row>
    <row r="913" spans="1:37">
      <c r="A913" s="131"/>
      <c r="B913" s="131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  <c r="AA913" s="118"/>
      <c r="AB913" s="118"/>
      <c r="AC913" s="118"/>
      <c r="AD913" s="118"/>
      <c r="AE913" s="118"/>
      <c r="AF913" s="118"/>
      <c r="AG913" s="118"/>
      <c r="AH913" s="118"/>
      <c r="AI913" s="118"/>
      <c r="AJ913" s="118"/>
      <c r="AK913" s="118"/>
    </row>
    <row r="914" spans="1:37">
      <c r="A914" s="131"/>
      <c r="B914" s="131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  <c r="AA914" s="118"/>
      <c r="AB914" s="118"/>
      <c r="AC914" s="118"/>
      <c r="AD914" s="118"/>
      <c r="AE914" s="118"/>
      <c r="AF914" s="118"/>
      <c r="AG914" s="118"/>
      <c r="AH914" s="118"/>
      <c r="AI914" s="118"/>
      <c r="AJ914" s="118"/>
      <c r="AK914" s="118"/>
    </row>
    <row r="915" spans="1:37">
      <c r="A915" s="131"/>
      <c r="B915" s="131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  <c r="AA915" s="118"/>
      <c r="AB915" s="118"/>
      <c r="AC915" s="118"/>
      <c r="AD915" s="118"/>
      <c r="AE915" s="118"/>
      <c r="AF915" s="118"/>
      <c r="AG915" s="118"/>
      <c r="AH915" s="118"/>
      <c r="AI915" s="118"/>
      <c r="AJ915" s="118"/>
      <c r="AK915" s="118"/>
    </row>
    <row r="916" spans="1:37">
      <c r="A916" s="131"/>
      <c r="B916" s="131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  <c r="AA916" s="118"/>
      <c r="AB916" s="118"/>
      <c r="AC916" s="118"/>
      <c r="AD916" s="118"/>
      <c r="AE916" s="118"/>
      <c r="AF916" s="118"/>
      <c r="AG916" s="118"/>
      <c r="AH916" s="118"/>
      <c r="AI916" s="118"/>
      <c r="AJ916" s="118"/>
      <c r="AK916" s="118"/>
    </row>
    <row r="917" spans="1:37">
      <c r="A917" s="131"/>
      <c r="B917" s="131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  <c r="AA917" s="118"/>
      <c r="AB917" s="118"/>
      <c r="AC917" s="118"/>
      <c r="AD917" s="118"/>
      <c r="AE917" s="118"/>
      <c r="AF917" s="118"/>
      <c r="AG917" s="118"/>
      <c r="AH917" s="118"/>
      <c r="AI917" s="118"/>
      <c r="AJ917" s="118"/>
      <c r="AK917" s="118"/>
    </row>
    <row r="918" spans="1:37">
      <c r="A918" s="131"/>
      <c r="B918" s="131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  <c r="AA918" s="118"/>
      <c r="AB918" s="118"/>
      <c r="AC918" s="118"/>
      <c r="AD918" s="118"/>
      <c r="AE918" s="118"/>
      <c r="AF918" s="118"/>
      <c r="AG918" s="118"/>
      <c r="AH918" s="118"/>
      <c r="AI918" s="118"/>
      <c r="AJ918" s="118"/>
      <c r="AK918" s="118"/>
    </row>
    <row r="919" spans="1:37">
      <c r="A919" s="131"/>
      <c r="B919" s="131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  <c r="AA919" s="118"/>
      <c r="AB919" s="118"/>
      <c r="AC919" s="118"/>
      <c r="AD919" s="118"/>
      <c r="AE919" s="118"/>
      <c r="AF919" s="118"/>
      <c r="AG919" s="118"/>
      <c r="AH919" s="118"/>
      <c r="AI919" s="118"/>
      <c r="AJ919" s="118"/>
      <c r="AK919" s="118"/>
    </row>
    <row r="920" spans="1:37">
      <c r="A920" s="131"/>
      <c r="B920" s="131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  <c r="AA920" s="118"/>
      <c r="AB920" s="118"/>
      <c r="AC920" s="118"/>
      <c r="AD920" s="118"/>
      <c r="AE920" s="118"/>
      <c r="AF920" s="118"/>
      <c r="AG920" s="118"/>
      <c r="AH920" s="118"/>
      <c r="AI920" s="118"/>
      <c r="AJ920" s="118"/>
      <c r="AK920" s="118"/>
    </row>
    <row r="921" spans="1:37">
      <c r="A921" s="131"/>
      <c r="B921" s="131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  <c r="AA921" s="118"/>
      <c r="AB921" s="118"/>
      <c r="AC921" s="118"/>
      <c r="AD921" s="118"/>
      <c r="AE921" s="118"/>
      <c r="AF921" s="118"/>
      <c r="AG921" s="118"/>
      <c r="AH921" s="118"/>
      <c r="AI921" s="118"/>
      <c r="AJ921" s="118"/>
      <c r="AK921" s="118"/>
    </row>
    <row r="922" spans="1:37">
      <c r="A922" s="131"/>
      <c r="B922" s="131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  <c r="AA922" s="118"/>
      <c r="AB922" s="118"/>
      <c r="AC922" s="118"/>
      <c r="AD922" s="118"/>
      <c r="AE922" s="118"/>
      <c r="AF922" s="118"/>
      <c r="AG922" s="118"/>
      <c r="AH922" s="118"/>
      <c r="AI922" s="118"/>
      <c r="AJ922" s="118"/>
      <c r="AK922" s="118"/>
    </row>
    <row r="923" spans="1:37">
      <c r="A923" s="131"/>
      <c r="B923" s="131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  <c r="AA923" s="118"/>
      <c r="AB923" s="118"/>
      <c r="AC923" s="118"/>
      <c r="AD923" s="118"/>
      <c r="AE923" s="118"/>
      <c r="AF923" s="118"/>
      <c r="AG923" s="118"/>
      <c r="AH923" s="118"/>
      <c r="AI923" s="118"/>
      <c r="AJ923" s="118"/>
      <c r="AK923" s="118"/>
    </row>
    <row r="924" spans="1:37">
      <c r="A924" s="131"/>
      <c r="B924" s="131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  <c r="AA924" s="118"/>
      <c r="AB924" s="118"/>
      <c r="AC924" s="118"/>
      <c r="AD924" s="118"/>
      <c r="AE924" s="118"/>
      <c r="AF924" s="118"/>
      <c r="AG924" s="118"/>
      <c r="AH924" s="118"/>
      <c r="AI924" s="118"/>
      <c r="AJ924" s="118"/>
      <c r="AK924" s="118"/>
    </row>
    <row r="925" spans="1:37">
      <c r="A925" s="131"/>
      <c r="B925" s="131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  <c r="AA925" s="118"/>
      <c r="AB925" s="118"/>
      <c r="AC925" s="118"/>
      <c r="AD925" s="118"/>
      <c r="AE925" s="118"/>
      <c r="AF925" s="118"/>
      <c r="AG925" s="118"/>
      <c r="AH925" s="118"/>
      <c r="AI925" s="118"/>
      <c r="AJ925" s="118"/>
      <c r="AK925" s="118"/>
    </row>
    <row r="926" spans="1:37">
      <c r="A926" s="131"/>
      <c r="B926" s="131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  <c r="AA926" s="118"/>
      <c r="AB926" s="118"/>
      <c r="AC926" s="118"/>
      <c r="AD926" s="118"/>
      <c r="AE926" s="118"/>
      <c r="AF926" s="118"/>
      <c r="AG926" s="118"/>
      <c r="AH926" s="118"/>
      <c r="AI926" s="118"/>
      <c r="AJ926" s="118"/>
      <c r="AK926" s="118"/>
    </row>
    <row r="927" spans="1:37">
      <c r="A927" s="131"/>
      <c r="B927" s="131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  <c r="AA927" s="118"/>
      <c r="AB927" s="118"/>
      <c r="AC927" s="118"/>
      <c r="AD927" s="118"/>
      <c r="AE927" s="118"/>
      <c r="AF927" s="118"/>
      <c r="AG927" s="118"/>
      <c r="AH927" s="118"/>
      <c r="AI927" s="118"/>
      <c r="AJ927" s="118"/>
      <c r="AK927" s="118"/>
    </row>
    <row r="928" spans="1:37">
      <c r="A928" s="131"/>
      <c r="B928" s="131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  <c r="AA928" s="118"/>
      <c r="AB928" s="118"/>
      <c r="AC928" s="118"/>
      <c r="AD928" s="118"/>
      <c r="AE928" s="118"/>
      <c r="AF928" s="118"/>
      <c r="AG928" s="118"/>
      <c r="AH928" s="118"/>
      <c r="AI928" s="118"/>
      <c r="AJ928" s="118"/>
      <c r="AK928" s="118"/>
    </row>
    <row r="929" spans="1:37">
      <c r="A929" s="131"/>
      <c r="B929" s="131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  <c r="AA929" s="118"/>
      <c r="AB929" s="118"/>
      <c r="AC929" s="118"/>
      <c r="AD929" s="118"/>
      <c r="AE929" s="118"/>
      <c r="AF929" s="118"/>
      <c r="AG929" s="118"/>
      <c r="AH929" s="118"/>
      <c r="AI929" s="118"/>
      <c r="AJ929" s="118"/>
      <c r="AK929" s="118"/>
    </row>
    <row r="930" spans="1:37">
      <c r="A930" s="131"/>
      <c r="B930" s="131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  <c r="AA930" s="118"/>
      <c r="AB930" s="118"/>
      <c r="AC930" s="118"/>
      <c r="AD930" s="118"/>
      <c r="AE930" s="118"/>
      <c r="AF930" s="118"/>
      <c r="AG930" s="118"/>
      <c r="AH930" s="118"/>
      <c r="AI930" s="118"/>
      <c r="AJ930" s="118"/>
      <c r="AK930" s="118"/>
    </row>
    <row r="931" spans="1:37">
      <c r="A931" s="131"/>
      <c r="B931" s="131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  <c r="AA931" s="118"/>
      <c r="AB931" s="118"/>
      <c r="AC931" s="118"/>
      <c r="AD931" s="118"/>
      <c r="AE931" s="118"/>
      <c r="AF931" s="118"/>
      <c r="AG931" s="118"/>
      <c r="AH931" s="118"/>
      <c r="AI931" s="118"/>
      <c r="AJ931" s="118"/>
      <c r="AK931" s="118"/>
    </row>
    <row r="932" spans="1:37">
      <c r="A932" s="131"/>
      <c r="B932" s="131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  <c r="AA932" s="118"/>
      <c r="AB932" s="118"/>
      <c r="AC932" s="118"/>
      <c r="AD932" s="118"/>
      <c r="AE932" s="118"/>
      <c r="AF932" s="118"/>
      <c r="AG932" s="118"/>
      <c r="AH932" s="118"/>
      <c r="AI932" s="118"/>
      <c r="AJ932" s="118"/>
      <c r="AK932" s="118"/>
    </row>
    <row r="933" spans="1:37">
      <c r="A933" s="131"/>
      <c r="B933" s="131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  <c r="AA933" s="118"/>
      <c r="AB933" s="118"/>
      <c r="AC933" s="118"/>
      <c r="AD933" s="118"/>
      <c r="AE933" s="118"/>
      <c r="AF933" s="118"/>
      <c r="AG933" s="118"/>
      <c r="AH933" s="118"/>
      <c r="AI933" s="118"/>
      <c r="AJ933" s="118"/>
      <c r="AK933" s="118"/>
    </row>
    <row r="934" spans="1:37">
      <c r="A934" s="131"/>
      <c r="B934" s="131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  <c r="AA934" s="118"/>
      <c r="AB934" s="118"/>
      <c r="AC934" s="118"/>
      <c r="AD934" s="118"/>
      <c r="AE934" s="118"/>
      <c r="AF934" s="118"/>
      <c r="AG934" s="118"/>
      <c r="AH934" s="118"/>
      <c r="AI934" s="118"/>
      <c r="AJ934" s="118"/>
      <c r="AK934" s="118"/>
    </row>
    <row r="935" spans="1:37">
      <c r="A935" s="131"/>
      <c r="B935" s="131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  <c r="AA935" s="118"/>
      <c r="AB935" s="118"/>
      <c r="AC935" s="118"/>
      <c r="AD935" s="118"/>
      <c r="AE935" s="118"/>
      <c r="AF935" s="118"/>
      <c r="AG935" s="118"/>
      <c r="AH935" s="118"/>
      <c r="AI935" s="118"/>
      <c r="AJ935" s="118"/>
      <c r="AK935" s="118"/>
    </row>
    <row r="936" spans="1:37">
      <c r="A936" s="131"/>
      <c r="B936" s="131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</row>
    <row r="937" spans="1:37">
      <c r="A937" s="131"/>
      <c r="B937" s="131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  <c r="AA937" s="118"/>
      <c r="AB937" s="118"/>
      <c r="AC937" s="118"/>
      <c r="AD937" s="118"/>
      <c r="AE937" s="118"/>
      <c r="AF937" s="118"/>
      <c r="AG937" s="118"/>
      <c r="AH937" s="118"/>
      <c r="AI937" s="118"/>
      <c r="AJ937" s="118"/>
      <c r="AK937" s="118"/>
    </row>
    <row r="938" spans="1:37">
      <c r="A938" s="131"/>
      <c r="B938" s="131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  <c r="AA938" s="118"/>
      <c r="AB938" s="118"/>
      <c r="AC938" s="118"/>
      <c r="AD938" s="118"/>
      <c r="AE938" s="118"/>
      <c r="AF938" s="118"/>
      <c r="AG938" s="118"/>
      <c r="AH938" s="118"/>
      <c r="AI938" s="118"/>
      <c r="AJ938" s="118"/>
      <c r="AK938" s="118"/>
    </row>
    <row r="939" spans="1:37">
      <c r="A939" s="131"/>
      <c r="B939" s="131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  <c r="AA939" s="118"/>
      <c r="AB939" s="118"/>
      <c r="AC939" s="118"/>
      <c r="AD939" s="118"/>
      <c r="AE939" s="118"/>
      <c r="AF939" s="118"/>
      <c r="AG939" s="118"/>
      <c r="AH939" s="118"/>
      <c r="AI939" s="118"/>
      <c r="AJ939" s="118"/>
      <c r="AK939" s="118"/>
    </row>
    <row r="940" spans="1:37">
      <c r="A940" s="131"/>
      <c r="B940" s="131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  <c r="AA940" s="118"/>
      <c r="AB940" s="118"/>
      <c r="AC940" s="118"/>
      <c r="AD940" s="118"/>
      <c r="AE940" s="118"/>
      <c r="AF940" s="118"/>
      <c r="AG940" s="118"/>
      <c r="AH940" s="118"/>
      <c r="AI940" s="118"/>
      <c r="AJ940" s="118"/>
      <c r="AK940" s="118"/>
    </row>
    <row r="941" spans="1:37">
      <c r="A941" s="131"/>
      <c r="B941" s="131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  <c r="AA941" s="118"/>
      <c r="AB941" s="118"/>
      <c r="AC941" s="118"/>
      <c r="AD941" s="118"/>
      <c r="AE941" s="118"/>
      <c r="AF941" s="118"/>
      <c r="AG941" s="118"/>
      <c r="AH941" s="118"/>
      <c r="AI941" s="118"/>
      <c r="AJ941" s="118"/>
      <c r="AK941" s="118"/>
    </row>
    <row r="942" spans="1:37">
      <c r="A942" s="131"/>
      <c r="B942" s="131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  <c r="AA942" s="118"/>
      <c r="AB942" s="118"/>
      <c r="AC942" s="118"/>
      <c r="AD942" s="118"/>
      <c r="AE942" s="118"/>
      <c r="AF942" s="118"/>
      <c r="AG942" s="118"/>
      <c r="AH942" s="118"/>
      <c r="AI942" s="118"/>
      <c r="AJ942" s="118"/>
      <c r="AK942" s="118"/>
    </row>
    <row r="943" spans="1:37">
      <c r="A943" s="131"/>
      <c r="B943" s="131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  <c r="AA943" s="118"/>
      <c r="AB943" s="118"/>
      <c r="AC943" s="118"/>
      <c r="AD943" s="118"/>
      <c r="AE943" s="118"/>
      <c r="AF943" s="118"/>
      <c r="AG943" s="118"/>
      <c r="AH943" s="118"/>
      <c r="AI943" s="118"/>
      <c r="AJ943" s="118"/>
      <c r="AK943" s="118"/>
    </row>
    <row r="944" spans="1:37">
      <c r="A944" s="131"/>
      <c r="B944" s="131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  <c r="AA944" s="118"/>
      <c r="AB944" s="118"/>
      <c r="AC944" s="118"/>
      <c r="AD944" s="118"/>
      <c r="AE944" s="118"/>
      <c r="AF944" s="118"/>
      <c r="AG944" s="118"/>
      <c r="AH944" s="118"/>
      <c r="AI944" s="118"/>
      <c r="AJ944" s="118"/>
      <c r="AK944" s="118"/>
    </row>
    <row r="945" spans="1:37">
      <c r="A945" s="131"/>
      <c r="B945" s="131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  <c r="AA945" s="118"/>
      <c r="AB945" s="118"/>
      <c r="AC945" s="118"/>
      <c r="AD945" s="118"/>
      <c r="AE945" s="118"/>
      <c r="AF945" s="118"/>
      <c r="AG945" s="118"/>
      <c r="AH945" s="118"/>
      <c r="AI945" s="118"/>
      <c r="AJ945" s="118"/>
      <c r="AK945" s="118"/>
    </row>
    <row r="946" spans="1:37">
      <c r="A946" s="131"/>
      <c r="B946" s="131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  <c r="AA946" s="118"/>
      <c r="AB946" s="118"/>
      <c r="AC946" s="118"/>
      <c r="AD946" s="118"/>
      <c r="AE946" s="118"/>
      <c r="AF946" s="118"/>
      <c r="AG946" s="118"/>
      <c r="AH946" s="118"/>
      <c r="AI946" s="118"/>
      <c r="AJ946" s="118"/>
      <c r="AK946" s="118"/>
    </row>
    <row r="947" spans="1:37">
      <c r="A947" s="131"/>
      <c r="B947" s="131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  <c r="AA947" s="118"/>
      <c r="AB947" s="118"/>
      <c r="AC947" s="118"/>
      <c r="AD947" s="118"/>
      <c r="AE947" s="118"/>
      <c r="AF947" s="118"/>
      <c r="AG947" s="118"/>
      <c r="AH947" s="118"/>
      <c r="AI947" s="118"/>
      <c r="AJ947" s="118"/>
      <c r="AK947" s="118"/>
    </row>
    <row r="948" spans="1:37">
      <c r="A948" s="131"/>
      <c r="B948" s="131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  <c r="AA948" s="118"/>
      <c r="AB948" s="118"/>
      <c r="AC948" s="118"/>
      <c r="AD948" s="118"/>
      <c r="AE948" s="118"/>
      <c r="AF948" s="118"/>
      <c r="AG948" s="118"/>
      <c r="AH948" s="118"/>
      <c r="AI948" s="118"/>
      <c r="AJ948" s="118"/>
      <c r="AK948" s="118"/>
    </row>
    <row r="949" spans="1:37">
      <c r="A949" s="131"/>
      <c r="B949" s="131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  <c r="AA949" s="118"/>
      <c r="AB949" s="118"/>
      <c r="AC949" s="118"/>
      <c r="AD949" s="118"/>
      <c r="AE949" s="118"/>
      <c r="AF949" s="118"/>
      <c r="AG949" s="118"/>
      <c r="AH949" s="118"/>
      <c r="AI949" s="118"/>
      <c r="AJ949" s="118"/>
      <c r="AK949" s="118"/>
    </row>
    <row r="950" spans="1:37">
      <c r="A950" s="131"/>
      <c r="B950" s="131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  <c r="AA950" s="118"/>
      <c r="AB950" s="118"/>
      <c r="AC950" s="118"/>
      <c r="AD950" s="118"/>
      <c r="AE950" s="118"/>
      <c r="AF950" s="118"/>
      <c r="AG950" s="118"/>
      <c r="AH950" s="118"/>
      <c r="AI950" s="118"/>
      <c r="AJ950" s="118"/>
      <c r="AK950" s="118"/>
    </row>
    <row r="951" spans="1:37">
      <c r="A951" s="131"/>
      <c r="B951" s="131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  <c r="AA951" s="118"/>
      <c r="AB951" s="118"/>
      <c r="AC951" s="118"/>
      <c r="AD951" s="118"/>
      <c r="AE951" s="118"/>
      <c r="AF951" s="118"/>
      <c r="AG951" s="118"/>
      <c r="AH951" s="118"/>
      <c r="AI951" s="118"/>
      <c r="AJ951" s="118"/>
      <c r="AK951" s="118"/>
    </row>
    <row r="952" spans="1:37">
      <c r="A952" s="131"/>
      <c r="B952" s="131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  <c r="AA952" s="118"/>
      <c r="AB952" s="118"/>
      <c r="AC952" s="118"/>
      <c r="AD952" s="118"/>
      <c r="AE952" s="118"/>
      <c r="AF952" s="118"/>
      <c r="AG952" s="118"/>
      <c r="AH952" s="118"/>
      <c r="AI952" s="118"/>
      <c r="AJ952" s="118"/>
      <c r="AK952" s="118"/>
    </row>
    <row r="953" spans="1:37">
      <c r="A953" s="131"/>
      <c r="B953" s="131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  <c r="AA953" s="118"/>
      <c r="AB953" s="118"/>
      <c r="AC953" s="118"/>
      <c r="AD953" s="118"/>
      <c r="AE953" s="118"/>
      <c r="AF953" s="118"/>
      <c r="AG953" s="118"/>
      <c r="AH953" s="118"/>
      <c r="AI953" s="118"/>
      <c r="AJ953" s="118"/>
      <c r="AK953" s="118"/>
    </row>
    <row r="954" spans="1:37">
      <c r="A954" s="131"/>
      <c r="B954" s="131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  <c r="AA954" s="118"/>
      <c r="AB954" s="118"/>
      <c r="AC954" s="118"/>
      <c r="AD954" s="118"/>
      <c r="AE954" s="118"/>
      <c r="AF954" s="118"/>
      <c r="AG954" s="118"/>
      <c r="AH954" s="118"/>
      <c r="AI954" s="118"/>
      <c r="AJ954" s="118"/>
      <c r="AK954" s="118"/>
    </row>
    <row r="955" spans="1:37">
      <c r="A955" s="131"/>
      <c r="B955" s="131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  <c r="AA955" s="118"/>
      <c r="AB955" s="118"/>
      <c r="AC955" s="118"/>
      <c r="AD955" s="118"/>
      <c r="AE955" s="118"/>
      <c r="AF955" s="118"/>
      <c r="AG955" s="118"/>
      <c r="AH955" s="118"/>
      <c r="AI955" s="118"/>
      <c r="AJ955" s="118"/>
      <c r="AK955" s="118"/>
    </row>
    <row r="956" spans="1:37">
      <c r="A956" s="131"/>
      <c r="B956" s="131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  <c r="AA956" s="118"/>
      <c r="AB956" s="118"/>
      <c r="AC956" s="118"/>
      <c r="AD956" s="118"/>
      <c r="AE956" s="118"/>
      <c r="AF956" s="118"/>
      <c r="AG956" s="118"/>
      <c r="AH956" s="118"/>
      <c r="AI956" s="118"/>
      <c r="AJ956" s="118"/>
      <c r="AK956" s="118"/>
    </row>
    <row r="957" spans="1:37">
      <c r="A957" s="131"/>
      <c r="B957" s="131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  <c r="AA957" s="118"/>
      <c r="AB957" s="118"/>
      <c r="AC957" s="118"/>
      <c r="AD957" s="118"/>
      <c r="AE957" s="118"/>
      <c r="AF957" s="118"/>
      <c r="AG957" s="118"/>
      <c r="AH957" s="118"/>
      <c r="AI957" s="118"/>
      <c r="AJ957" s="118"/>
      <c r="AK957" s="118"/>
    </row>
    <row r="958" spans="1:37">
      <c r="A958" s="131"/>
      <c r="B958" s="131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  <c r="AA958" s="118"/>
      <c r="AB958" s="118"/>
      <c r="AC958" s="118"/>
      <c r="AD958" s="118"/>
      <c r="AE958" s="118"/>
      <c r="AF958" s="118"/>
      <c r="AG958" s="118"/>
      <c r="AH958" s="118"/>
      <c r="AI958" s="118"/>
      <c r="AJ958" s="118"/>
      <c r="AK958" s="118"/>
    </row>
    <row r="959" spans="1:37">
      <c r="A959" s="131"/>
      <c r="B959" s="131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  <c r="AA959" s="118"/>
      <c r="AB959" s="118"/>
      <c r="AC959" s="118"/>
      <c r="AD959" s="118"/>
      <c r="AE959" s="118"/>
      <c r="AF959" s="118"/>
      <c r="AG959" s="118"/>
      <c r="AH959" s="118"/>
      <c r="AI959" s="118"/>
      <c r="AJ959" s="118"/>
      <c r="AK959" s="118"/>
    </row>
    <row r="960" spans="1:37">
      <c r="A960" s="131"/>
      <c r="B960" s="131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  <c r="AA960" s="118"/>
      <c r="AB960" s="118"/>
      <c r="AC960" s="118"/>
      <c r="AD960" s="118"/>
      <c r="AE960" s="118"/>
      <c r="AF960" s="118"/>
      <c r="AG960" s="118"/>
      <c r="AH960" s="118"/>
      <c r="AI960" s="118"/>
      <c r="AJ960" s="118"/>
      <c r="AK960" s="118"/>
    </row>
    <row r="961" spans="1:37">
      <c r="A961" s="131"/>
      <c r="B961" s="131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  <c r="AA961" s="118"/>
      <c r="AB961" s="118"/>
      <c r="AC961" s="118"/>
      <c r="AD961" s="118"/>
      <c r="AE961" s="118"/>
      <c r="AF961" s="118"/>
      <c r="AG961" s="118"/>
      <c r="AH961" s="118"/>
      <c r="AI961" s="118"/>
      <c r="AJ961" s="118"/>
      <c r="AK961" s="118"/>
    </row>
    <row r="962" spans="1:37">
      <c r="A962" s="131"/>
      <c r="B962" s="131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  <c r="AA962" s="118"/>
      <c r="AB962" s="118"/>
      <c r="AC962" s="118"/>
      <c r="AD962" s="118"/>
      <c r="AE962" s="118"/>
      <c r="AF962" s="118"/>
      <c r="AG962" s="118"/>
      <c r="AH962" s="118"/>
      <c r="AI962" s="118"/>
      <c r="AJ962" s="118"/>
      <c r="AK962" s="118"/>
    </row>
    <row r="963" spans="1:37">
      <c r="A963" s="131"/>
      <c r="B963" s="131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  <c r="AA963" s="118"/>
      <c r="AB963" s="118"/>
      <c r="AC963" s="118"/>
      <c r="AD963" s="118"/>
      <c r="AE963" s="118"/>
      <c r="AF963" s="118"/>
      <c r="AG963" s="118"/>
      <c r="AH963" s="118"/>
      <c r="AI963" s="118"/>
      <c r="AJ963" s="118"/>
      <c r="AK963" s="118"/>
    </row>
    <row r="964" spans="1:37">
      <c r="A964" s="131"/>
      <c r="B964" s="131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  <c r="AA964" s="118"/>
      <c r="AB964" s="118"/>
      <c r="AC964" s="118"/>
      <c r="AD964" s="118"/>
      <c r="AE964" s="118"/>
      <c r="AF964" s="118"/>
      <c r="AG964" s="118"/>
      <c r="AH964" s="118"/>
      <c r="AI964" s="118"/>
      <c r="AJ964" s="118"/>
      <c r="AK964" s="118"/>
    </row>
    <row r="965" spans="1:37">
      <c r="A965" s="131"/>
      <c r="B965" s="131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  <c r="AA965" s="118"/>
      <c r="AB965" s="118"/>
      <c r="AC965" s="118"/>
      <c r="AD965" s="118"/>
      <c r="AE965" s="118"/>
      <c r="AF965" s="118"/>
      <c r="AG965" s="118"/>
      <c r="AH965" s="118"/>
      <c r="AI965" s="118"/>
      <c r="AJ965" s="118"/>
      <c r="AK965" s="118"/>
    </row>
    <row r="966" spans="1:37">
      <c r="A966" s="131"/>
      <c r="B966" s="131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  <c r="AA966" s="118"/>
      <c r="AB966" s="118"/>
      <c r="AC966" s="118"/>
      <c r="AD966" s="118"/>
      <c r="AE966" s="118"/>
      <c r="AF966" s="118"/>
      <c r="AG966" s="118"/>
      <c r="AH966" s="118"/>
      <c r="AI966" s="118"/>
      <c r="AJ966" s="118"/>
      <c r="AK966" s="118"/>
    </row>
    <row r="967" spans="1:37">
      <c r="A967" s="131"/>
      <c r="B967" s="131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  <c r="AA967" s="118"/>
      <c r="AB967" s="118"/>
      <c r="AC967" s="118"/>
      <c r="AD967" s="118"/>
      <c r="AE967" s="118"/>
      <c r="AF967" s="118"/>
      <c r="AG967" s="118"/>
      <c r="AH967" s="118"/>
      <c r="AI967" s="118"/>
      <c r="AJ967" s="118"/>
      <c r="AK967" s="118"/>
    </row>
    <row r="968" spans="1:37">
      <c r="A968" s="131"/>
      <c r="B968" s="131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  <c r="AA968" s="118"/>
      <c r="AB968" s="118"/>
      <c r="AC968" s="118"/>
      <c r="AD968" s="118"/>
      <c r="AE968" s="118"/>
      <c r="AF968" s="118"/>
      <c r="AG968" s="118"/>
      <c r="AH968" s="118"/>
      <c r="AI968" s="118"/>
      <c r="AJ968" s="118"/>
      <c r="AK968" s="118"/>
    </row>
    <row r="969" spans="1:37">
      <c r="A969" s="131"/>
      <c r="B969" s="131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  <c r="AA969" s="118"/>
      <c r="AB969" s="118"/>
      <c r="AC969" s="118"/>
      <c r="AD969" s="118"/>
      <c r="AE969" s="118"/>
      <c r="AF969" s="118"/>
      <c r="AG969" s="118"/>
      <c r="AH969" s="118"/>
      <c r="AI969" s="118"/>
      <c r="AJ969" s="118"/>
      <c r="AK969" s="118"/>
    </row>
    <row r="970" spans="1:37">
      <c r="A970" s="131"/>
      <c r="B970" s="131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  <c r="AA970" s="118"/>
      <c r="AB970" s="118"/>
      <c r="AC970" s="118"/>
      <c r="AD970" s="118"/>
      <c r="AE970" s="118"/>
      <c r="AF970" s="118"/>
      <c r="AG970" s="118"/>
      <c r="AH970" s="118"/>
      <c r="AI970" s="118"/>
      <c r="AJ970" s="118"/>
      <c r="AK970" s="118"/>
    </row>
    <row r="971" spans="1:37">
      <c r="A971" s="131"/>
      <c r="B971" s="131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  <c r="AA971" s="118"/>
      <c r="AB971" s="118"/>
      <c r="AC971" s="118"/>
      <c r="AD971" s="118"/>
      <c r="AE971" s="118"/>
      <c r="AF971" s="118"/>
      <c r="AG971" s="118"/>
      <c r="AH971" s="118"/>
      <c r="AI971" s="118"/>
      <c r="AJ971" s="118"/>
      <c r="AK971" s="118"/>
    </row>
    <row r="972" spans="1:37">
      <c r="A972" s="131"/>
      <c r="B972" s="131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  <c r="AA972" s="118"/>
      <c r="AB972" s="118"/>
      <c r="AC972" s="118"/>
      <c r="AD972" s="118"/>
      <c r="AE972" s="118"/>
      <c r="AF972" s="118"/>
      <c r="AG972" s="118"/>
      <c r="AH972" s="118"/>
      <c r="AI972" s="118"/>
      <c r="AJ972" s="118"/>
      <c r="AK972" s="118"/>
    </row>
    <row r="973" spans="1:37">
      <c r="A973" s="131"/>
      <c r="B973" s="131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  <c r="AA973" s="118"/>
      <c r="AB973" s="118"/>
      <c r="AC973" s="118"/>
      <c r="AD973" s="118"/>
      <c r="AE973" s="118"/>
      <c r="AF973" s="118"/>
      <c r="AG973" s="118"/>
      <c r="AH973" s="118"/>
      <c r="AI973" s="118"/>
      <c r="AJ973" s="118"/>
      <c r="AK973" s="118"/>
    </row>
    <row r="974" spans="1:37">
      <c r="A974" s="131"/>
      <c r="B974" s="131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</row>
    <row r="975" spans="1:37">
      <c r="A975" s="131"/>
      <c r="B975" s="131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  <c r="AA975" s="118"/>
      <c r="AB975" s="118"/>
      <c r="AC975" s="118"/>
      <c r="AD975" s="118"/>
      <c r="AE975" s="118"/>
      <c r="AF975" s="118"/>
      <c r="AG975" s="118"/>
      <c r="AH975" s="118"/>
      <c r="AI975" s="118"/>
      <c r="AJ975" s="118"/>
      <c r="AK975" s="118"/>
    </row>
    <row r="976" spans="1:37">
      <c r="A976" s="131"/>
      <c r="B976" s="131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  <c r="AA976" s="118"/>
      <c r="AB976" s="118"/>
      <c r="AC976" s="118"/>
      <c r="AD976" s="118"/>
      <c r="AE976" s="118"/>
      <c r="AF976" s="118"/>
      <c r="AG976" s="118"/>
      <c r="AH976" s="118"/>
      <c r="AI976" s="118"/>
      <c r="AJ976" s="118"/>
      <c r="AK976" s="118"/>
    </row>
    <row r="977" spans="1:37">
      <c r="A977" s="131"/>
      <c r="B977" s="131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  <c r="AA977" s="118"/>
      <c r="AB977" s="118"/>
      <c r="AC977" s="118"/>
      <c r="AD977" s="118"/>
      <c r="AE977" s="118"/>
      <c r="AF977" s="118"/>
      <c r="AG977" s="118"/>
      <c r="AH977" s="118"/>
      <c r="AI977" s="118"/>
      <c r="AJ977" s="118"/>
      <c r="AK977" s="118"/>
    </row>
    <row r="978" spans="1:37">
      <c r="A978" s="131"/>
      <c r="B978" s="131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  <c r="AA978" s="118"/>
      <c r="AB978" s="118"/>
      <c r="AC978" s="118"/>
      <c r="AD978" s="118"/>
      <c r="AE978" s="118"/>
      <c r="AF978" s="118"/>
      <c r="AG978" s="118"/>
      <c r="AH978" s="118"/>
      <c r="AI978" s="118"/>
      <c r="AJ978" s="118"/>
      <c r="AK978" s="118"/>
    </row>
    <row r="979" spans="1:37">
      <c r="A979" s="131"/>
      <c r="B979" s="131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  <c r="AA979" s="118"/>
      <c r="AB979" s="118"/>
      <c r="AC979" s="118"/>
      <c r="AD979" s="118"/>
      <c r="AE979" s="118"/>
      <c r="AF979" s="118"/>
      <c r="AG979" s="118"/>
      <c r="AH979" s="118"/>
      <c r="AI979" s="118"/>
      <c r="AJ979" s="118"/>
      <c r="AK979" s="118"/>
    </row>
    <row r="980" spans="1:37">
      <c r="A980" s="131"/>
      <c r="B980" s="131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  <c r="AA980" s="118"/>
      <c r="AB980" s="118"/>
      <c r="AC980" s="118"/>
      <c r="AD980" s="118"/>
      <c r="AE980" s="118"/>
      <c r="AF980" s="118"/>
      <c r="AG980" s="118"/>
      <c r="AH980" s="118"/>
      <c r="AI980" s="118"/>
      <c r="AJ980" s="118"/>
      <c r="AK980" s="118"/>
    </row>
    <row r="981" spans="1:37">
      <c r="A981" s="131"/>
      <c r="B981" s="131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  <c r="AA981" s="118"/>
      <c r="AB981" s="118"/>
      <c r="AC981" s="118"/>
      <c r="AD981" s="118"/>
      <c r="AE981" s="118"/>
      <c r="AF981" s="118"/>
      <c r="AG981" s="118"/>
      <c r="AH981" s="118"/>
      <c r="AI981" s="118"/>
      <c r="AJ981" s="118"/>
      <c r="AK981" s="118"/>
    </row>
    <row r="982" spans="1:37">
      <c r="A982" s="131"/>
      <c r="B982" s="131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  <c r="AA982" s="118"/>
      <c r="AB982" s="118"/>
      <c r="AC982" s="118"/>
      <c r="AD982" s="118"/>
      <c r="AE982" s="118"/>
      <c r="AF982" s="118"/>
      <c r="AG982" s="118"/>
      <c r="AH982" s="118"/>
      <c r="AI982" s="118"/>
      <c r="AJ982" s="118"/>
      <c r="AK982" s="118"/>
    </row>
    <row r="983" spans="1:37">
      <c r="A983" s="131"/>
      <c r="B983" s="131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  <c r="AA983" s="118"/>
      <c r="AB983" s="118"/>
      <c r="AC983" s="118"/>
      <c r="AD983" s="118"/>
      <c r="AE983" s="118"/>
      <c r="AF983" s="118"/>
      <c r="AG983" s="118"/>
      <c r="AH983" s="118"/>
      <c r="AI983" s="118"/>
      <c r="AJ983" s="118"/>
      <c r="AK983" s="118"/>
    </row>
    <row r="984" spans="1:37">
      <c r="A984" s="131"/>
      <c r="B984" s="131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  <c r="AA984" s="118"/>
      <c r="AB984" s="118"/>
      <c r="AC984" s="118"/>
      <c r="AD984" s="118"/>
      <c r="AE984" s="118"/>
      <c r="AF984" s="118"/>
      <c r="AG984" s="118"/>
      <c r="AH984" s="118"/>
      <c r="AI984" s="118"/>
      <c r="AJ984" s="118"/>
      <c r="AK984" s="118"/>
    </row>
    <row r="985" spans="1:37">
      <c r="A985" s="131"/>
      <c r="B985" s="131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  <c r="AA985" s="118"/>
      <c r="AB985" s="118"/>
      <c r="AC985" s="118"/>
      <c r="AD985" s="118"/>
      <c r="AE985" s="118"/>
      <c r="AF985" s="118"/>
      <c r="AG985" s="118"/>
      <c r="AH985" s="118"/>
      <c r="AI985" s="118"/>
      <c r="AJ985" s="118"/>
      <c r="AK985" s="118"/>
    </row>
    <row r="986" spans="1:37">
      <c r="A986" s="131"/>
      <c r="B986" s="131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  <c r="AA986" s="118"/>
      <c r="AB986" s="118"/>
      <c r="AC986" s="118"/>
      <c r="AD986" s="118"/>
      <c r="AE986" s="118"/>
      <c r="AF986" s="118"/>
      <c r="AG986" s="118"/>
      <c r="AH986" s="118"/>
      <c r="AI986" s="118"/>
      <c r="AJ986" s="118"/>
      <c r="AK986" s="118"/>
    </row>
    <row r="987" spans="1:37">
      <c r="A987" s="131"/>
      <c r="B987" s="131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  <c r="AA987" s="118"/>
      <c r="AB987" s="118"/>
      <c r="AC987" s="118"/>
      <c r="AD987" s="118"/>
      <c r="AE987" s="118"/>
      <c r="AF987" s="118"/>
      <c r="AG987" s="118"/>
      <c r="AH987" s="118"/>
      <c r="AI987" s="118"/>
      <c r="AJ987" s="118"/>
      <c r="AK987" s="118"/>
    </row>
    <row r="988" spans="1:37">
      <c r="A988" s="131"/>
      <c r="B988" s="131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  <c r="AA988" s="118"/>
      <c r="AB988" s="118"/>
      <c r="AC988" s="118"/>
      <c r="AD988" s="118"/>
      <c r="AE988" s="118"/>
      <c r="AF988" s="118"/>
      <c r="AG988" s="118"/>
      <c r="AH988" s="118"/>
      <c r="AI988" s="118"/>
      <c r="AJ988" s="118"/>
      <c r="AK988" s="118"/>
    </row>
    <row r="989" spans="1:37">
      <c r="A989" s="131"/>
      <c r="B989" s="131"/>
      <c r="C989" s="118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  <c r="AA989" s="118"/>
      <c r="AB989" s="118"/>
      <c r="AC989" s="118"/>
      <c r="AD989" s="118"/>
      <c r="AE989" s="118"/>
      <c r="AF989" s="118"/>
      <c r="AG989" s="118"/>
      <c r="AH989" s="118"/>
      <c r="AI989" s="118"/>
      <c r="AJ989" s="118"/>
      <c r="AK989" s="118"/>
    </row>
    <row r="990" spans="1:37">
      <c r="A990" s="131"/>
      <c r="B990" s="131"/>
      <c r="C990" s="118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  <c r="AA990" s="118"/>
      <c r="AB990" s="118"/>
      <c r="AC990" s="118"/>
      <c r="AD990" s="118"/>
      <c r="AE990" s="118"/>
      <c r="AF990" s="118"/>
      <c r="AG990" s="118"/>
      <c r="AH990" s="118"/>
      <c r="AI990" s="118"/>
      <c r="AJ990" s="118"/>
      <c r="AK990" s="118"/>
    </row>
    <row r="991" spans="1:37">
      <c r="A991" s="131"/>
      <c r="B991" s="131"/>
      <c r="C991" s="118"/>
      <c r="D991" s="118"/>
      <c r="E991" s="118"/>
      <c r="F991" s="118"/>
      <c r="G991" s="118"/>
      <c r="H991" s="118"/>
      <c r="I991" s="118"/>
      <c r="J991" s="118"/>
      <c r="K991" s="118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  <c r="AA991" s="118"/>
      <c r="AB991" s="118"/>
      <c r="AC991" s="118"/>
      <c r="AD991" s="118"/>
      <c r="AE991" s="118"/>
      <c r="AF991" s="118"/>
      <c r="AG991" s="118"/>
      <c r="AH991" s="118"/>
      <c r="AI991" s="118"/>
      <c r="AJ991" s="118"/>
      <c r="AK991" s="118"/>
    </row>
    <row r="992" spans="1:37">
      <c r="A992" s="131"/>
      <c r="B992" s="131"/>
      <c r="C992" s="118"/>
      <c r="D992" s="118"/>
      <c r="E992" s="118"/>
      <c r="F992" s="118"/>
      <c r="G992" s="118"/>
      <c r="H992" s="118"/>
      <c r="I992" s="118"/>
      <c r="J992" s="118"/>
      <c r="K992" s="118"/>
      <c r="L992" s="118"/>
      <c r="M992" s="118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  <c r="AA992" s="118"/>
      <c r="AB992" s="118"/>
      <c r="AC992" s="118"/>
      <c r="AD992" s="118"/>
      <c r="AE992" s="118"/>
      <c r="AF992" s="118"/>
      <c r="AG992" s="118"/>
      <c r="AH992" s="118"/>
      <c r="AI992" s="118"/>
      <c r="AJ992" s="118"/>
      <c r="AK992" s="118"/>
    </row>
    <row r="993" spans="1:37">
      <c r="A993" s="131"/>
      <c r="B993" s="131"/>
      <c r="C993" s="118"/>
      <c r="D993" s="118"/>
      <c r="E993" s="118"/>
      <c r="F993" s="118"/>
      <c r="G993" s="118"/>
      <c r="H993" s="118"/>
      <c r="I993" s="118"/>
      <c r="J993" s="118"/>
      <c r="K993" s="118"/>
      <c r="L993" s="118"/>
      <c r="M993" s="118"/>
      <c r="N993" s="118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  <c r="AA993" s="118"/>
      <c r="AB993" s="118"/>
      <c r="AC993" s="118"/>
      <c r="AD993" s="118"/>
      <c r="AE993" s="118"/>
      <c r="AF993" s="118"/>
      <c r="AG993" s="118"/>
      <c r="AH993" s="118"/>
      <c r="AI993" s="118"/>
      <c r="AJ993" s="118"/>
      <c r="AK993" s="118"/>
    </row>
    <row r="994" spans="1:37">
      <c r="A994" s="131"/>
      <c r="B994" s="131"/>
      <c r="C994" s="118"/>
      <c r="D994" s="118"/>
      <c r="E994" s="118"/>
      <c r="F994" s="118"/>
      <c r="G994" s="118"/>
      <c r="H994" s="118"/>
      <c r="I994" s="118"/>
      <c r="J994" s="118"/>
      <c r="K994" s="118"/>
      <c r="L994" s="118"/>
      <c r="M994" s="118"/>
      <c r="N994" s="118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  <c r="Y994" s="118"/>
      <c r="Z994" s="118"/>
      <c r="AA994" s="118"/>
      <c r="AB994" s="118"/>
      <c r="AC994" s="118"/>
      <c r="AD994" s="118"/>
      <c r="AE994" s="118"/>
      <c r="AF994" s="118"/>
      <c r="AG994" s="118"/>
      <c r="AH994" s="118"/>
      <c r="AI994" s="118"/>
      <c r="AJ994" s="118"/>
      <c r="AK994" s="118"/>
    </row>
    <row r="995" spans="1:37">
      <c r="A995" s="131"/>
      <c r="B995" s="131"/>
      <c r="C995" s="118"/>
      <c r="D995" s="118"/>
      <c r="E995" s="118"/>
      <c r="F995" s="118"/>
      <c r="G995" s="118"/>
      <c r="H995" s="118"/>
      <c r="I995" s="118"/>
      <c r="J995" s="118"/>
      <c r="K995" s="118"/>
      <c r="L995" s="118"/>
      <c r="M995" s="118"/>
      <c r="N995" s="118"/>
      <c r="O995" s="118"/>
      <c r="P995" s="118"/>
      <c r="Q995" s="118"/>
      <c r="R995" s="118"/>
      <c r="S995" s="118"/>
      <c r="T995" s="118"/>
      <c r="U995" s="118"/>
      <c r="V995" s="118"/>
      <c r="W995" s="118"/>
      <c r="X995" s="118"/>
      <c r="Y995" s="118"/>
      <c r="Z995" s="118"/>
      <c r="AA995" s="118"/>
      <c r="AB995" s="118"/>
      <c r="AC995" s="118"/>
      <c r="AD995" s="118"/>
      <c r="AE995" s="118"/>
      <c r="AF995" s="118"/>
      <c r="AG995" s="118"/>
      <c r="AH995" s="118"/>
      <c r="AI995" s="118"/>
      <c r="AJ995" s="118"/>
      <c r="AK995" s="118"/>
    </row>
    <row r="996" spans="1:37">
      <c r="A996" s="131"/>
      <c r="B996" s="131"/>
      <c r="C996" s="118"/>
      <c r="D996" s="118"/>
      <c r="E996" s="118"/>
      <c r="F996" s="118"/>
      <c r="G996" s="118"/>
      <c r="H996" s="118"/>
      <c r="I996" s="118"/>
      <c r="J996" s="118"/>
      <c r="K996" s="118"/>
      <c r="L996" s="118"/>
      <c r="M996" s="118"/>
      <c r="N996" s="118"/>
      <c r="O996" s="118"/>
      <c r="P996" s="118"/>
      <c r="Q996" s="118"/>
      <c r="R996" s="118"/>
      <c r="S996" s="118"/>
      <c r="T996" s="118"/>
      <c r="U996" s="118"/>
      <c r="V996" s="118"/>
      <c r="W996" s="118"/>
      <c r="X996" s="118"/>
      <c r="Y996" s="118"/>
      <c r="Z996" s="118"/>
      <c r="AA996" s="118"/>
      <c r="AB996" s="118"/>
      <c r="AC996" s="118"/>
      <c r="AD996" s="118"/>
      <c r="AE996" s="118"/>
      <c r="AF996" s="118"/>
      <c r="AG996" s="118"/>
      <c r="AH996" s="118"/>
      <c r="AI996" s="118"/>
      <c r="AJ996" s="118"/>
      <c r="AK996" s="118"/>
    </row>
    <row r="997" spans="1:37">
      <c r="A997" s="131"/>
      <c r="B997" s="131"/>
      <c r="C997" s="118"/>
      <c r="D997" s="118"/>
      <c r="E997" s="118"/>
      <c r="F997" s="118"/>
      <c r="G997" s="118"/>
      <c r="H997" s="118"/>
      <c r="I997" s="118"/>
      <c r="J997" s="118"/>
      <c r="K997" s="118"/>
      <c r="L997" s="118"/>
      <c r="M997" s="118"/>
      <c r="N997" s="118"/>
      <c r="O997" s="118"/>
      <c r="P997" s="118"/>
      <c r="Q997" s="118"/>
      <c r="R997" s="118"/>
      <c r="S997" s="118"/>
      <c r="T997" s="118"/>
      <c r="U997" s="118"/>
      <c r="V997" s="118"/>
      <c r="W997" s="118"/>
      <c r="X997" s="118"/>
      <c r="Y997" s="118"/>
      <c r="Z997" s="118"/>
      <c r="AA997" s="118"/>
      <c r="AB997" s="118"/>
      <c r="AC997" s="118"/>
      <c r="AD997" s="118"/>
      <c r="AE997" s="118"/>
      <c r="AF997" s="118"/>
      <c r="AG997" s="118"/>
      <c r="AH997" s="118"/>
      <c r="AI997" s="118"/>
      <c r="AJ997" s="118"/>
      <c r="AK997" s="118"/>
    </row>
    <row r="998" spans="1:37">
      <c r="A998" s="131"/>
      <c r="B998" s="131"/>
      <c r="C998" s="118"/>
      <c r="D998" s="118"/>
      <c r="E998" s="118"/>
      <c r="F998" s="118"/>
      <c r="G998" s="118"/>
      <c r="H998" s="118"/>
      <c r="I998" s="118"/>
      <c r="J998" s="118"/>
      <c r="K998" s="118"/>
      <c r="L998" s="118"/>
      <c r="M998" s="118"/>
      <c r="N998" s="118"/>
      <c r="O998" s="118"/>
      <c r="P998" s="118"/>
      <c r="Q998" s="118"/>
      <c r="R998" s="118"/>
      <c r="S998" s="118"/>
      <c r="T998" s="118"/>
      <c r="U998" s="118"/>
      <c r="V998" s="118"/>
      <c r="W998" s="118"/>
      <c r="X998" s="118"/>
      <c r="Y998" s="118"/>
      <c r="Z998" s="118"/>
      <c r="AA998" s="118"/>
      <c r="AB998" s="118"/>
      <c r="AC998" s="118"/>
      <c r="AD998" s="118"/>
      <c r="AE998" s="118"/>
      <c r="AF998" s="118"/>
      <c r="AG998" s="118"/>
      <c r="AH998" s="118"/>
      <c r="AI998" s="118"/>
      <c r="AJ998" s="118"/>
      <c r="AK998" s="118"/>
    </row>
    <row r="999" spans="1:37">
      <c r="A999" s="131"/>
      <c r="B999" s="131"/>
      <c r="C999" s="118"/>
      <c r="D999" s="118"/>
      <c r="E999" s="118"/>
      <c r="F999" s="118"/>
      <c r="G999" s="118"/>
      <c r="H999" s="118"/>
      <c r="I999" s="118"/>
      <c r="J999" s="118"/>
      <c r="K999" s="118"/>
      <c r="L999" s="118"/>
      <c r="M999" s="118"/>
      <c r="N999" s="118"/>
      <c r="O999" s="118"/>
      <c r="P999" s="118"/>
      <c r="Q999" s="118"/>
      <c r="R999" s="118"/>
      <c r="S999" s="118"/>
      <c r="T999" s="118"/>
      <c r="U999" s="118"/>
      <c r="V999" s="118"/>
      <c r="W999" s="118"/>
      <c r="X999" s="118"/>
      <c r="Y999" s="118"/>
      <c r="Z999" s="118"/>
      <c r="AA999" s="118"/>
      <c r="AB999" s="118"/>
      <c r="AC999" s="118"/>
      <c r="AD999" s="118"/>
      <c r="AE999" s="118"/>
      <c r="AF999" s="118"/>
      <c r="AG999" s="118"/>
      <c r="AH999" s="118"/>
      <c r="AI999" s="118"/>
      <c r="AJ999" s="118"/>
      <c r="AK999" s="118"/>
    </row>
    <row r="1000" spans="1:37">
      <c r="A1000" s="131"/>
      <c r="B1000" s="131"/>
      <c r="C1000" s="118"/>
      <c r="D1000" s="118"/>
      <c r="E1000" s="118"/>
      <c r="F1000" s="118"/>
      <c r="G1000" s="118"/>
      <c r="H1000" s="118"/>
      <c r="I1000" s="118"/>
      <c r="J1000" s="118"/>
      <c r="K1000" s="118"/>
      <c r="L1000" s="118"/>
      <c r="M1000" s="118"/>
      <c r="N1000" s="118"/>
      <c r="O1000" s="118"/>
      <c r="P1000" s="118"/>
      <c r="Q1000" s="118"/>
      <c r="R1000" s="118"/>
      <c r="S1000" s="118"/>
      <c r="T1000" s="118"/>
      <c r="U1000" s="118"/>
      <c r="V1000" s="118"/>
      <c r="W1000" s="118"/>
      <c r="X1000" s="118"/>
      <c r="Y1000" s="118"/>
      <c r="Z1000" s="118"/>
      <c r="AA1000" s="118"/>
      <c r="AB1000" s="118"/>
      <c r="AC1000" s="118"/>
      <c r="AD1000" s="118"/>
      <c r="AE1000" s="118"/>
      <c r="AF1000" s="118"/>
      <c r="AG1000" s="118"/>
      <c r="AH1000" s="118"/>
      <c r="AI1000" s="118"/>
      <c r="AJ1000" s="118"/>
      <c r="AK1000" s="118"/>
    </row>
    <row r="1001" spans="1:37">
      <c r="A1001" s="131"/>
      <c r="B1001" s="131"/>
      <c r="C1001" s="118"/>
      <c r="D1001" s="118"/>
      <c r="E1001" s="118"/>
      <c r="F1001" s="118"/>
      <c r="G1001" s="118"/>
      <c r="H1001" s="118"/>
      <c r="I1001" s="118"/>
      <c r="J1001" s="118"/>
      <c r="K1001" s="118"/>
      <c r="L1001" s="118"/>
      <c r="M1001" s="118"/>
      <c r="N1001" s="118"/>
      <c r="O1001" s="118"/>
      <c r="P1001" s="118"/>
      <c r="Q1001" s="118"/>
      <c r="R1001" s="118"/>
      <c r="S1001" s="118"/>
      <c r="T1001" s="118"/>
      <c r="U1001" s="118"/>
      <c r="V1001" s="118"/>
      <c r="W1001" s="118"/>
      <c r="X1001" s="118"/>
      <c r="Y1001" s="118"/>
      <c r="Z1001" s="118"/>
      <c r="AA1001" s="118"/>
      <c r="AB1001" s="118"/>
      <c r="AC1001" s="118"/>
      <c r="AD1001" s="118"/>
      <c r="AE1001" s="118"/>
      <c r="AF1001" s="118"/>
      <c r="AG1001" s="118"/>
      <c r="AH1001" s="118"/>
      <c r="AI1001" s="118"/>
      <c r="AJ1001" s="118"/>
      <c r="AK1001" s="118"/>
    </row>
    <row r="1002" spans="1:37">
      <c r="A1002" s="131"/>
      <c r="B1002" s="131"/>
      <c r="C1002" s="118"/>
      <c r="D1002" s="118"/>
      <c r="E1002" s="118"/>
      <c r="F1002" s="118"/>
      <c r="G1002" s="118"/>
      <c r="H1002" s="118"/>
      <c r="I1002" s="118"/>
      <c r="J1002" s="118"/>
      <c r="K1002" s="118"/>
      <c r="L1002" s="118"/>
      <c r="M1002" s="118"/>
      <c r="N1002" s="118"/>
      <c r="O1002" s="118"/>
      <c r="P1002" s="118"/>
      <c r="Q1002" s="118"/>
      <c r="R1002" s="118"/>
      <c r="S1002" s="118"/>
      <c r="T1002" s="118"/>
      <c r="U1002" s="118"/>
      <c r="V1002" s="118"/>
      <c r="W1002" s="118"/>
      <c r="X1002" s="118"/>
      <c r="Y1002" s="118"/>
      <c r="Z1002" s="118"/>
      <c r="AA1002" s="118"/>
      <c r="AB1002" s="118"/>
      <c r="AC1002" s="118"/>
      <c r="AD1002" s="118"/>
      <c r="AE1002" s="118"/>
      <c r="AF1002" s="118"/>
      <c r="AG1002" s="118"/>
      <c r="AH1002" s="118"/>
      <c r="AI1002" s="118"/>
      <c r="AJ1002" s="118"/>
      <c r="AK1002" s="118"/>
    </row>
    <row r="1003" spans="1:37">
      <c r="A1003" s="131"/>
      <c r="B1003" s="131"/>
      <c r="C1003" s="118"/>
      <c r="D1003" s="118"/>
      <c r="E1003" s="118"/>
      <c r="F1003" s="118"/>
      <c r="G1003" s="118"/>
      <c r="H1003" s="118"/>
      <c r="I1003" s="118"/>
      <c r="J1003" s="118"/>
      <c r="K1003" s="118"/>
      <c r="L1003" s="118"/>
      <c r="M1003" s="118"/>
      <c r="N1003" s="118"/>
      <c r="O1003" s="118"/>
      <c r="P1003" s="118"/>
      <c r="Q1003" s="118"/>
      <c r="R1003" s="118"/>
      <c r="S1003" s="118"/>
      <c r="T1003" s="118"/>
      <c r="U1003" s="118"/>
      <c r="V1003" s="118"/>
      <c r="W1003" s="118"/>
      <c r="X1003" s="118"/>
      <c r="Y1003" s="118"/>
      <c r="Z1003" s="118"/>
      <c r="AA1003" s="118"/>
      <c r="AB1003" s="118"/>
      <c r="AC1003" s="118"/>
      <c r="AD1003" s="118"/>
      <c r="AE1003" s="118"/>
      <c r="AF1003" s="118"/>
      <c r="AG1003" s="118"/>
      <c r="AH1003" s="118"/>
      <c r="AI1003" s="118"/>
      <c r="AJ1003" s="118"/>
      <c r="AK1003" s="118"/>
    </row>
    <row r="1004" spans="1:37">
      <c r="A1004" s="131"/>
      <c r="B1004" s="131"/>
      <c r="C1004" s="118"/>
      <c r="D1004" s="118"/>
      <c r="E1004" s="118"/>
      <c r="F1004" s="118"/>
      <c r="G1004" s="118"/>
      <c r="H1004" s="118"/>
      <c r="I1004" s="118"/>
      <c r="J1004" s="118"/>
      <c r="K1004" s="118"/>
      <c r="L1004" s="118"/>
      <c r="M1004" s="118"/>
      <c r="N1004" s="118"/>
      <c r="O1004" s="118"/>
      <c r="P1004" s="118"/>
      <c r="Q1004" s="118"/>
      <c r="R1004" s="118"/>
      <c r="S1004" s="118"/>
      <c r="T1004" s="118"/>
      <c r="U1004" s="118"/>
      <c r="V1004" s="118"/>
      <c r="W1004" s="118"/>
      <c r="X1004" s="118"/>
      <c r="Y1004" s="118"/>
      <c r="Z1004" s="118"/>
      <c r="AA1004" s="118"/>
      <c r="AB1004" s="118"/>
      <c r="AC1004" s="118"/>
      <c r="AD1004" s="118"/>
      <c r="AE1004" s="118"/>
      <c r="AF1004" s="118"/>
      <c r="AG1004" s="118"/>
      <c r="AH1004" s="118"/>
      <c r="AI1004" s="118"/>
      <c r="AJ1004" s="118"/>
      <c r="AK1004" s="118"/>
    </row>
    <row r="1005" spans="1:37">
      <c r="A1005" s="131"/>
      <c r="B1005" s="131"/>
      <c r="C1005" s="118"/>
      <c r="D1005" s="118"/>
      <c r="E1005" s="118"/>
      <c r="F1005" s="118"/>
      <c r="G1005" s="118"/>
      <c r="H1005" s="118"/>
      <c r="I1005" s="118"/>
      <c r="J1005" s="118"/>
      <c r="K1005" s="118"/>
      <c r="L1005" s="118"/>
      <c r="M1005" s="118"/>
      <c r="N1005" s="118"/>
      <c r="O1005" s="118"/>
      <c r="P1005" s="118"/>
      <c r="Q1005" s="118"/>
      <c r="R1005" s="118"/>
      <c r="S1005" s="118"/>
      <c r="T1005" s="118"/>
      <c r="U1005" s="118"/>
      <c r="V1005" s="118"/>
      <c r="W1005" s="118"/>
      <c r="X1005" s="118"/>
      <c r="Y1005" s="118"/>
      <c r="Z1005" s="118"/>
      <c r="AA1005" s="118"/>
      <c r="AB1005" s="118"/>
      <c r="AC1005" s="118"/>
      <c r="AD1005" s="118"/>
      <c r="AE1005" s="118"/>
      <c r="AF1005" s="118"/>
      <c r="AG1005" s="118"/>
      <c r="AH1005" s="118"/>
      <c r="AI1005" s="118"/>
      <c r="AJ1005" s="118"/>
      <c r="AK1005" s="118"/>
    </row>
    <row r="1006" spans="1:37">
      <c r="A1006" s="131"/>
      <c r="B1006" s="131"/>
      <c r="C1006" s="118"/>
      <c r="D1006" s="118"/>
      <c r="E1006" s="118"/>
      <c r="F1006" s="118"/>
      <c r="G1006" s="118"/>
      <c r="H1006" s="118"/>
      <c r="I1006" s="118"/>
      <c r="J1006" s="118"/>
      <c r="K1006" s="118"/>
      <c r="L1006" s="118"/>
      <c r="M1006" s="118"/>
      <c r="N1006" s="118"/>
      <c r="O1006" s="118"/>
      <c r="P1006" s="118"/>
      <c r="Q1006" s="118"/>
      <c r="R1006" s="118"/>
      <c r="S1006" s="118"/>
      <c r="T1006" s="118"/>
      <c r="U1006" s="118"/>
      <c r="V1006" s="118"/>
      <c r="W1006" s="118"/>
      <c r="X1006" s="118"/>
      <c r="Y1006" s="118"/>
      <c r="Z1006" s="118"/>
      <c r="AA1006" s="118"/>
      <c r="AB1006" s="118"/>
      <c r="AC1006" s="118"/>
      <c r="AD1006" s="118"/>
      <c r="AE1006" s="118"/>
      <c r="AF1006" s="118"/>
      <c r="AG1006" s="118"/>
      <c r="AH1006" s="118"/>
      <c r="AI1006" s="118"/>
      <c r="AJ1006" s="118"/>
      <c r="AK1006" s="118"/>
    </row>
    <row r="1007" spans="1:37">
      <c r="A1007" s="131"/>
      <c r="B1007" s="131"/>
      <c r="C1007" s="118"/>
      <c r="D1007" s="118"/>
      <c r="E1007" s="118"/>
      <c r="F1007" s="118"/>
      <c r="G1007" s="118"/>
      <c r="H1007" s="118"/>
      <c r="I1007" s="118"/>
      <c r="J1007" s="118"/>
      <c r="K1007" s="118"/>
      <c r="L1007" s="118"/>
      <c r="M1007" s="118"/>
      <c r="N1007" s="118"/>
      <c r="O1007" s="118"/>
      <c r="P1007" s="118"/>
      <c r="Q1007" s="118"/>
      <c r="R1007" s="118"/>
      <c r="S1007" s="118"/>
      <c r="T1007" s="118"/>
      <c r="U1007" s="118"/>
      <c r="V1007" s="118"/>
      <c r="W1007" s="118"/>
      <c r="X1007" s="118"/>
      <c r="Y1007" s="118"/>
      <c r="Z1007" s="118"/>
      <c r="AA1007" s="118"/>
      <c r="AB1007" s="118"/>
      <c r="AC1007" s="118"/>
      <c r="AD1007" s="118"/>
      <c r="AE1007" s="118"/>
      <c r="AF1007" s="118"/>
      <c r="AG1007" s="118"/>
      <c r="AH1007" s="118"/>
      <c r="AI1007" s="118"/>
      <c r="AJ1007" s="118"/>
      <c r="AK1007" s="118"/>
    </row>
    <row r="1008" spans="1:37">
      <c r="A1008" s="131"/>
      <c r="B1008" s="131"/>
      <c r="C1008" s="118"/>
      <c r="D1008" s="118"/>
      <c r="E1008" s="118"/>
      <c r="F1008" s="118"/>
      <c r="G1008" s="118"/>
      <c r="H1008" s="118"/>
      <c r="I1008" s="118"/>
      <c r="J1008" s="118"/>
      <c r="K1008" s="118"/>
      <c r="L1008" s="118"/>
      <c r="M1008" s="118"/>
      <c r="N1008" s="118"/>
      <c r="O1008" s="118"/>
      <c r="P1008" s="118"/>
      <c r="Q1008" s="118"/>
      <c r="R1008" s="118"/>
      <c r="S1008" s="118"/>
      <c r="T1008" s="118"/>
      <c r="U1008" s="118"/>
      <c r="V1008" s="118"/>
      <c r="W1008" s="118"/>
      <c r="X1008" s="118"/>
      <c r="Y1008" s="118"/>
      <c r="Z1008" s="118"/>
      <c r="AA1008" s="118"/>
      <c r="AB1008" s="118"/>
      <c r="AC1008" s="118"/>
      <c r="AD1008" s="118"/>
      <c r="AE1008" s="118"/>
      <c r="AF1008" s="118"/>
      <c r="AG1008" s="118"/>
      <c r="AH1008" s="118"/>
      <c r="AI1008" s="118"/>
      <c r="AJ1008" s="118"/>
      <c r="AK1008" s="118"/>
    </row>
    <row r="1009" spans="1:37">
      <c r="A1009" s="131"/>
      <c r="B1009" s="131"/>
      <c r="C1009" s="118"/>
      <c r="D1009" s="118"/>
      <c r="E1009" s="118"/>
      <c r="F1009" s="118"/>
      <c r="G1009" s="118"/>
      <c r="H1009" s="118"/>
      <c r="I1009" s="118"/>
      <c r="J1009" s="118"/>
      <c r="K1009" s="118"/>
      <c r="L1009" s="118"/>
      <c r="M1009" s="118"/>
      <c r="N1009" s="118"/>
      <c r="O1009" s="118"/>
      <c r="P1009" s="118"/>
      <c r="Q1009" s="118"/>
      <c r="R1009" s="118"/>
      <c r="S1009" s="118"/>
      <c r="T1009" s="118"/>
      <c r="U1009" s="118"/>
      <c r="V1009" s="118"/>
      <c r="W1009" s="118"/>
      <c r="X1009" s="118"/>
      <c r="Y1009" s="118"/>
      <c r="Z1009" s="118"/>
      <c r="AA1009" s="118"/>
      <c r="AB1009" s="118"/>
      <c r="AC1009" s="118"/>
      <c r="AD1009" s="118"/>
      <c r="AE1009" s="118"/>
      <c r="AF1009" s="118"/>
      <c r="AG1009" s="118"/>
      <c r="AH1009" s="118"/>
      <c r="AI1009" s="118"/>
      <c r="AJ1009" s="118"/>
      <c r="AK1009" s="118"/>
    </row>
    <row r="1010" spans="1:37">
      <c r="A1010" s="131"/>
      <c r="B1010" s="131"/>
      <c r="C1010" s="118"/>
      <c r="D1010" s="118"/>
      <c r="E1010" s="118"/>
      <c r="F1010" s="118"/>
      <c r="G1010" s="118"/>
      <c r="H1010" s="118"/>
      <c r="I1010" s="118"/>
      <c r="J1010" s="118"/>
      <c r="K1010" s="118"/>
      <c r="L1010" s="118"/>
      <c r="M1010" s="118"/>
      <c r="N1010" s="118"/>
      <c r="O1010" s="118"/>
      <c r="P1010" s="118"/>
      <c r="Q1010" s="118"/>
      <c r="R1010" s="118"/>
      <c r="S1010" s="118"/>
      <c r="T1010" s="118"/>
      <c r="U1010" s="118"/>
      <c r="V1010" s="118"/>
      <c r="W1010" s="118"/>
      <c r="X1010" s="118"/>
      <c r="Y1010" s="118"/>
      <c r="Z1010" s="118"/>
      <c r="AA1010" s="118"/>
      <c r="AB1010" s="118"/>
      <c r="AC1010" s="118"/>
      <c r="AD1010" s="118"/>
      <c r="AE1010" s="118"/>
      <c r="AF1010" s="118"/>
      <c r="AG1010" s="118"/>
      <c r="AH1010" s="118"/>
      <c r="AI1010" s="118"/>
      <c r="AJ1010" s="118"/>
      <c r="AK1010" s="118"/>
    </row>
    <row r="1011" spans="1:37">
      <c r="A1011" s="131"/>
      <c r="B1011" s="131"/>
      <c r="C1011" s="118"/>
      <c r="D1011" s="118"/>
      <c r="E1011" s="118"/>
      <c r="F1011" s="118"/>
      <c r="G1011" s="118"/>
      <c r="H1011" s="118"/>
      <c r="I1011" s="118"/>
      <c r="J1011" s="118"/>
      <c r="K1011" s="118"/>
      <c r="L1011" s="118"/>
      <c r="M1011" s="118"/>
      <c r="N1011" s="118"/>
      <c r="O1011" s="118"/>
      <c r="P1011" s="118"/>
      <c r="Q1011" s="118"/>
      <c r="R1011" s="118"/>
      <c r="S1011" s="118"/>
      <c r="T1011" s="118"/>
      <c r="U1011" s="118"/>
      <c r="V1011" s="118"/>
      <c r="W1011" s="118"/>
      <c r="X1011" s="118"/>
      <c r="Y1011" s="118"/>
      <c r="Z1011" s="118"/>
      <c r="AA1011" s="118"/>
      <c r="AB1011" s="118"/>
      <c r="AC1011" s="118"/>
      <c r="AD1011" s="118"/>
      <c r="AE1011" s="118"/>
      <c r="AF1011" s="118"/>
      <c r="AG1011" s="118"/>
      <c r="AH1011" s="118"/>
      <c r="AI1011" s="118"/>
      <c r="AJ1011" s="118"/>
      <c r="AK1011" s="118"/>
    </row>
    <row r="1012" spans="1:37">
      <c r="A1012" s="131"/>
      <c r="B1012" s="131"/>
      <c r="C1012" s="118"/>
      <c r="D1012" s="118"/>
      <c r="E1012" s="118"/>
      <c r="F1012" s="118"/>
      <c r="G1012" s="118"/>
      <c r="H1012" s="118"/>
      <c r="I1012" s="118"/>
      <c r="J1012" s="118"/>
      <c r="K1012" s="118"/>
      <c r="L1012" s="118"/>
      <c r="M1012" s="118"/>
      <c r="N1012" s="118"/>
      <c r="O1012" s="118"/>
      <c r="P1012" s="118"/>
      <c r="Q1012" s="118"/>
      <c r="R1012" s="118"/>
      <c r="S1012" s="118"/>
      <c r="T1012" s="118"/>
      <c r="U1012" s="118"/>
      <c r="V1012" s="118"/>
      <c r="W1012" s="118"/>
      <c r="X1012" s="118"/>
      <c r="Y1012" s="118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</row>
    <row r="1013" spans="1:37">
      <c r="A1013" s="131"/>
      <c r="B1013" s="131"/>
      <c r="C1013" s="118"/>
      <c r="D1013" s="118"/>
      <c r="E1013" s="118"/>
      <c r="F1013" s="118"/>
      <c r="G1013" s="118"/>
      <c r="H1013" s="118"/>
      <c r="I1013" s="118"/>
      <c r="J1013" s="118"/>
      <c r="K1013" s="118"/>
      <c r="L1013" s="118"/>
      <c r="M1013" s="118"/>
      <c r="N1013" s="118"/>
      <c r="O1013" s="118"/>
      <c r="P1013" s="118"/>
      <c r="Q1013" s="118"/>
      <c r="R1013" s="118"/>
      <c r="S1013" s="118"/>
      <c r="T1013" s="118"/>
      <c r="U1013" s="118"/>
      <c r="V1013" s="118"/>
      <c r="W1013" s="118"/>
      <c r="X1013" s="118"/>
      <c r="Y1013" s="118"/>
      <c r="Z1013" s="118"/>
      <c r="AA1013" s="118"/>
      <c r="AB1013" s="118"/>
      <c r="AC1013" s="118"/>
      <c r="AD1013" s="118"/>
      <c r="AE1013" s="118"/>
      <c r="AF1013" s="118"/>
      <c r="AG1013" s="118"/>
      <c r="AH1013" s="118"/>
      <c r="AI1013" s="118"/>
      <c r="AJ1013" s="118"/>
      <c r="AK1013" s="118"/>
    </row>
    <row r="1014" spans="1:37">
      <c r="A1014" s="131"/>
      <c r="B1014" s="131"/>
      <c r="C1014" s="118"/>
      <c r="D1014" s="118"/>
      <c r="E1014" s="118"/>
      <c r="F1014" s="118"/>
      <c r="G1014" s="118"/>
      <c r="H1014" s="118"/>
      <c r="I1014" s="118"/>
      <c r="J1014" s="118"/>
      <c r="K1014" s="118"/>
      <c r="L1014" s="118"/>
      <c r="M1014" s="118"/>
      <c r="N1014" s="118"/>
      <c r="O1014" s="118"/>
      <c r="P1014" s="118"/>
      <c r="Q1014" s="118"/>
      <c r="R1014" s="118"/>
      <c r="S1014" s="118"/>
      <c r="T1014" s="118"/>
      <c r="U1014" s="118"/>
      <c r="V1014" s="118"/>
      <c r="W1014" s="118"/>
      <c r="X1014" s="118"/>
      <c r="Y1014" s="118"/>
      <c r="Z1014" s="118"/>
      <c r="AA1014" s="118"/>
      <c r="AB1014" s="118"/>
      <c r="AC1014" s="118"/>
      <c r="AD1014" s="118"/>
      <c r="AE1014" s="118"/>
      <c r="AF1014" s="118"/>
      <c r="AG1014" s="118"/>
      <c r="AH1014" s="118"/>
      <c r="AI1014" s="118"/>
      <c r="AJ1014" s="118"/>
      <c r="AK1014" s="118"/>
    </row>
    <row r="1015" spans="1:37">
      <c r="A1015" s="131"/>
      <c r="B1015" s="131"/>
      <c r="C1015" s="118"/>
      <c r="D1015" s="118"/>
      <c r="E1015" s="118"/>
      <c r="F1015" s="118"/>
      <c r="G1015" s="118"/>
      <c r="H1015" s="118"/>
      <c r="I1015" s="118"/>
      <c r="J1015" s="118"/>
      <c r="K1015" s="118"/>
      <c r="L1015" s="118"/>
      <c r="M1015" s="118"/>
      <c r="N1015" s="118"/>
      <c r="O1015" s="118"/>
      <c r="P1015" s="118"/>
      <c r="Q1015" s="118"/>
      <c r="R1015" s="118"/>
      <c r="S1015" s="118"/>
      <c r="T1015" s="118"/>
      <c r="U1015" s="118"/>
      <c r="V1015" s="118"/>
      <c r="W1015" s="118"/>
      <c r="X1015" s="118"/>
      <c r="Y1015" s="118"/>
      <c r="Z1015" s="118"/>
      <c r="AA1015" s="118"/>
      <c r="AB1015" s="118"/>
      <c r="AC1015" s="118"/>
      <c r="AD1015" s="118"/>
      <c r="AE1015" s="118"/>
      <c r="AF1015" s="118"/>
      <c r="AG1015" s="118"/>
      <c r="AH1015" s="118"/>
      <c r="AI1015" s="118"/>
      <c r="AJ1015" s="118"/>
      <c r="AK1015" s="118"/>
    </row>
    <row r="1016" spans="1:37">
      <c r="A1016" s="131"/>
      <c r="B1016" s="131"/>
      <c r="C1016" s="118"/>
      <c r="D1016" s="118"/>
      <c r="E1016" s="118"/>
      <c r="F1016" s="118"/>
      <c r="G1016" s="118"/>
      <c r="H1016" s="118"/>
      <c r="I1016" s="118"/>
      <c r="J1016" s="118"/>
      <c r="K1016" s="118"/>
      <c r="L1016" s="118"/>
      <c r="M1016" s="118"/>
      <c r="N1016" s="118"/>
      <c r="O1016" s="118"/>
      <c r="P1016" s="118"/>
      <c r="Q1016" s="118"/>
      <c r="R1016" s="118"/>
      <c r="S1016" s="118"/>
      <c r="T1016" s="118"/>
      <c r="U1016" s="118"/>
      <c r="V1016" s="118"/>
      <c r="W1016" s="118"/>
      <c r="X1016" s="118"/>
      <c r="Y1016" s="118"/>
      <c r="Z1016" s="118"/>
      <c r="AA1016" s="118"/>
      <c r="AB1016" s="118"/>
      <c r="AC1016" s="118"/>
      <c r="AD1016" s="118"/>
      <c r="AE1016" s="118"/>
      <c r="AF1016" s="118"/>
      <c r="AG1016" s="118"/>
      <c r="AH1016" s="118"/>
      <c r="AI1016" s="118"/>
      <c r="AJ1016" s="118"/>
      <c r="AK1016" s="118"/>
    </row>
    <row r="1017" spans="1:37">
      <c r="A1017" s="131"/>
      <c r="B1017" s="131"/>
      <c r="C1017" s="118"/>
      <c r="D1017" s="118"/>
      <c r="E1017" s="118"/>
      <c r="F1017" s="118"/>
      <c r="G1017" s="118"/>
      <c r="H1017" s="118"/>
      <c r="I1017" s="118"/>
      <c r="J1017" s="118"/>
      <c r="K1017" s="118"/>
      <c r="L1017" s="118"/>
      <c r="M1017" s="118"/>
      <c r="N1017" s="118"/>
      <c r="O1017" s="118"/>
      <c r="P1017" s="118"/>
      <c r="Q1017" s="118"/>
      <c r="R1017" s="118"/>
      <c r="S1017" s="118"/>
      <c r="T1017" s="118"/>
      <c r="U1017" s="118"/>
      <c r="V1017" s="118"/>
      <c r="W1017" s="118"/>
      <c r="X1017" s="118"/>
      <c r="Y1017" s="118"/>
      <c r="Z1017" s="118"/>
      <c r="AA1017" s="118"/>
      <c r="AB1017" s="118"/>
      <c r="AC1017" s="118"/>
      <c r="AD1017" s="118"/>
      <c r="AE1017" s="118"/>
      <c r="AF1017" s="118"/>
      <c r="AG1017" s="118"/>
      <c r="AH1017" s="118"/>
      <c r="AI1017" s="118"/>
      <c r="AJ1017" s="118"/>
      <c r="AK1017" s="118"/>
    </row>
    <row r="1018" spans="1:37">
      <c r="A1018" s="131"/>
      <c r="B1018" s="131"/>
      <c r="C1018" s="118"/>
      <c r="D1018" s="118"/>
      <c r="E1018" s="118"/>
      <c r="F1018" s="118"/>
      <c r="G1018" s="118"/>
      <c r="H1018" s="118"/>
      <c r="I1018" s="118"/>
      <c r="J1018" s="118"/>
      <c r="K1018" s="118"/>
      <c r="L1018" s="118"/>
      <c r="M1018" s="118"/>
      <c r="N1018" s="118"/>
      <c r="O1018" s="118"/>
      <c r="P1018" s="118"/>
      <c r="Q1018" s="118"/>
      <c r="R1018" s="118"/>
      <c r="S1018" s="118"/>
      <c r="T1018" s="118"/>
      <c r="U1018" s="118"/>
      <c r="V1018" s="118"/>
      <c r="W1018" s="118"/>
      <c r="X1018" s="118"/>
      <c r="Y1018" s="118"/>
      <c r="Z1018" s="118"/>
      <c r="AA1018" s="118"/>
      <c r="AB1018" s="118"/>
      <c r="AC1018" s="118"/>
      <c r="AD1018" s="118"/>
      <c r="AE1018" s="118"/>
      <c r="AF1018" s="118"/>
      <c r="AG1018" s="118"/>
      <c r="AH1018" s="118"/>
      <c r="AI1018" s="118"/>
      <c r="AJ1018" s="118"/>
      <c r="AK1018" s="118"/>
    </row>
    <row r="1019" spans="1:37">
      <c r="A1019" s="131"/>
      <c r="B1019" s="131"/>
      <c r="C1019" s="118"/>
      <c r="D1019" s="118"/>
      <c r="E1019" s="118"/>
      <c r="F1019" s="118"/>
      <c r="G1019" s="118"/>
      <c r="H1019" s="118"/>
      <c r="I1019" s="118"/>
      <c r="J1019" s="118"/>
      <c r="K1019" s="118"/>
      <c r="L1019" s="118"/>
      <c r="M1019" s="118"/>
      <c r="N1019" s="118"/>
      <c r="O1019" s="118"/>
      <c r="P1019" s="118"/>
      <c r="Q1019" s="118"/>
      <c r="R1019" s="118"/>
      <c r="S1019" s="118"/>
      <c r="T1019" s="118"/>
      <c r="U1019" s="118"/>
      <c r="V1019" s="118"/>
      <c r="W1019" s="118"/>
      <c r="X1019" s="118"/>
      <c r="Y1019" s="118"/>
      <c r="Z1019" s="118"/>
      <c r="AA1019" s="118"/>
      <c r="AB1019" s="118"/>
      <c r="AC1019" s="118"/>
      <c r="AD1019" s="118"/>
      <c r="AE1019" s="118"/>
      <c r="AF1019" s="118"/>
      <c r="AG1019" s="118"/>
      <c r="AH1019" s="118"/>
      <c r="AI1019" s="118"/>
      <c r="AJ1019" s="118"/>
      <c r="AK1019" s="118"/>
    </row>
    <row r="1020" spans="1:37">
      <c r="A1020" s="131"/>
      <c r="B1020" s="131"/>
      <c r="C1020" s="118"/>
      <c r="D1020" s="118"/>
      <c r="E1020" s="118"/>
      <c r="F1020" s="118"/>
      <c r="G1020" s="118"/>
      <c r="H1020" s="118"/>
      <c r="I1020" s="118"/>
      <c r="J1020" s="118"/>
      <c r="K1020" s="118"/>
      <c r="L1020" s="118"/>
      <c r="M1020" s="118"/>
      <c r="N1020" s="118"/>
      <c r="O1020" s="118"/>
      <c r="P1020" s="118"/>
      <c r="Q1020" s="118"/>
      <c r="R1020" s="118"/>
      <c r="S1020" s="118"/>
      <c r="T1020" s="118"/>
      <c r="U1020" s="118"/>
      <c r="V1020" s="118"/>
      <c r="W1020" s="118"/>
      <c r="X1020" s="118"/>
      <c r="Y1020" s="118"/>
      <c r="Z1020" s="118"/>
      <c r="AA1020" s="118"/>
      <c r="AB1020" s="118"/>
      <c r="AC1020" s="118"/>
      <c r="AD1020" s="118"/>
      <c r="AE1020" s="118"/>
      <c r="AF1020" s="118"/>
      <c r="AG1020" s="118"/>
      <c r="AH1020" s="118"/>
      <c r="AI1020" s="118"/>
      <c r="AJ1020" s="118"/>
      <c r="AK1020" s="118"/>
    </row>
    <row r="1021" spans="1:37">
      <c r="A1021" s="131"/>
      <c r="B1021" s="131"/>
      <c r="C1021" s="118"/>
      <c r="D1021" s="118"/>
      <c r="E1021" s="118"/>
      <c r="F1021" s="118"/>
      <c r="G1021" s="118"/>
      <c r="H1021" s="118"/>
      <c r="I1021" s="118"/>
      <c r="J1021" s="118"/>
      <c r="K1021" s="118"/>
      <c r="L1021" s="118"/>
      <c r="M1021" s="118"/>
      <c r="N1021" s="118"/>
      <c r="O1021" s="118"/>
      <c r="P1021" s="118"/>
      <c r="Q1021" s="118"/>
      <c r="R1021" s="118"/>
      <c r="S1021" s="118"/>
      <c r="T1021" s="118"/>
      <c r="U1021" s="118"/>
      <c r="V1021" s="118"/>
      <c r="W1021" s="118"/>
      <c r="X1021" s="118"/>
      <c r="Y1021" s="118"/>
      <c r="Z1021" s="118"/>
      <c r="AA1021" s="118"/>
      <c r="AB1021" s="118"/>
      <c r="AC1021" s="118"/>
      <c r="AD1021" s="118"/>
      <c r="AE1021" s="118"/>
      <c r="AF1021" s="118"/>
      <c r="AG1021" s="118"/>
      <c r="AH1021" s="118"/>
      <c r="AI1021" s="118"/>
      <c r="AJ1021" s="118"/>
      <c r="AK1021" s="118"/>
    </row>
    <row r="1022" spans="1:37">
      <c r="A1022" s="131"/>
      <c r="B1022" s="131"/>
      <c r="C1022" s="118"/>
      <c r="D1022" s="118"/>
      <c r="E1022" s="118"/>
      <c r="F1022" s="118"/>
      <c r="G1022" s="118"/>
      <c r="H1022" s="118"/>
      <c r="I1022" s="118"/>
      <c r="J1022" s="118"/>
      <c r="K1022" s="118"/>
      <c r="L1022" s="118"/>
      <c r="M1022" s="118"/>
      <c r="N1022" s="118"/>
      <c r="O1022" s="118"/>
      <c r="P1022" s="118"/>
      <c r="Q1022" s="118"/>
      <c r="R1022" s="118"/>
      <c r="S1022" s="118"/>
      <c r="T1022" s="118"/>
      <c r="U1022" s="118"/>
      <c r="V1022" s="118"/>
      <c r="W1022" s="118"/>
      <c r="X1022" s="118"/>
      <c r="Y1022" s="118"/>
      <c r="Z1022" s="118"/>
      <c r="AA1022" s="118"/>
      <c r="AB1022" s="118"/>
      <c r="AC1022" s="118"/>
      <c r="AD1022" s="118"/>
      <c r="AE1022" s="118"/>
      <c r="AF1022" s="118"/>
      <c r="AG1022" s="118"/>
      <c r="AH1022" s="118"/>
      <c r="AI1022" s="118"/>
      <c r="AJ1022" s="118"/>
      <c r="AK1022" s="118"/>
    </row>
    <row r="1023" spans="1:37">
      <c r="A1023" s="131"/>
      <c r="B1023" s="131"/>
      <c r="C1023" s="118"/>
      <c r="D1023" s="118"/>
      <c r="E1023" s="118"/>
      <c r="F1023" s="118"/>
      <c r="G1023" s="118"/>
      <c r="H1023" s="118"/>
      <c r="I1023" s="118"/>
      <c r="J1023" s="118"/>
      <c r="K1023" s="118"/>
      <c r="L1023" s="118"/>
      <c r="M1023" s="118"/>
      <c r="N1023" s="118"/>
      <c r="O1023" s="118"/>
      <c r="P1023" s="118"/>
      <c r="Q1023" s="118"/>
      <c r="R1023" s="118"/>
      <c r="S1023" s="118"/>
      <c r="T1023" s="118"/>
      <c r="U1023" s="118"/>
      <c r="V1023" s="118"/>
      <c r="W1023" s="118"/>
      <c r="X1023" s="118"/>
      <c r="Y1023" s="118"/>
      <c r="Z1023" s="118"/>
      <c r="AA1023" s="118"/>
      <c r="AB1023" s="118"/>
      <c r="AC1023" s="118"/>
      <c r="AD1023" s="118"/>
      <c r="AE1023" s="118"/>
      <c r="AF1023" s="118"/>
      <c r="AG1023" s="118"/>
      <c r="AH1023" s="118"/>
      <c r="AI1023" s="118"/>
      <c r="AJ1023" s="118"/>
      <c r="AK1023" s="118"/>
    </row>
    <row r="1024" spans="1:37">
      <c r="A1024" s="131"/>
      <c r="B1024" s="131"/>
      <c r="C1024" s="118"/>
      <c r="D1024" s="118"/>
      <c r="E1024" s="118"/>
      <c r="F1024" s="118"/>
      <c r="G1024" s="118"/>
      <c r="H1024" s="118"/>
      <c r="I1024" s="118"/>
      <c r="J1024" s="118"/>
      <c r="K1024" s="118"/>
      <c r="L1024" s="118"/>
      <c r="M1024" s="118"/>
      <c r="N1024" s="118"/>
      <c r="O1024" s="118"/>
      <c r="P1024" s="118"/>
      <c r="Q1024" s="118"/>
      <c r="R1024" s="118"/>
      <c r="S1024" s="118"/>
      <c r="T1024" s="118"/>
      <c r="U1024" s="118"/>
      <c r="V1024" s="118"/>
      <c r="W1024" s="118"/>
      <c r="X1024" s="118"/>
      <c r="Y1024" s="118"/>
      <c r="Z1024" s="118"/>
      <c r="AA1024" s="118"/>
      <c r="AB1024" s="118"/>
      <c r="AC1024" s="118"/>
      <c r="AD1024" s="118"/>
      <c r="AE1024" s="118"/>
      <c r="AF1024" s="118"/>
      <c r="AG1024" s="118"/>
      <c r="AH1024" s="118"/>
      <c r="AI1024" s="118"/>
      <c r="AJ1024" s="118"/>
      <c r="AK1024" s="118"/>
    </row>
    <row r="1025" spans="1:37">
      <c r="A1025" s="131"/>
      <c r="B1025" s="131"/>
      <c r="C1025" s="118"/>
      <c r="D1025" s="118"/>
      <c r="E1025" s="118"/>
      <c r="F1025" s="118"/>
      <c r="G1025" s="118"/>
      <c r="H1025" s="118"/>
      <c r="I1025" s="118"/>
      <c r="J1025" s="118"/>
      <c r="K1025" s="118"/>
      <c r="L1025" s="118"/>
      <c r="M1025" s="118"/>
      <c r="N1025" s="118"/>
      <c r="O1025" s="118"/>
      <c r="P1025" s="118"/>
      <c r="Q1025" s="118"/>
      <c r="R1025" s="118"/>
      <c r="S1025" s="118"/>
      <c r="T1025" s="118"/>
      <c r="U1025" s="118"/>
      <c r="V1025" s="118"/>
      <c r="W1025" s="118"/>
      <c r="X1025" s="118"/>
      <c r="Y1025" s="118"/>
      <c r="Z1025" s="118"/>
      <c r="AA1025" s="118"/>
      <c r="AB1025" s="118"/>
      <c r="AC1025" s="118"/>
      <c r="AD1025" s="118"/>
      <c r="AE1025" s="118"/>
      <c r="AF1025" s="118"/>
      <c r="AG1025" s="118"/>
      <c r="AH1025" s="118"/>
      <c r="AI1025" s="118"/>
      <c r="AJ1025" s="118"/>
      <c r="AK1025" s="118"/>
    </row>
    <row r="1026" spans="1:37">
      <c r="A1026" s="131"/>
      <c r="B1026" s="131"/>
      <c r="C1026" s="118"/>
      <c r="D1026" s="118"/>
      <c r="E1026" s="118"/>
      <c r="F1026" s="118"/>
      <c r="G1026" s="118"/>
      <c r="H1026" s="118"/>
      <c r="I1026" s="118"/>
      <c r="J1026" s="118"/>
      <c r="K1026" s="118"/>
      <c r="L1026" s="118"/>
      <c r="M1026" s="118"/>
      <c r="N1026" s="118"/>
      <c r="O1026" s="118"/>
      <c r="P1026" s="118"/>
      <c r="Q1026" s="118"/>
      <c r="R1026" s="118"/>
      <c r="S1026" s="118"/>
      <c r="T1026" s="118"/>
      <c r="U1026" s="118"/>
      <c r="V1026" s="118"/>
      <c r="W1026" s="118"/>
      <c r="X1026" s="118"/>
      <c r="Y1026" s="118"/>
      <c r="Z1026" s="118"/>
      <c r="AA1026" s="118"/>
      <c r="AB1026" s="118"/>
      <c r="AC1026" s="118"/>
      <c r="AD1026" s="118"/>
      <c r="AE1026" s="118"/>
      <c r="AF1026" s="118"/>
      <c r="AG1026" s="118"/>
      <c r="AH1026" s="118"/>
      <c r="AI1026" s="118"/>
      <c r="AJ1026" s="118"/>
      <c r="AK1026" s="118"/>
    </row>
    <row r="1027" spans="1:37">
      <c r="A1027" s="131"/>
      <c r="B1027" s="131"/>
      <c r="C1027" s="118"/>
      <c r="D1027" s="118"/>
      <c r="E1027" s="118"/>
      <c r="F1027" s="118"/>
      <c r="G1027" s="118"/>
      <c r="H1027" s="118"/>
      <c r="I1027" s="118"/>
      <c r="J1027" s="118"/>
      <c r="K1027" s="118"/>
      <c r="L1027" s="118"/>
      <c r="M1027" s="118"/>
      <c r="N1027" s="118"/>
      <c r="O1027" s="118"/>
      <c r="P1027" s="118"/>
      <c r="Q1027" s="118"/>
      <c r="R1027" s="118"/>
      <c r="S1027" s="118"/>
      <c r="T1027" s="118"/>
      <c r="U1027" s="118"/>
      <c r="V1027" s="118"/>
      <c r="W1027" s="118"/>
      <c r="X1027" s="118"/>
      <c r="Y1027" s="118"/>
      <c r="Z1027" s="118"/>
      <c r="AA1027" s="118"/>
      <c r="AB1027" s="118"/>
      <c r="AC1027" s="118"/>
      <c r="AD1027" s="118"/>
      <c r="AE1027" s="118"/>
      <c r="AF1027" s="118"/>
      <c r="AG1027" s="118"/>
      <c r="AH1027" s="118"/>
      <c r="AI1027" s="118"/>
      <c r="AJ1027" s="118"/>
      <c r="AK1027" s="118"/>
    </row>
    <row r="1028" spans="1:37">
      <c r="A1028" s="131"/>
      <c r="B1028" s="131"/>
      <c r="C1028" s="118"/>
      <c r="D1028" s="118"/>
      <c r="E1028" s="118"/>
      <c r="F1028" s="118"/>
      <c r="G1028" s="118"/>
      <c r="H1028" s="118"/>
      <c r="I1028" s="118"/>
      <c r="J1028" s="118"/>
      <c r="K1028" s="118"/>
      <c r="L1028" s="118"/>
      <c r="M1028" s="118"/>
      <c r="N1028" s="118"/>
      <c r="O1028" s="118"/>
      <c r="P1028" s="118"/>
      <c r="Q1028" s="118"/>
      <c r="R1028" s="118"/>
      <c r="S1028" s="118"/>
      <c r="T1028" s="118"/>
      <c r="U1028" s="118"/>
      <c r="V1028" s="118"/>
      <c r="W1028" s="118"/>
      <c r="X1028" s="118"/>
      <c r="Y1028" s="118"/>
      <c r="Z1028" s="118"/>
      <c r="AA1028" s="118"/>
      <c r="AB1028" s="118"/>
      <c r="AC1028" s="118"/>
      <c r="AD1028" s="118"/>
      <c r="AE1028" s="118"/>
      <c r="AF1028" s="118"/>
      <c r="AG1028" s="118"/>
      <c r="AH1028" s="118"/>
      <c r="AI1028" s="118"/>
      <c r="AJ1028" s="118"/>
      <c r="AK1028" s="118"/>
    </row>
    <row r="1029" spans="1:37">
      <c r="A1029" s="131"/>
      <c r="B1029" s="131"/>
      <c r="C1029" s="118"/>
      <c r="D1029" s="118"/>
      <c r="E1029" s="118"/>
      <c r="F1029" s="118"/>
      <c r="G1029" s="118"/>
      <c r="H1029" s="118"/>
      <c r="I1029" s="118"/>
      <c r="J1029" s="118"/>
      <c r="K1029" s="118"/>
      <c r="L1029" s="118"/>
      <c r="M1029" s="118"/>
      <c r="N1029" s="118"/>
      <c r="O1029" s="118"/>
      <c r="P1029" s="118"/>
      <c r="Q1029" s="118"/>
      <c r="R1029" s="118"/>
      <c r="S1029" s="118"/>
      <c r="T1029" s="118"/>
      <c r="U1029" s="118"/>
      <c r="V1029" s="118"/>
      <c r="W1029" s="118"/>
      <c r="X1029" s="118"/>
      <c r="Y1029" s="118"/>
      <c r="Z1029" s="118"/>
      <c r="AA1029" s="118"/>
      <c r="AB1029" s="118"/>
      <c r="AC1029" s="118"/>
      <c r="AD1029" s="118"/>
      <c r="AE1029" s="118"/>
      <c r="AF1029" s="118"/>
      <c r="AG1029" s="118"/>
      <c r="AH1029" s="118"/>
      <c r="AI1029" s="118"/>
      <c r="AJ1029" s="118"/>
      <c r="AK1029" s="118"/>
    </row>
    <row r="1030" spans="1:37">
      <c r="A1030" s="131"/>
      <c r="B1030" s="131"/>
      <c r="C1030" s="118"/>
      <c r="D1030" s="118"/>
      <c r="E1030" s="118"/>
      <c r="F1030" s="118"/>
      <c r="G1030" s="118"/>
      <c r="H1030" s="118"/>
      <c r="I1030" s="118"/>
      <c r="J1030" s="118"/>
      <c r="K1030" s="118"/>
      <c r="L1030" s="118"/>
      <c r="M1030" s="118"/>
      <c r="N1030" s="118"/>
      <c r="O1030" s="118"/>
      <c r="P1030" s="118"/>
      <c r="Q1030" s="118"/>
      <c r="R1030" s="118"/>
      <c r="S1030" s="118"/>
      <c r="T1030" s="118"/>
      <c r="U1030" s="118"/>
      <c r="V1030" s="118"/>
      <c r="W1030" s="118"/>
      <c r="X1030" s="118"/>
      <c r="Y1030" s="118"/>
      <c r="Z1030" s="118"/>
      <c r="AA1030" s="118"/>
      <c r="AB1030" s="118"/>
      <c r="AC1030" s="118"/>
      <c r="AD1030" s="118"/>
      <c r="AE1030" s="118"/>
      <c r="AF1030" s="118"/>
      <c r="AG1030" s="118"/>
      <c r="AH1030" s="118"/>
      <c r="AI1030" s="118"/>
      <c r="AJ1030" s="118"/>
      <c r="AK1030" s="118"/>
    </row>
    <row r="1031" spans="1:37">
      <c r="A1031" s="131"/>
      <c r="B1031" s="131"/>
      <c r="C1031" s="118"/>
      <c r="D1031" s="118"/>
      <c r="E1031" s="118"/>
      <c r="F1031" s="118"/>
      <c r="G1031" s="118"/>
      <c r="H1031" s="118"/>
      <c r="I1031" s="118"/>
      <c r="J1031" s="118"/>
      <c r="K1031" s="118"/>
      <c r="L1031" s="118"/>
      <c r="M1031" s="118"/>
      <c r="N1031" s="118"/>
      <c r="O1031" s="118"/>
      <c r="P1031" s="118"/>
      <c r="Q1031" s="118"/>
      <c r="R1031" s="118"/>
      <c r="S1031" s="118"/>
      <c r="T1031" s="118"/>
      <c r="U1031" s="118"/>
      <c r="V1031" s="118"/>
      <c r="W1031" s="118"/>
      <c r="X1031" s="118"/>
      <c r="Y1031" s="118"/>
      <c r="Z1031" s="118"/>
      <c r="AA1031" s="118"/>
      <c r="AB1031" s="118"/>
      <c r="AC1031" s="118"/>
      <c r="AD1031" s="118"/>
      <c r="AE1031" s="118"/>
      <c r="AF1031" s="118"/>
      <c r="AG1031" s="118"/>
      <c r="AH1031" s="118"/>
      <c r="AI1031" s="118"/>
      <c r="AJ1031" s="118"/>
      <c r="AK1031" s="118"/>
    </row>
    <row r="1032" spans="1:37">
      <c r="A1032" s="131"/>
      <c r="B1032" s="131"/>
      <c r="C1032" s="118"/>
      <c r="D1032" s="118"/>
      <c r="E1032" s="118"/>
      <c r="F1032" s="118"/>
      <c r="G1032" s="118"/>
      <c r="H1032" s="118"/>
      <c r="I1032" s="118"/>
      <c r="J1032" s="118"/>
      <c r="K1032" s="118"/>
      <c r="L1032" s="118"/>
      <c r="M1032" s="118"/>
      <c r="N1032" s="118"/>
      <c r="O1032" s="118"/>
      <c r="P1032" s="118"/>
      <c r="Q1032" s="118"/>
      <c r="R1032" s="118"/>
      <c r="S1032" s="118"/>
      <c r="T1032" s="118"/>
      <c r="U1032" s="118"/>
      <c r="V1032" s="118"/>
      <c r="W1032" s="118"/>
      <c r="X1032" s="118"/>
      <c r="Y1032" s="118"/>
      <c r="Z1032" s="118"/>
      <c r="AA1032" s="118"/>
      <c r="AB1032" s="118"/>
      <c r="AC1032" s="118"/>
      <c r="AD1032" s="118"/>
      <c r="AE1032" s="118"/>
      <c r="AF1032" s="118"/>
      <c r="AG1032" s="118"/>
      <c r="AH1032" s="118"/>
      <c r="AI1032" s="118"/>
      <c r="AJ1032" s="118"/>
      <c r="AK1032" s="118"/>
    </row>
    <row r="1033" spans="1:37">
      <c r="A1033" s="131"/>
      <c r="B1033" s="131"/>
      <c r="C1033" s="118"/>
      <c r="D1033" s="118"/>
      <c r="E1033" s="118"/>
      <c r="F1033" s="118"/>
      <c r="G1033" s="118"/>
      <c r="H1033" s="118"/>
      <c r="I1033" s="118"/>
      <c r="J1033" s="118"/>
      <c r="K1033" s="118"/>
      <c r="L1033" s="118"/>
      <c r="M1033" s="118"/>
      <c r="N1033" s="118"/>
      <c r="O1033" s="118"/>
      <c r="P1033" s="118"/>
      <c r="Q1033" s="118"/>
      <c r="R1033" s="118"/>
      <c r="S1033" s="118"/>
      <c r="T1033" s="118"/>
      <c r="U1033" s="118"/>
      <c r="V1033" s="118"/>
      <c r="W1033" s="118"/>
      <c r="X1033" s="118"/>
      <c r="Y1033" s="118"/>
      <c r="Z1033" s="118"/>
      <c r="AA1033" s="118"/>
      <c r="AB1033" s="118"/>
      <c r="AC1033" s="118"/>
      <c r="AD1033" s="118"/>
      <c r="AE1033" s="118"/>
      <c r="AF1033" s="118"/>
      <c r="AG1033" s="118"/>
      <c r="AH1033" s="118"/>
      <c r="AI1033" s="118"/>
      <c r="AJ1033" s="118"/>
      <c r="AK1033" s="118"/>
    </row>
    <row r="1034" spans="1:37">
      <c r="A1034" s="131"/>
      <c r="B1034" s="131"/>
      <c r="C1034" s="118"/>
      <c r="D1034" s="118"/>
      <c r="E1034" s="118"/>
      <c r="F1034" s="118"/>
      <c r="G1034" s="118"/>
      <c r="H1034" s="118"/>
      <c r="I1034" s="118"/>
      <c r="J1034" s="118"/>
      <c r="K1034" s="118"/>
      <c r="L1034" s="118"/>
      <c r="M1034" s="118"/>
      <c r="N1034" s="118"/>
      <c r="O1034" s="118"/>
      <c r="P1034" s="118"/>
      <c r="Q1034" s="118"/>
      <c r="R1034" s="118"/>
      <c r="S1034" s="118"/>
      <c r="T1034" s="118"/>
      <c r="U1034" s="118"/>
      <c r="V1034" s="118"/>
      <c r="W1034" s="118"/>
      <c r="X1034" s="118"/>
      <c r="Y1034" s="118"/>
      <c r="Z1034" s="118"/>
      <c r="AA1034" s="118"/>
      <c r="AB1034" s="118"/>
      <c r="AC1034" s="118"/>
      <c r="AD1034" s="118"/>
      <c r="AE1034" s="118"/>
      <c r="AF1034" s="118"/>
      <c r="AG1034" s="118"/>
      <c r="AH1034" s="118"/>
      <c r="AI1034" s="118"/>
      <c r="AJ1034" s="118"/>
      <c r="AK1034" s="118"/>
    </row>
    <row r="1035" spans="1:37">
      <c r="A1035" s="131"/>
      <c r="B1035" s="131"/>
      <c r="C1035" s="118"/>
      <c r="D1035" s="118"/>
      <c r="E1035" s="118"/>
      <c r="F1035" s="118"/>
      <c r="G1035" s="118"/>
      <c r="H1035" s="118"/>
      <c r="I1035" s="118"/>
      <c r="J1035" s="118"/>
      <c r="K1035" s="118"/>
      <c r="L1035" s="118"/>
      <c r="M1035" s="118"/>
      <c r="N1035" s="118"/>
      <c r="O1035" s="118"/>
      <c r="P1035" s="118"/>
      <c r="Q1035" s="118"/>
      <c r="R1035" s="118"/>
      <c r="S1035" s="118"/>
      <c r="T1035" s="118"/>
      <c r="U1035" s="118"/>
      <c r="V1035" s="118"/>
      <c r="W1035" s="118"/>
      <c r="X1035" s="118"/>
      <c r="Y1035" s="118"/>
      <c r="Z1035" s="118"/>
      <c r="AA1035" s="118"/>
      <c r="AB1035" s="118"/>
      <c r="AC1035" s="118"/>
      <c r="AD1035" s="118"/>
      <c r="AE1035" s="118"/>
      <c r="AF1035" s="118"/>
      <c r="AG1035" s="118"/>
      <c r="AH1035" s="118"/>
      <c r="AI1035" s="118"/>
      <c r="AJ1035" s="118"/>
      <c r="AK1035" s="118"/>
    </row>
    <row r="1036" spans="1:37">
      <c r="A1036" s="131"/>
      <c r="B1036" s="131"/>
      <c r="C1036" s="118"/>
      <c r="D1036" s="118"/>
      <c r="E1036" s="118"/>
      <c r="F1036" s="118"/>
      <c r="G1036" s="118"/>
      <c r="H1036" s="118"/>
      <c r="I1036" s="118"/>
      <c r="J1036" s="118"/>
      <c r="K1036" s="118"/>
      <c r="L1036" s="118"/>
      <c r="M1036" s="118"/>
      <c r="N1036" s="118"/>
      <c r="O1036" s="118"/>
      <c r="P1036" s="118"/>
      <c r="Q1036" s="118"/>
      <c r="R1036" s="118"/>
      <c r="S1036" s="118"/>
      <c r="T1036" s="118"/>
      <c r="U1036" s="118"/>
      <c r="V1036" s="118"/>
      <c r="W1036" s="118"/>
      <c r="X1036" s="118"/>
      <c r="Y1036" s="118"/>
      <c r="Z1036" s="118"/>
      <c r="AA1036" s="118"/>
      <c r="AB1036" s="118"/>
      <c r="AC1036" s="118"/>
      <c r="AD1036" s="118"/>
      <c r="AE1036" s="118"/>
      <c r="AF1036" s="118"/>
      <c r="AG1036" s="118"/>
      <c r="AH1036" s="118"/>
      <c r="AI1036" s="118"/>
      <c r="AJ1036" s="118"/>
      <c r="AK1036" s="118"/>
    </row>
    <row r="1037" spans="1:37">
      <c r="A1037" s="131"/>
      <c r="B1037" s="131"/>
      <c r="C1037" s="118"/>
      <c r="D1037" s="118"/>
      <c r="E1037" s="118"/>
      <c r="F1037" s="118"/>
      <c r="G1037" s="118"/>
      <c r="H1037" s="118"/>
      <c r="I1037" s="118"/>
      <c r="J1037" s="118"/>
      <c r="K1037" s="118"/>
      <c r="L1037" s="118"/>
      <c r="M1037" s="118"/>
      <c r="N1037" s="118"/>
      <c r="O1037" s="118"/>
      <c r="P1037" s="118"/>
      <c r="Q1037" s="118"/>
      <c r="R1037" s="118"/>
      <c r="S1037" s="118"/>
      <c r="T1037" s="118"/>
      <c r="U1037" s="118"/>
      <c r="V1037" s="118"/>
      <c r="W1037" s="118"/>
      <c r="X1037" s="118"/>
      <c r="Y1037" s="118"/>
      <c r="Z1037" s="118"/>
      <c r="AA1037" s="118"/>
      <c r="AB1037" s="118"/>
      <c r="AC1037" s="118"/>
      <c r="AD1037" s="118"/>
      <c r="AE1037" s="118"/>
      <c r="AF1037" s="118"/>
      <c r="AG1037" s="118"/>
      <c r="AH1037" s="118"/>
      <c r="AI1037" s="118"/>
      <c r="AJ1037" s="118"/>
      <c r="AK1037" s="118"/>
    </row>
    <row r="1038" spans="1:37">
      <c r="A1038" s="131"/>
      <c r="B1038" s="131"/>
      <c r="C1038" s="118"/>
      <c r="D1038" s="118"/>
      <c r="E1038" s="118"/>
      <c r="F1038" s="118"/>
      <c r="G1038" s="118"/>
      <c r="H1038" s="118"/>
      <c r="I1038" s="118"/>
      <c r="J1038" s="118"/>
      <c r="K1038" s="118"/>
      <c r="L1038" s="118"/>
      <c r="M1038" s="118"/>
      <c r="N1038" s="118"/>
      <c r="O1038" s="118"/>
      <c r="P1038" s="118"/>
      <c r="Q1038" s="118"/>
      <c r="R1038" s="118"/>
      <c r="S1038" s="118"/>
      <c r="T1038" s="118"/>
      <c r="U1038" s="118"/>
      <c r="V1038" s="118"/>
      <c r="W1038" s="118"/>
      <c r="X1038" s="118"/>
      <c r="Y1038" s="118"/>
      <c r="Z1038" s="118"/>
      <c r="AA1038" s="118"/>
      <c r="AB1038" s="118"/>
      <c r="AC1038" s="118"/>
      <c r="AD1038" s="118"/>
      <c r="AE1038" s="118"/>
      <c r="AF1038" s="118"/>
      <c r="AG1038" s="118"/>
      <c r="AH1038" s="118"/>
      <c r="AI1038" s="118"/>
      <c r="AJ1038" s="118"/>
      <c r="AK1038" s="118"/>
    </row>
    <row r="1039" spans="1:37">
      <c r="A1039" s="131"/>
      <c r="B1039" s="131"/>
      <c r="C1039" s="118"/>
      <c r="D1039" s="118"/>
      <c r="E1039" s="118"/>
      <c r="F1039" s="118"/>
      <c r="G1039" s="118"/>
      <c r="H1039" s="118"/>
      <c r="I1039" s="118"/>
      <c r="J1039" s="118"/>
      <c r="K1039" s="118"/>
      <c r="L1039" s="118"/>
      <c r="M1039" s="118"/>
      <c r="N1039" s="118"/>
      <c r="O1039" s="118"/>
      <c r="P1039" s="118"/>
      <c r="Q1039" s="118"/>
      <c r="R1039" s="118"/>
      <c r="S1039" s="118"/>
      <c r="T1039" s="118"/>
      <c r="U1039" s="118"/>
      <c r="V1039" s="118"/>
      <c r="W1039" s="118"/>
      <c r="X1039" s="118"/>
      <c r="Y1039" s="118"/>
      <c r="Z1039" s="118"/>
      <c r="AA1039" s="118"/>
      <c r="AB1039" s="118"/>
      <c r="AC1039" s="118"/>
      <c r="AD1039" s="118"/>
      <c r="AE1039" s="118"/>
      <c r="AF1039" s="118"/>
      <c r="AG1039" s="118"/>
      <c r="AH1039" s="118"/>
      <c r="AI1039" s="118"/>
      <c r="AJ1039" s="118"/>
      <c r="AK1039" s="118"/>
    </row>
    <row r="1040" spans="1:37">
      <c r="A1040" s="131"/>
      <c r="B1040" s="131"/>
      <c r="C1040" s="118"/>
      <c r="D1040" s="118"/>
      <c r="E1040" s="118"/>
      <c r="F1040" s="118"/>
      <c r="G1040" s="118"/>
      <c r="H1040" s="118"/>
      <c r="I1040" s="118"/>
      <c r="J1040" s="118"/>
      <c r="K1040" s="118"/>
      <c r="L1040" s="118"/>
      <c r="M1040" s="118"/>
      <c r="N1040" s="118"/>
      <c r="O1040" s="118"/>
      <c r="P1040" s="118"/>
      <c r="Q1040" s="118"/>
      <c r="R1040" s="118"/>
      <c r="S1040" s="118"/>
      <c r="T1040" s="118"/>
      <c r="U1040" s="118"/>
      <c r="V1040" s="118"/>
      <c r="W1040" s="118"/>
      <c r="X1040" s="118"/>
      <c r="Y1040" s="118"/>
      <c r="Z1040" s="118"/>
      <c r="AA1040" s="118"/>
      <c r="AB1040" s="118"/>
      <c r="AC1040" s="118"/>
      <c r="AD1040" s="118"/>
      <c r="AE1040" s="118"/>
      <c r="AF1040" s="118"/>
      <c r="AG1040" s="118"/>
      <c r="AH1040" s="118"/>
      <c r="AI1040" s="118"/>
      <c r="AJ1040" s="118"/>
      <c r="AK1040" s="118"/>
    </row>
    <row r="1041" spans="1:37">
      <c r="A1041" s="131"/>
      <c r="B1041" s="131"/>
      <c r="C1041" s="118"/>
      <c r="D1041" s="118"/>
      <c r="E1041" s="118"/>
      <c r="F1041" s="118"/>
      <c r="G1041" s="118"/>
      <c r="H1041" s="118"/>
      <c r="I1041" s="118"/>
      <c r="J1041" s="118"/>
      <c r="K1041" s="118"/>
      <c r="L1041" s="118"/>
      <c r="M1041" s="118"/>
      <c r="N1041" s="118"/>
      <c r="O1041" s="118"/>
      <c r="P1041" s="118"/>
      <c r="Q1041" s="118"/>
      <c r="R1041" s="118"/>
      <c r="S1041" s="118"/>
      <c r="T1041" s="118"/>
      <c r="U1041" s="118"/>
      <c r="V1041" s="118"/>
      <c r="W1041" s="118"/>
      <c r="X1041" s="118"/>
      <c r="Y1041" s="118"/>
      <c r="Z1041" s="118"/>
      <c r="AA1041" s="118"/>
      <c r="AB1041" s="118"/>
      <c r="AC1041" s="118"/>
      <c r="AD1041" s="118"/>
      <c r="AE1041" s="118"/>
      <c r="AF1041" s="118"/>
      <c r="AG1041" s="118"/>
      <c r="AH1041" s="118"/>
      <c r="AI1041" s="118"/>
      <c r="AJ1041" s="118"/>
      <c r="AK1041" s="118"/>
    </row>
    <row r="1042" spans="1:37">
      <c r="A1042" s="131"/>
      <c r="B1042" s="131"/>
      <c r="C1042" s="118"/>
      <c r="D1042" s="118"/>
      <c r="E1042" s="118"/>
      <c r="F1042" s="118"/>
      <c r="G1042" s="118"/>
      <c r="H1042" s="118"/>
      <c r="I1042" s="118"/>
      <c r="J1042" s="118"/>
      <c r="K1042" s="118"/>
      <c r="L1042" s="118"/>
      <c r="M1042" s="118"/>
      <c r="N1042" s="118"/>
      <c r="O1042" s="118"/>
      <c r="P1042" s="118"/>
      <c r="Q1042" s="118"/>
      <c r="R1042" s="118"/>
      <c r="S1042" s="118"/>
      <c r="T1042" s="118"/>
      <c r="U1042" s="118"/>
      <c r="V1042" s="118"/>
      <c r="W1042" s="118"/>
      <c r="X1042" s="118"/>
      <c r="Y1042" s="118"/>
      <c r="Z1042" s="118"/>
      <c r="AA1042" s="118"/>
      <c r="AB1042" s="118"/>
      <c r="AC1042" s="118"/>
      <c r="AD1042" s="118"/>
      <c r="AE1042" s="118"/>
      <c r="AF1042" s="118"/>
      <c r="AG1042" s="118"/>
      <c r="AH1042" s="118"/>
      <c r="AI1042" s="118"/>
      <c r="AJ1042" s="118"/>
      <c r="AK1042" s="118"/>
    </row>
    <row r="1043" spans="1:37">
      <c r="A1043" s="131"/>
      <c r="B1043" s="131"/>
      <c r="C1043" s="118"/>
      <c r="D1043" s="118"/>
      <c r="E1043" s="118"/>
      <c r="F1043" s="118"/>
      <c r="G1043" s="118"/>
      <c r="H1043" s="118"/>
      <c r="I1043" s="118"/>
      <c r="J1043" s="118"/>
      <c r="K1043" s="118"/>
      <c r="L1043" s="118"/>
      <c r="M1043" s="118"/>
      <c r="N1043" s="118"/>
      <c r="O1043" s="118"/>
      <c r="P1043" s="118"/>
      <c r="Q1043" s="118"/>
      <c r="R1043" s="118"/>
      <c r="S1043" s="118"/>
      <c r="T1043" s="118"/>
      <c r="U1043" s="118"/>
      <c r="V1043" s="118"/>
      <c r="W1043" s="118"/>
      <c r="X1043" s="118"/>
      <c r="Y1043" s="118"/>
      <c r="Z1043" s="118"/>
      <c r="AA1043" s="118"/>
      <c r="AB1043" s="118"/>
      <c r="AC1043" s="118"/>
      <c r="AD1043" s="118"/>
      <c r="AE1043" s="118"/>
      <c r="AF1043" s="118"/>
      <c r="AG1043" s="118"/>
      <c r="AH1043" s="118"/>
      <c r="AI1043" s="118"/>
      <c r="AJ1043" s="118"/>
      <c r="AK1043" s="118"/>
    </row>
    <row r="1044" spans="1:37">
      <c r="A1044" s="131"/>
      <c r="B1044" s="131"/>
      <c r="C1044" s="118"/>
      <c r="D1044" s="118"/>
      <c r="E1044" s="118"/>
      <c r="F1044" s="118"/>
      <c r="G1044" s="118"/>
      <c r="H1044" s="118"/>
      <c r="I1044" s="118"/>
      <c r="J1044" s="118"/>
      <c r="K1044" s="118"/>
      <c r="L1044" s="118"/>
      <c r="M1044" s="118"/>
      <c r="N1044" s="118"/>
      <c r="O1044" s="118"/>
      <c r="P1044" s="118"/>
      <c r="Q1044" s="118"/>
      <c r="R1044" s="118"/>
      <c r="S1044" s="118"/>
      <c r="T1044" s="118"/>
      <c r="U1044" s="118"/>
      <c r="V1044" s="118"/>
      <c r="W1044" s="118"/>
      <c r="X1044" s="118"/>
      <c r="Y1044" s="118"/>
      <c r="Z1044" s="118"/>
      <c r="AA1044" s="118"/>
      <c r="AB1044" s="118"/>
      <c r="AC1044" s="118"/>
      <c r="AD1044" s="118"/>
      <c r="AE1044" s="118"/>
      <c r="AF1044" s="118"/>
      <c r="AG1044" s="118"/>
      <c r="AH1044" s="118"/>
      <c r="AI1044" s="118"/>
      <c r="AJ1044" s="118"/>
      <c r="AK1044" s="118"/>
    </row>
    <row r="1045" spans="1:37">
      <c r="A1045" s="131"/>
      <c r="B1045" s="131"/>
      <c r="C1045" s="118"/>
      <c r="D1045" s="118"/>
      <c r="E1045" s="118"/>
      <c r="F1045" s="118"/>
      <c r="G1045" s="118"/>
      <c r="H1045" s="118"/>
      <c r="I1045" s="118"/>
      <c r="J1045" s="118"/>
      <c r="K1045" s="118"/>
      <c r="L1045" s="118"/>
      <c r="M1045" s="118"/>
      <c r="N1045" s="118"/>
      <c r="O1045" s="118"/>
      <c r="P1045" s="118"/>
      <c r="Q1045" s="118"/>
      <c r="R1045" s="118"/>
      <c r="S1045" s="118"/>
      <c r="T1045" s="118"/>
      <c r="U1045" s="118"/>
      <c r="V1045" s="118"/>
      <c r="W1045" s="118"/>
      <c r="X1045" s="118"/>
      <c r="Y1045" s="118"/>
      <c r="Z1045" s="118"/>
      <c r="AA1045" s="118"/>
      <c r="AB1045" s="118"/>
      <c r="AC1045" s="118"/>
      <c r="AD1045" s="118"/>
      <c r="AE1045" s="118"/>
      <c r="AF1045" s="118"/>
      <c r="AG1045" s="118"/>
      <c r="AH1045" s="118"/>
      <c r="AI1045" s="118"/>
      <c r="AJ1045" s="118"/>
      <c r="AK1045" s="118"/>
    </row>
    <row r="1046" spans="1:37">
      <c r="A1046" s="131"/>
      <c r="B1046" s="131"/>
      <c r="C1046" s="118"/>
      <c r="D1046" s="118"/>
      <c r="E1046" s="118"/>
      <c r="F1046" s="118"/>
      <c r="G1046" s="118"/>
      <c r="H1046" s="118"/>
      <c r="I1046" s="118"/>
      <c r="J1046" s="118"/>
      <c r="K1046" s="118"/>
      <c r="L1046" s="118"/>
      <c r="M1046" s="118"/>
      <c r="N1046" s="118"/>
      <c r="O1046" s="118"/>
      <c r="P1046" s="118"/>
      <c r="Q1046" s="118"/>
      <c r="R1046" s="118"/>
      <c r="S1046" s="118"/>
      <c r="T1046" s="118"/>
      <c r="U1046" s="118"/>
      <c r="V1046" s="118"/>
      <c r="W1046" s="118"/>
      <c r="X1046" s="118"/>
      <c r="Y1046" s="118"/>
      <c r="Z1046" s="118"/>
      <c r="AA1046" s="118"/>
      <c r="AB1046" s="118"/>
      <c r="AC1046" s="118"/>
      <c r="AD1046" s="118"/>
      <c r="AE1046" s="118"/>
      <c r="AF1046" s="118"/>
      <c r="AG1046" s="118"/>
      <c r="AH1046" s="118"/>
      <c r="AI1046" s="118"/>
      <c r="AJ1046" s="118"/>
      <c r="AK1046" s="118"/>
    </row>
    <row r="1047" spans="1:37">
      <c r="A1047" s="131"/>
      <c r="B1047" s="131"/>
      <c r="C1047" s="118"/>
      <c r="D1047" s="118"/>
      <c r="E1047" s="118"/>
      <c r="F1047" s="118"/>
      <c r="G1047" s="118"/>
      <c r="H1047" s="118"/>
      <c r="I1047" s="118"/>
      <c r="J1047" s="118"/>
      <c r="K1047" s="118"/>
      <c r="L1047" s="118"/>
      <c r="M1047" s="118"/>
      <c r="N1047" s="118"/>
      <c r="O1047" s="118"/>
      <c r="P1047" s="118"/>
      <c r="Q1047" s="118"/>
      <c r="R1047" s="118"/>
      <c r="S1047" s="118"/>
      <c r="T1047" s="118"/>
      <c r="U1047" s="118"/>
      <c r="V1047" s="118"/>
      <c r="W1047" s="118"/>
      <c r="X1047" s="118"/>
      <c r="Y1047" s="118"/>
      <c r="Z1047" s="118"/>
      <c r="AA1047" s="118"/>
      <c r="AB1047" s="118"/>
      <c r="AC1047" s="118"/>
      <c r="AD1047" s="118"/>
      <c r="AE1047" s="118"/>
      <c r="AF1047" s="118"/>
      <c r="AG1047" s="118"/>
      <c r="AH1047" s="118"/>
      <c r="AI1047" s="118"/>
      <c r="AJ1047" s="118"/>
      <c r="AK1047" s="118"/>
    </row>
    <row r="1048" spans="1:37">
      <c r="A1048" s="131"/>
      <c r="B1048" s="131"/>
      <c r="C1048" s="118"/>
      <c r="D1048" s="118"/>
      <c r="E1048" s="118"/>
      <c r="F1048" s="118"/>
      <c r="G1048" s="118"/>
      <c r="H1048" s="118"/>
      <c r="I1048" s="118"/>
      <c r="J1048" s="118"/>
      <c r="K1048" s="118"/>
      <c r="L1048" s="118"/>
      <c r="M1048" s="118"/>
      <c r="N1048" s="118"/>
      <c r="O1048" s="118"/>
      <c r="P1048" s="118"/>
      <c r="Q1048" s="118"/>
      <c r="R1048" s="118"/>
      <c r="S1048" s="118"/>
      <c r="T1048" s="118"/>
      <c r="U1048" s="118"/>
      <c r="V1048" s="118"/>
      <c r="W1048" s="118"/>
      <c r="X1048" s="118"/>
      <c r="Y1048" s="118"/>
      <c r="Z1048" s="118"/>
      <c r="AA1048" s="118"/>
      <c r="AB1048" s="118"/>
      <c r="AC1048" s="118"/>
      <c r="AD1048" s="118"/>
      <c r="AE1048" s="118"/>
      <c r="AF1048" s="118"/>
      <c r="AG1048" s="118"/>
      <c r="AH1048" s="118"/>
      <c r="AI1048" s="118"/>
      <c r="AJ1048" s="118"/>
      <c r="AK1048" s="11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U1171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62" sqref="J62"/>
    </sheetView>
  </sheetViews>
  <sheetFormatPr defaultColWidth="12.5546875" defaultRowHeight="15.75" customHeight="1"/>
  <cols>
    <col min="1" max="1" width="12.5546875" style="466"/>
    <col min="2" max="2" width="16.33203125" customWidth="1"/>
    <col min="3" max="5" width="6.88671875" customWidth="1"/>
    <col min="6" max="8" width="7.44140625" customWidth="1"/>
    <col min="9" max="9" width="21" style="770" customWidth="1"/>
    <col min="10" max="10" width="29.21875" customWidth="1"/>
    <col min="11" max="11" width="36.88671875" customWidth="1"/>
    <col min="12" max="12" width="13.6640625" customWidth="1"/>
    <col min="13" max="13" width="13.88671875" customWidth="1"/>
    <col min="14" max="14" width="16.33203125" hidden="1" customWidth="1"/>
    <col min="15" max="17" width="6.88671875" hidden="1" customWidth="1"/>
    <col min="18" max="20" width="7.44140625" hidden="1" customWidth="1"/>
    <col min="21" max="21" width="21" hidden="1" customWidth="1"/>
    <col min="22" max="22" width="17.88671875" hidden="1" customWidth="1"/>
    <col min="23" max="23" width="36.88671875" hidden="1" customWidth="1"/>
    <col min="24" max="24" width="13.6640625" hidden="1" customWidth="1"/>
    <col min="25" max="25" width="13.88671875" hidden="1" customWidth="1"/>
    <col min="26" max="26" width="16.33203125" hidden="1" customWidth="1"/>
    <col min="27" max="29" width="6.88671875" hidden="1" customWidth="1"/>
    <col min="30" max="32" width="7.44140625" hidden="1" customWidth="1"/>
    <col min="33" max="33" width="21" hidden="1" customWidth="1"/>
    <col min="34" max="34" width="17.88671875" hidden="1" customWidth="1"/>
    <col min="35" max="35" width="36.88671875" hidden="1" customWidth="1"/>
    <col min="36" max="36" width="13.6640625" hidden="1" customWidth="1"/>
    <col min="37" max="37" width="13.88671875" hidden="1" customWidth="1"/>
    <col min="38" max="38" width="16.33203125" hidden="1" customWidth="1"/>
    <col min="39" max="41" width="6.88671875" hidden="1" customWidth="1"/>
    <col min="42" max="44" width="7.44140625" hidden="1" customWidth="1"/>
    <col min="45" max="45" width="21" hidden="1" customWidth="1"/>
    <col min="46" max="46" width="17.88671875" hidden="1" customWidth="1"/>
    <col min="47" max="47" width="36.88671875" hidden="1" customWidth="1"/>
    <col min="48" max="48" width="13.6640625" hidden="1" customWidth="1"/>
    <col min="49" max="49" width="13.88671875" hidden="1" customWidth="1"/>
    <col min="50" max="50" width="16.33203125" hidden="1" customWidth="1"/>
    <col min="51" max="53" width="6.88671875" hidden="1" customWidth="1"/>
    <col min="54" max="56" width="7.44140625" hidden="1" customWidth="1"/>
    <col min="57" max="57" width="21" hidden="1" customWidth="1"/>
    <col min="58" max="58" width="17.88671875" hidden="1" customWidth="1"/>
    <col min="59" max="59" width="36.88671875" hidden="1" customWidth="1"/>
    <col min="60" max="60" width="13.6640625" hidden="1" customWidth="1"/>
    <col min="61" max="61" width="13.88671875" hidden="1" customWidth="1"/>
    <col min="62" max="62" width="16.33203125" hidden="1" customWidth="1"/>
    <col min="63" max="65" width="6.88671875" hidden="1" customWidth="1"/>
    <col min="66" max="68" width="7.44140625" hidden="1" customWidth="1"/>
    <col min="69" max="69" width="21" hidden="1" customWidth="1"/>
    <col min="70" max="70" width="17.88671875" hidden="1" customWidth="1"/>
    <col min="71" max="71" width="36.88671875" hidden="1" customWidth="1"/>
    <col min="72" max="72" width="13.6640625" hidden="1" customWidth="1"/>
    <col min="73" max="73" width="13.88671875" hidden="1" customWidth="1"/>
  </cols>
  <sheetData>
    <row r="1" spans="1:73" ht="13.8" thickBot="1">
      <c r="B1" s="60"/>
      <c r="C1" s="60"/>
      <c r="N1" s="60"/>
      <c r="O1" s="60"/>
      <c r="Z1" s="60"/>
      <c r="AA1" s="60"/>
      <c r="AL1" s="60"/>
      <c r="AM1" s="60"/>
      <c r="AX1" s="60"/>
      <c r="AY1" s="60"/>
      <c r="BJ1" s="60"/>
      <c r="BK1" s="60"/>
    </row>
    <row r="2" spans="1:73" ht="15.75" customHeight="1" thickBot="1">
      <c r="A2" s="1220" t="s">
        <v>548</v>
      </c>
      <c r="B2" s="1223" t="s">
        <v>536</v>
      </c>
      <c r="C2" s="1224"/>
      <c r="D2" s="1224"/>
      <c r="E2" s="1224"/>
      <c r="F2" s="1224"/>
      <c r="G2" s="1224"/>
      <c r="H2" s="1224"/>
      <c r="I2" s="1224"/>
      <c r="J2" s="1224"/>
      <c r="K2" s="1224"/>
      <c r="L2" s="1224"/>
      <c r="M2" s="1225"/>
      <c r="N2" s="1226" t="s">
        <v>1</v>
      </c>
      <c r="O2" s="1227"/>
      <c r="P2" s="1227"/>
      <c r="Q2" s="1227"/>
      <c r="R2" s="1227"/>
      <c r="S2" s="1227"/>
      <c r="T2" s="1227"/>
      <c r="U2" s="1227"/>
      <c r="V2" s="1227"/>
      <c r="W2" s="1227"/>
      <c r="X2" s="1227"/>
      <c r="Y2" s="1228"/>
      <c r="Z2" s="1229" t="s">
        <v>2</v>
      </c>
      <c r="AA2" s="1227"/>
      <c r="AB2" s="1227"/>
      <c r="AC2" s="1227"/>
      <c r="AD2" s="1227"/>
      <c r="AE2" s="1227"/>
      <c r="AF2" s="1227"/>
      <c r="AG2" s="1227"/>
      <c r="AH2" s="1227"/>
      <c r="AI2" s="1227"/>
      <c r="AJ2" s="1227"/>
      <c r="AK2" s="1228"/>
      <c r="AL2" s="1230" t="s">
        <v>28</v>
      </c>
      <c r="AM2" s="1227"/>
      <c r="AN2" s="1227"/>
      <c r="AO2" s="1227"/>
      <c r="AP2" s="1227"/>
      <c r="AQ2" s="1227"/>
      <c r="AR2" s="1227"/>
      <c r="AS2" s="1227"/>
      <c r="AT2" s="1227"/>
      <c r="AU2" s="1227"/>
      <c r="AV2" s="1227"/>
      <c r="AW2" s="1228"/>
      <c r="AX2" s="1229" t="s">
        <v>29</v>
      </c>
      <c r="AY2" s="1227"/>
      <c r="AZ2" s="1227"/>
      <c r="BA2" s="1227"/>
      <c r="BB2" s="1227"/>
      <c r="BC2" s="1227"/>
      <c r="BD2" s="1227"/>
      <c r="BE2" s="1227"/>
      <c r="BF2" s="1227"/>
      <c r="BG2" s="1227"/>
      <c r="BH2" s="1227"/>
      <c r="BI2" s="1228"/>
      <c r="BJ2" s="1230" t="s">
        <v>30</v>
      </c>
      <c r="BK2" s="1227"/>
      <c r="BL2" s="1227"/>
      <c r="BM2" s="1227"/>
      <c r="BN2" s="1227"/>
      <c r="BO2" s="1227"/>
      <c r="BP2" s="1227"/>
      <c r="BQ2" s="1227"/>
      <c r="BR2" s="1227"/>
      <c r="BS2" s="1227"/>
      <c r="BT2" s="1227"/>
      <c r="BU2" s="1228"/>
    </row>
    <row r="3" spans="1:73" ht="15.75" customHeight="1">
      <c r="A3" s="1221"/>
      <c r="B3" s="1244" t="s">
        <v>13</v>
      </c>
      <c r="C3" s="1203" t="s">
        <v>529</v>
      </c>
      <c r="D3" s="1204"/>
      <c r="E3" s="1205"/>
      <c r="F3" s="1206" t="s">
        <v>530</v>
      </c>
      <c r="G3" s="1204"/>
      <c r="H3" s="1205"/>
      <c r="I3" s="1207" t="s">
        <v>531</v>
      </c>
      <c r="J3" s="1209" t="s">
        <v>523</v>
      </c>
      <c r="K3" s="1210" t="s">
        <v>532</v>
      </c>
      <c r="L3" s="1212" t="s">
        <v>535</v>
      </c>
      <c r="M3" s="1237"/>
      <c r="N3" s="1238" t="s">
        <v>223</v>
      </c>
      <c r="O3" s="1214" t="s">
        <v>224</v>
      </c>
      <c r="P3" s="1204"/>
      <c r="Q3" s="1205"/>
      <c r="R3" s="1215" t="s">
        <v>225</v>
      </c>
      <c r="S3" s="1204"/>
      <c r="T3" s="1205"/>
      <c r="U3" s="1216" t="s">
        <v>226</v>
      </c>
      <c r="V3" s="1217" t="s">
        <v>227</v>
      </c>
      <c r="W3" s="1218" t="s">
        <v>228</v>
      </c>
      <c r="X3" s="1219" t="s">
        <v>229</v>
      </c>
      <c r="Y3" s="1208"/>
      <c r="Z3" s="1201" t="s">
        <v>223</v>
      </c>
      <c r="AA3" s="1203" t="s">
        <v>224</v>
      </c>
      <c r="AB3" s="1204"/>
      <c r="AC3" s="1205"/>
      <c r="AD3" s="1206" t="s">
        <v>225</v>
      </c>
      <c r="AE3" s="1204"/>
      <c r="AF3" s="1205"/>
      <c r="AG3" s="1207" t="s">
        <v>226</v>
      </c>
      <c r="AH3" s="1209" t="s">
        <v>227</v>
      </c>
      <c r="AI3" s="1210" t="s">
        <v>228</v>
      </c>
      <c r="AJ3" s="1212" t="s">
        <v>229</v>
      </c>
      <c r="AK3" s="1208"/>
      <c r="AL3" s="1213" t="s">
        <v>223</v>
      </c>
      <c r="AM3" s="1214" t="s">
        <v>224</v>
      </c>
      <c r="AN3" s="1204"/>
      <c r="AO3" s="1205"/>
      <c r="AP3" s="1215" t="s">
        <v>225</v>
      </c>
      <c r="AQ3" s="1204"/>
      <c r="AR3" s="1205"/>
      <c r="AS3" s="1216" t="s">
        <v>226</v>
      </c>
      <c r="AT3" s="1217" t="s">
        <v>227</v>
      </c>
      <c r="AU3" s="1218" t="s">
        <v>228</v>
      </c>
      <c r="AV3" s="1219" t="s">
        <v>229</v>
      </c>
      <c r="AW3" s="1208"/>
      <c r="AX3" s="1201" t="s">
        <v>223</v>
      </c>
      <c r="AY3" s="1203" t="s">
        <v>224</v>
      </c>
      <c r="AZ3" s="1204"/>
      <c r="BA3" s="1205"/>
      <c r="BB3" s="1206" t="s">
        <v>225</v>
      </c>
      <c r="BC3" s="1204"/>
      <c r="BD3" s="1205"/>
      <c r="BE3" s="1207" t="s">
        <v>226</v>
      </c>
      <c r="BF3" s="1209" t="s">
        <v>227</v>
      </c>
      <c r="BG3" s="1210" t="s">
        <v>228</v>
      </c>
      <c r="BH3" s="1212" t="s">
        <v>229</v>
      </c>
      <c r="BI3" s="1208"/>
      <c r="BJ3" s="1213" t="s">
        <v>223</v>
      </c>
      <c r="BK3" s="1214" t="s">
        <v>224</v>
      </c>
      <c r="BL3" s="1204"/>
      <c r="BM3" s="1205"/>
      <c r="BN3" s="1215" t="s">
        <v>225</v>
      </c>
      <c r="BO3" s="1204"/>
      <c r="BP3" s="1205"/>
      <c r="BQ3" s="1216" t="s">
        <v>226</v>
      </c>
      <c r="BR3" s="1217" t="s">
        <v>227</v>
      </c>
      <c r="BS3" s="1218" t="s">
        <v>228</v>
      </c>
      <c r="BT3" s="1219" t="s">
        <v>229</v>
      </c>
      <c r="BU3" s="1208"/>
    </row>
    <row r="4" spans="1:73" ht="15.75" customHeight="1" thickBot="1">
      <c r="A4" s="1222"/>
      <c r="B4" s="1245"/>
      <c r="C4" s="702" t="s">
        <v>230</v>
      </c>
      <c r="D4" s="703" t="s">
        <v>231</v>
      </c>
      <c r="E4" s="704" t="s">
        <v>537</v>
      </c>
      <c r="F4" s="705" t="s">
        <v>526</v>
      </c>
      <c r="G4" s="706" t="s">
        <v>527</v>
      </c>
      <c r="H4" s="707" t="s">
        <v>528</v>
      </c>
      <c r="I4" s="1234"/>
      <c r="J4" s="1235"/>
      <c r="K4" s="1236"/>
      <c r="L4" s="708" t="s">
        <v>533</v>
      </c>
      <c r="M4" s="709" t="s">
        <v>534</v>
      </c>
      <c r="N4" s="1208"/>
      <c r="O4" s="166" t="s">
        <v>230</v>
      </c>
      <c r="P4" s="160" t="s">
        <v>231</v>
      </c>
      <c r="Q4" s="167" t="s">
        <v>232</v>
      </c>
      <c r="R4" s="168" t="s">
        <v>233</v>
      </c>
      <c r="S4" s="160" t="s">
        <v>234</v>
      </c>
      <c r="T4" s="167" t="s">
        <v>235</v>
      </c>
      <c r="U4" s="1208"/>
      <c r="V4" s="1202"/>
      <c r="W4" s="1211"/>
      <c r="X4" s="169" t="s">
        <v>236</v>
      </c>
      <c r="Y4" s="170" t="s">
        <v>237</v>
      </c>
      <c r="Z4" s="1202"/>
      <c r="AA4" s="161" t="s">
        <v>230</v>
      </c>
      <c r="AB4" s="159" t="s">
        <v>231</v>
      </c>
      <c r="AC4" s="162" t="s">
        <v>232</v>
      </c>
      <c r="AD4" s="163" t="s">
        <v>233</v>
      </c>
      <c r="AE4" s="159" t="s">
        <v>234</v>
      </c>
      <c r="AF4" s="162" t="s">
        <v>235</v>
      </c>
      <c r="AG4" s="1208"/>
      <c r="AH4" s="1202"/>
      <c r="AI4" s="1211"/>
      <c r="AJ4" s="164" t="s">
        <v>236</v>
      </c>
      <c r="AK4" s="165" t="s">
        <v>237</v>
      </c>
      <c r="AL4" s="1202"/>
      <c r="AM4" s="166" t="s">
        <v>230</v>
      </c>
      <c r="AN4" s="160" t="s">
        <v>231</v>
      </c>
      <c r="AO4" s="167" t="s">
        <v>232</v>
      </c>
      <c r="AP4" s="168" t="s">
        <v>233</v>
      </c>
      <c r="AQ4" s="160" t="s">
        <v>234</v>
      </c>
      <c r="AR4" s="167" t="s">
        <v>235</v>
      </c>
      <c r="AS4" s="1208"/>
      <c r="AT4" s="1202"/>
      <c r="AU4" s="1211"/>
      <c r="AV4" s="169" t="s">
        <v>236</v>
      </c>
      <c r="AW4" s="170" t="s">
        <v>237</v>
      </c>
      <c r="AX4" s="1202"/>
      <c r="AY4" s="161" t="s">
        <v>230</v>
      </c>
      <c r="AZ4" s="159" t="s">
        <v>231</v>
      </c>
      <c r="BA4" s="162" t="s">
        <v>232</v>
      </c>
      <c r="BB4" s="163" t="s">
        <v>233</v>
      </c>
      <c r="BC4" s="159" t="s">
        <v>234</v>
      </c>
      <c r="BD4" s="162" t="s">
        <v>235</v>
      </c>
      <c r="BE4" s="1208"/>
      <c r="BF4" s="1202"/>
      <c r="BG4" s="1211"/>
      <c r="BH4" s="164" t="s">
        <v>236</v>
      </c>
      <c r="BI4" s="165" t="s">
        <v>237</v>
      </c>
      <c r="BJ4" s="1202"/>
      <c r="BK4" s="166" t="s">
        <v>230</v>
      </c>
      <c r="BL4" s="160" t="s">
        <v>231</v>
      </c>
      <c r="BM4" s="167" t="s">
        <v>232</v>
      </c>
      <c r="BN4" s="168" t="s">
        <v>233</v>
      </c>
      <c r="BO4" s="160" t="s">
        <v>234</v>
      </c>
      <c r="BP4" s="167" t="s">
        <v>235</v>
      </c>
      <c r="BQ4" s="1208"/>
      <c r="BR4" s="1202"/>
      <c r="BS4" s="1211"/>
      <c r="BT4" s="169" t="s">
        <v>236</v>
      </c>
      <c r="BU4" s="170" t="s">
        <v>237</v>
      </c>
    </row>
    <row r="5" spans="1:73" ht="15.75" customHeight="1">
      <c r="A5" s="1246">
        <v>1</v>
      </c>
      <c r="B5" s="565"/>
      <c r="C5" s="649"/>
      <c r="D5" s="650"/>
      <c r="E5" s="651"/>
      <c r="F5" s="652"/>
      <c r="G5" s="650"/>
      <c r="H5" s="653"/>
      <c r="I5" s="782"/>
      <c r="J5" s="651"/>
      <c r="K5" s="650"/>
      <c r="L5" s="655"/>
      <c r="M5" s="656"/>
      <c r="N5" s="171"/>
      <c r="O5" s="172"/>
      <c r="P5" s="173"/>
      <c r="Q5" s="174"/>
      <c r="R5" s="175"/>
      <c r="S5" s="173"/>
      <c r="T5" s="176"/>
      <c r="U5" s="177"/>
      <c r="V5" s="174"/>
      <c r="W5" s="173"/>
      <c r="X5" s="178"/>
      <c r="Y5" s="179"/>
      <c r="Z5" s="180"/>
      <c r="AA5" s="181"/>
      <c r="AB5" s="182"/>
      <c r="AC5" s="183"/>
      <c r="AD5" s="184"/>
      <c r="AE5" s="182"/>
      <c r="AF5" s="185"/>
      <c r="AG5" s="186"/>
      <c r="AH5" s="183"/>
      <c r="AI5" s="182"/>
      <c r="AJ5" s="187"/>
      <c r="AK5" s="188"/>
      <c r="AL5" s="189" t="s">
        <v>46</v>
      </c>
      <c r="AM5" s="190">
        <v>1</v>
      </c>
      <c r="AN5" s="191"/>
      <c r="AO5" s="192"/>
      <c r="AP5" s="190"/>
      <c r="AQ5" s="191"/>
      <c r="AR5" s="192">
        <v>1</v>
      </c>
      <c r="AS5" s="192" t="s">
        <v>238</v>
      </c>
      <c r="AT5" s="193" t="s">
        <v>100</v>
      </c>
      <c r="AU5" s="194" t="s">
        <v>239</v>
      </c>
      <c r="AV5" s="191" t="s">
        <v>240</v>
      </c>
      <c r="AW5" s="192" t="s">
        <v>241</v>
      </c>
      <c r="AX5" s="171"/>
      <c r="AY5" s="172"/>
      <c r="AZ5" s="173"/>
      <c r="BA5" s="174"/>
      <c r="BB5" s="175"/>
      <c r="BC5" s="173"/>
      <c r="BD5" s="176"/>
      <c r="BE5" s="177"/>
      <c r="BF5" s="174"/>
      <c r="BG5" s="173"/>
      <c r="BH5" s="178"/>
      <c r="BI5" s="179"/>
      <c r="BJ5" s="171"/>
      <c r="BK5" s="172"/>
      <c r="BL5" s="173"/>
      <c r="BM5" s="174"/>
      <c r="BN5" s="175"/>
      <c r="BO5" s="173"/>
      <c r="BP5" s="176"/>
      <c r="BQ5" s="177"/>
      <c r="BR5" s="174"/>
      <c r="BS5" s="173"/>
      <c r="BT5" s="178"/>
      <c r="BU5" s="179"/>
    </row>
    <row r="6" spans="1:73" ht="15.75" customHeight="1">
      <c r="A6" s="1241"/>
      <c r="B6" s="565"/>
      <c r="C6" s="649"/>
      <c r="D6" s="650"/>
      <c r="E6" s="651"/>
      <c r="F6" s="652"/>
      <c r="G6" s="650"/>
      <c r="H6" s="653"/>
      <c r="I6" s="782"/>
      <c r="J6" s="651"/>
      <c r="K6" s="650"/>
      <c r="L6" s="655"/>
      <c r="M6" s="656"/>
      <c r="N6" s="344"/>
      <c r="O6" s="657"/>
      <c r="P6" s="658"/>
      <c r="Q6" s="659"/>
      <c r="R6" s="660"/>
      <c r="S6" s="658"/>
      <c r="T6" s="661"/>
      <c r="U6" s="662"/>
      <c r="V6" s="659"/>
      <c r="W6" s="658"/>
      <c r="X6" s="87"/>
      <c r="Y6" s="663"/>
      <c r="Z6" s="664"/>
      <c r="AA6" s="665"/>
      <c r="AB6" s="666"/>
      <c r="AC6" s="667"/>
      <c r="AD6" s="668"/>
      <c r="AE6" s="666"/>
      <c r="AF6" s="669"/>
      <c r="AG6" s="670"/>
      <c r="AH6" s="667"/>
      <c r="AI6" s="666"/>
      <c r="AJ6" s="671"/>
      <c r="AK6" s="672"/>
      <c r="AL6" s="212"/>
      <c r="AM6" s="213"/>
      <c r="AN6" s="332"/>
      <c r="AO6" s="333"/>
      <c r="AP6" s="213"/>
      <c r="AQ6" s="332"/>
      <c r="AR6" s="333"/>
      <c r="AS6" s="333"/>
      <c r="AT6" s="331"/>
      <c r="AU6" s="260"/>
      <c r="AV6" s="332"/>
      <c r="AW6" s="333"/>
      <c r="AX6" s="344"/>
      <c r="AY6" s="657"/>
      <c r="AZ6" s="658"/>
      <c r="BA6" s="659"/>
      <c r="BB6" s="660"/>
      <c r="BC6" s="658"/>
      <c r="BD6" s="661"/>
      <c r="BE6" s="662"/>
      <c r="BF6" s="659"/>
      <c r="BG6" s="658"/>
      <c r="BH6" s="87"/>
      <c r="BI6" s="663"/>
      <c r="BJ6" s="344"/>
      <c r="BK6" s="657"/>
      <c r="BL6" s="658"/>
      <c r="BM6" s="659"/>
      <c r="BN6" s="660"/>
      <c r="BO6" s="658"/>
      <c r="BP6" s="661"/>
      <c r="BQ6" s="662"/>
      <c r="BR6" s="659"/>
      <c r="BS6" s="658"/>
      <c r="BT6" s="87"/>
      <c r="BU6" s="663"/>
    </row>
    <row r="7" spans="1:73" ht="15.75" customHeight="1">
      <c r="A7" s="1241"/>
      <c r="B7" s="565"/>
      <c r="C7" s="649"/>
      <c r="D7" s="650"/>
      <c r="E7" s="651"/>
      <c r="F7" s="652"/>
      <c r="G7" s="650"/>
      <c r="H7" s="653"/>
      <c r="I7" s="782"/>
      <c r="J7" s="651"/>
      <c r="K7" s="650"/>
      <c r="L7" s="655"/>
      <c r="M7" s="656"/>
      <c r="N7" s="344"/>
      <c r="O7" s="657"/>
      <c r="P7" s="658"/>
      <c r="Q7" s="659"/>
      <c r="R7" s="660"/>
      <c r="S7" s="658"/>
      <c r="T7" s="661"/>
      <c r="U7" s="662"/>
      <c r="V7" s="659"/>
      <c r="W7" s="658"/>
      <c r="X7" s="87"/>
      <c r="Y7" s="663"/>
      <c r="Z7" s="664"/>
      <c r="AA7" s="665"/>
      <c r="AB7" s="666"/>
      <c r="AC7" s="667"/>
      <c r="AD7" s="668"/>
      <c r="AE7" s="666"/>
      <c r="AF7" s="669"/>
      <c r="AG7" s="670"/>
      <c r="AH7" s="667"/>
      <c r="AI7" s="666"/>
      <c r="AJ7" s="671"/>
      <c r="AK7" s="672"/>
      <c r="AL7" s="212"/>
      <c r="AM7" s="213"/>
      <c r="AN7" s="332"/>
      <c r="AO7" s="333"/>
      <c r="AP7" s="213"/>
      <c r="AQ7" s="332"/>
      <c r="AR7" s="333"/>
      <c r="AS7" s="333"/>
      <c r="AT7" s="331"/>
      <c r="AU7" s="260"/>
      <c r="AV7" s="332"/>
      <c r="AW7" s="333"/>
      <c r="AX7" s="344"/>
      <c r="AY7" s="657"/>
      <c r="AZ7" s="658"/>
      <c r="BA7" s="659"/>
      <c r="BB7" s="660"/>
      <c r="BC7" s="658"/>
      <c r="BD7" s="661"/>
      <c r="BE7" s="662"/>
      <c r="BF7" s="659"/>
      <c r="BG7" s="658"/>
      <c r="BH7" s="87"/>
      <c r="BI7" s="663"/>
      <c r="BJ7" s="344"/>
      <c r="BK7" s="657"/>
      <c r="BL7" s="658"/>
      <c r="BM7" s="659"/>
      <c r="BN7" s="660"/>
      <c r="BO7" s="658"/>
      <c r="BP7" s="661"/>
      <c r="BQ7" s="662"/>
      <c r="BR7" s="659"/>
      <c r="BS7" s="658"/>
      <c r="BT7" s="87"/>
      <c r="BU7" s="663"/>
    </row>
    <row r="8" spans="1:73" ht="15.75" customHeight="1">
      <c r="A8" s="1241"/>
      <c r="B8" s="565"/>
      <c r="C8" s="649"/>
      <c r="D8" s="650"/>
      <c r="E8" s="651"/>
      <c r="F8" s="652"/>
      <c r="G8" s="650"/>
      <c r="H8" s="653"/>
      <c r="I8" s="782"/>
      <c r="J8" s="651"/>
      <c r="K8" s="650"/>
      <c r="L8" s="655"/>
      <c r="M8" s="656"/>
      <c r="N8" s="344"/>
      <c r="O8" s="657"/>
      <c r="P8" s="658"/>
      <c r="Q8" s="659"/>
      <c r="R8" s="660"/>
      <c r="S8" s="658"/>
      <c r="T8" s="661"/>
      <c r="U8" s="662"/>
      <c r="V8" s="659"/>
      <c r="W8" s="658"/>
      <c r="X8" s="87"/>
      <c r="Y8" s="663"/>
      <c r="Z8" s="664"/>
      <c r="AA8" s="665"/>
      <c r="AB8" s="666"/>
      <c r="AC8" s="667"/>
      <c r="AD8" s="668"/>
      <c r="AE8" s="666"/>
      <c r="AF8" s="669"/>
      <c r="AG8" s="670"/>
      <c r="AH8" s="667"/>
      <c r="AI8" s="666"/>
      <c r="AJ8" s="671"/>
      <c r="AK8" s="672"/>
      <c r="AL8" s="212"/>
      <c r="AM8" s="213"/>
      <c r="AN8" s="332"/>
      <c r="AO8" s="333"/>
      <c r="AP8" s="213"/>
      <c r="AQ8" s="332"/>
      <c r="AR8" s="333"/>
      <c r="AS8" s="333"/>
      <c r="AT8" s="331"/>
      <c r="AU8" s="260"/>
      <c r="AV8" s="332"/>
      <c r="AW8" s="333"/>
      <c r="AX8" s="344"/>
      <c r="AY8" s="657"/>
      <c r="AZ8" s="658"/>
      <c r="BA8" s="659"/>
      <c r="BB8" s="660"/>
      <c r="BC8" s="658"/>
      <c r="BD8" s="661"/>
      <c r="BE8" s="662"/>
      <c r="BF8" s="659"/>
      <c r="BG8" s="658"/>
      <c r="BH8" s="87"/>
      <c r="BI8" s="663"/>
      <c r="BJ8" s="344"/>
      <c r="BK8" s="657"/>
      <c r="BL8" s="658"/>
      <c r="BM8" s="659"/>
      <c r="BN8" s="660"/>
      <c r="BO8" s="658"/>
      <c r="BP8" s="661"/>
      <c r="BQ8" s="662"/>
      <c r="BR8" s="659"/>
      <c r="BS8" s="658"/>
      <c r="BT8" s="87"/>
      <c r="BU8" s="663"/>
    </row>
    <row r="9" spans="1:73" ht="15.75" customHeight="1">
      <c r="A9" s="1242"/>
      <c r="B9" s="490"/>
      <c r="C9" s="491"/>
      <c r="D9" s="492"/>
      <c r="E9" s="493"/>
      <c r="F9" s="494"/>
      <c r="G9" s="492"/>
      <c r="H9" s="495"/>
      <c r="I9" s="783"/>
      <c r="J9" s="493"/>
      <c r="K9" s="492"/>
      <c r="L9" s="497"/>
      <c r="M9" s="498"/>
      <c r="N9" s="195"/>
      <c r="O9" s="196"/>
      <c r="P9" s="197"/>
      <c r="Q9" s="198"/>
      <c r="R9" s="199"/>
      <c r="S9" s="197"/>
      <c r="T9" s="200"/>
      <c r="U9" s="201"/>
      <c r="V9" s="198"/>
      <c r="W9" s="197"/>
      <c r="X9" s="88"/>
      <c r="Y9" s="202"/>
      <c r="Z9" s="203"/>
      <c r="AA9" s="204"/>
      <c r="AB9" s="205"/>
      <c r="AC9" s="206"/>
      <c r="AD9" s="207"/>
      <c r="AE9" s="205"/>
      <c r="AF9" s="208"/>
      <c r="AG9" s="209"/>
      <c r="AH9" s="206"/>
      <c r="AI9" s="205"/>
      <c r="AJ9" s="210"/>
      <c r="AK9" s="211"/>
      <c r="AL9" s="212"/>
      <c r="AM9" s="213"/>
      <c r="AN9" s="214"/>
      <c r="AO9" s="215"/>
      <c r="AP9" s="216"/>
      <c r="AQ9" s="214"/>
      <c r="AR9" s="215"/>
      <c r="AS9" s="217"/>
      <c r="AT9" s="218"/>
      <c r="AU9" s="219"/>
      <c r="AV9" s="220"/>
      <c r="AW9" s="217"/>
      <c r="AX9" s="195" t="s">
        <v>242</v>
      </c>
      <c r="AY9" s="196"/>
      <c r="AZ9" s="197"/>
      <c r="BA9" s="198"/>
      <c r="BB9" s="199"/>
      <c r="BC9" s="197"/>
      <c r="BD9" s="200"/>
      <c r="BE9" s="201"/>
      <c r="BF9" s="198"/>
      <c r="BG9" s="197"/>
      <c r="BH9" s="88"/>
      <c r="BI9" s="202"/>
      <c r="BJ9" s="195"/>
      <c r="BK9" s="196"/>
      <c r="BL9" s="197"/>
      <c r="BM9" s="198"/>
      <c r="BN9" s="199"/>
      <c r="BO9" s="197"/>
      <c r="BP9" s="200"/>
      <c r="BQ9" s="201"/>
      <c r="BR9" s="198"/>
      <c r="BS9" s="197"/>
      <c r="BT9" s="88"/>
      <c r="BU9" s="202"/>
    </row>
    <row r="10" spans="1:73" ht="15.75" customHeight="1">
      <c r="A10" s="1242"/>
      <c r="B10" s="490"/>
      <c r="C10" s="491"/>
      <c r="D10" s="492"/>
      <c r="E10" s="493"/>
      <c r="F10" s="494"/>
      <c r="G10" s="492"/>
      <c r="H10" s="495"/>
      <c r="I10" s="783"/>
      <c r="J10" s="493"/>
      <c r="K10" s="492"/>
      <c r="L10" s="497"/>
      <c r="M10" s="498"/>
      <c r="N10" s="195"/>
      <c r="O10" s="196"/>
      <c r="P10" s="197"/>
      <c r="Q10" s="198"/>
      <c r="R10" s="199"/>
      <c r="S10" s="197"/>
      <c r="T10" s="200"/>
      <c r="U10" s="201"/>
      <c r="V10" s="198"/>
      <c r="W10" s="197"/>
      <c r="X10" s="88"/>
      <c r="Y10" s="202"/>
      <c r="Z10" s="203"/>
      <c r="AA10" s="204"/>
      <c r="AB10" s="205"/>
      <c r="AC10" s="206"/>
      <c r="AD10" s="207"/>
      <c r="AE10" s="205"/>
      <c r="AF10" s="208"/>
      <c r="AG10" s="209"/>
      <c r="AH10" s="206"/>
      <c r="AI10" s="205"/>
      <c r="AJ10" s="210"/>
      <c r="AK10" s="211"/>
      <c r="AL10" s="212"/>
      <c r="AM10" s="221"/>
      <c r="AN10" s="214"/>
      <c r="AO10" s="215"/>
      <c r="AP10" s="222"/>
      <c r="AQ10" s="214"/>
      <c r="AR10" s="215"/>
      <c r="AS10" s="217"/>
      <c r="AT10" s="218"/>
      <c r="AU10" s="219"/>
      <c r="AV10" s="220"/>
      <c r="AW10" s="217"/>
      <c r="AX10" s="195"/>
      <c r="AY10" s="196"/>
      <c r="AZ10" s="197"/>
      <c r="BA10" s="198"/>
      <c r="BB10" s="199"/>
      <c r="BC10" s="197"/>
      <c r="BD10" s="200"/>
      <c r="BE10" s="201"/>
      <c r="BF10" s="198"/>
      <c r="BG10" s="197"/>
      <c r="BH10" s="88"/>
      <c r="BI10" s="202"/>
      <c r="BJ10" s="195"/>
      <c r="BK10" s="196"/>
      <c r="BL10" s="197"/>
      <c r="BM10" s="198"/>
      <c r="BN10" s="199"/>
      <c r="BO10" s="197"/>
      <c r="BP10" s="200"/>
      <c r="BQ10" s="201"/>
      <c r="BR10" s="198"/>
      <c r="BS10" s="197"/>
      <c r="BT10" s="88"/>
      <c r="BU10" s="202"/>
    </row>
    <row r="11" spans="1:73" ht="15.75" customHeight="1" thickBot="1">
      <c r="A11" s="1243"/>
      <c r="B11" s="499"/>
      <c r="C11" s="500"/>
      <c r="D11" s="501"/>
      <c r="E11" s="502"/>
      <c r="F11" s="503"/>
      <c r="G11" s="501"/>
      <c r="H11" s="504"/>
      <c r="I11" s="784"/>
      <c r="J11" s="502"/>
      <c r="K11" s="501"/>
      <c r="L11" s="506"/>
      <c r="M11" s="507"/>
      <c r="N11" s="223"/>
      <c r="O11" s="224"/>
      <c r="P11" s="225"/>
      <c r="Q11" s="226"/>
      <c r="R11" s="227"/>
      <c r="S11" s="225"/>
      <c r="T11" s="228"/>
      <c r="U11" s="229"/>
      <c r="V11" s="226"/>
      <c r="W11" s="225"/>
      <c r="X11" s="230"/>
      <c r="Y11" s="231"/>
      <c r="Z11" s="232"/>
      <c r="AA11" s="233"/>
      <c r="AB11" s="234"/>
      <c r="AC11" s="235"/>
      <c r="AD11" s="236"/>
      <c r="AE11" s="234"/>
      <c r="AF11" s="237"/>
      <c r="AG11" s="238"/>
      <c r="AH11" s="235"/>
      <c r="AI11" s="234"/>
      <c r="AJ11" s="239"/>
      <c r="AK11" s="240"/>
      <c r="AL11" s="241"/>
      <c r="AM11" s="242"/>
      <c r="AN11" s="243"/>
      <c r="AO11" s="244"/>
      <c r="AP11" s="245"/>
      <c r="AQ11" s="243"/>
      <c r="AR11" s="246"/>
      <c r="AS11" s="246"/>
      <c r="AT11" s="247"/>
      <c r="AU11" s="248"/>
      <c r="AV11" s="243"/>
      <c r="AW11" s="246"/>
      <c r="AX11" s="223"/>
      <c r="AY11" s="224"/>
      <c r="AZ11" s="225"/>
      <c r="BA11" s="226"/>
      <c r="BB11" s="227"/>
      <c r="BC11" s="225"/>
      <c r="BD11" s="228"/>
      <c r="BE11" s="229"/>
      <c r="BF11" s="226"/>
      <c r="BG11" s="225"/>
      <c r="BH11" s="230"/>
      <c r="BI11" s="231"/>
      <c r="BJ11" s="223"/>
      <c r="BK11" s="224"/>
      <c r="BL11" s="225"/>
      <c r="BM11" s="226"/>
      <c r="BN11" s="227"/>
      <c r="BO11" s="225"/>
      <c r="BP11" s="228"/>
      <c r="BQ11" s="229"/>
      <c r="BR11" s="226"/>
      <c r="BS11" s="225"/>
      <c r="BT11" s="230"/>
      <c r="BU11" s="231"/>
    </row>
    <row r="12" spans="1:73" ht="15.75" customHeight="1">
      <c r="A12" s="1231">
        <v>2</v>
      </c>
      <c r="B12" s="509" t="s">
        <v>549</v>
      </c>
      <c r="C12" s="509">
        <v>1</v>
      </c>
      <c r="D12" s="510"/>
      <c r="E12" s="511"/>
      <c r="F12" s="710">
        <v>1</v>
      </c>
      <c r="G12" s="510"/>
      <c r="H12" s="511"/>
      <c r="I12" s="785" t="s">
        <v>238</v>
      </c>
      <c r="J12" s="514" t="s">
        <v>550</v>
      </c>
      <c r="K12" s="510" t="s">
        <v>551</v>
      </c>
      <c r="L12" s="515"/>
      <c r="M12" s="516"/>
      <c r="N12" s="171"/>
      <c r="O12" s="172"/>
      <c r="P12" s="173"/>
      <c r="Q12" s="174"/>
      <c r="R12" s="175"/>
      <c r="S12" s="173"/>
      <c r="T12" s="176"/>
      <c r="U12" s="177"/>
      <c r="V12" s="174"/>
      <c r="W12" s="173"/>
      <c r="X12" s="178"/>
      <c r="Y12" s="179"/>
      <c r="Z12" s="180"/>
      <c r="AA12" s="181"/>
      <c r="AB12" s="182"/>
      <c r="AC12" s="183"/>
      <c r="AD12" s="184"/>
      <c r="AE12" s="182"/>
      <c r="AF12" s="185"/>
      <c r="AG12" s="186"/>
      <c r="AH12" s="183"/>
      <c r="AI12" s="182"/>
      <c r="AJ12" s="187"/>
      <c r="AK12" s="188"/>
      <c r="AL12" s="189" t="s">
        <v>76</v>
      </c>
      <c r="AM12" s="190">
        <v>1</v>
      </c>
      <c r="AN12" s="191"/>
      <c r="AO12" s="192"/>
      <c r="AP12" s="190"/>
      <c r="AQ12" s="191"/>
      <c r="AR12" s="192">
        <v>1</v>
      </c>
      <c r="AS12" s="192" t="s">
        <v>244</v>
      </c>
      <c r="AT12" s="193" t="s">
        <v>31</v>
      </c>
      <c r="AU12" s="194" t="s">
        <v>245</v>
      </c>
      <c r="AV12" s="191" t="s">
        <v>246</v>
      </c>
      <c r="AW12" s="192" t="s">
        <v>247</v>
      </c>
      <c r="AX12" s="249"/>
      <c r="AY12" s="250"/>
      <c r="AZ12" s="251"/>
      <c r="BA12" s="252"/>
      <c r="BB12" s="253"/>
      <c r="BC12" s="251"/>
      <c r="BD12" s="254"/>
      <c r="BE12" s="255"/>
      <c r="BF12" s="252"/>
      <c r="BG12" s="251"/>
      <c r="BH12" s="256"/>
      <c r="BI12" s="257"/>
      <c r="BJ12" s="193" t="s">
        <v>67</v>
      </c>
      <c r="BK12" s="190">
        <v>1</v>
      </c>
      <c r="BL12" s="251"/>
      <c r="BM12" s="252"/>
      <c r="BN12" s="190">
        <v>1</v>
      </c>
      <c r="BO12" s="251"/>
      <c r="BP12" s="254"/>
      <c r="BQ12" s="255" t="s">
        <v>51</v>
      </c>
      <c r="BR12" s="192" t="s">
        <v>66</v>
      </c>
      <c r="BS12" s="194" t="s">
        <v>248</v>
      </c>
      <c r="BT12" s="258" t="s">
        <v>249</v>
      </c>
      <c r="BU12" s="192" t="s">
        <v>250</v>
      </c>
    </row>
    <row r="13" spans="1:73" ht="15.75" customHeight="1">
      <c r="A13" s="1239"/>
      <c r="B13" s="517"/>
      <c r="C13" s="673"/>
      <c r="D13" s="674"/>
      <c r="E13" s="513"/>
      <c r="F13" s="675"/>
      <c r="G13" s="674"/>
      <c r="H13" s="513"/>
      <c r="I13" s="785"/>
      <c r="J13" s="676"/>
      <c r="K13" s="674"/>
      <c r="L13" s="677"/>
      <c r="M13" s="678"/>
      <c r="N13" s="344"/>
      <c r="O13" s="657"/>
      <c r="P13" s="658"/>
      <c r="Q13" s="659"/>
      <c r="R13" s="660"/>
      <c r="S13" s="658"/>
      <c r="T13" s="661"/>
      <c r="U13" s="662"/>
      <c r="V13" s="659"/>
      <c r="W13" s="658"/>
      <c r="X13" s="87"/>
      <c r="Y13" s="663"/>
      <c r="Z13" s="664"/>
      <c r="AA13" s="665"/>
      <c r="AB13" s="666"/>
      <c r="AC13" s="667"/>
      <c r="AD13" s="668"/>
      <c r="AE13" s="666"/>
      <c r="AF13" s="669"/>
      <c r="AG13" s="670"/>
      <c r="AH13" s="667"/>
      <c r="AI13" s="666"/>
      <c r="AJ13" s="671"/>
      <c r="AK13" s="672"/>
      <c r="AL13" s="212"/>
      <c r="AM13" s="213"/>
      <c r="AN13" s="332"/>
      <c r="AO13" s="333"/>
      <c r="AP13" s="213"/>
      <c r="AQ13" s="332"/>
      <c r="AR13" s="333"/>
      <c r="AS13" s="333"/>
      <c r="AT13" s="331"/>
      <c r="AU13" s="260"/>
      <c r="AV13" s="332"/>
      <c r="AW13" s="333"/>
      <c r="AX13" s="324"/>
      <c r="AY13" s="679"/>
      <c r="AZ13" s="416"/>
      <c r="BA13" s="680"/>
      <c r="BB13" s="681"/>
      <c r="BC13" s="416"/>
      <c r="BD13" s="682"/>
      <c r="BE13" s="683"/>
      <c r="BF13" s="680"/>
      <c r="BG13" s="416"/>
      <c r="BH13" s="94"/>
      <c r="BI13" s="684"/>
      <c r="BJ13" s="331"/>
      <c r="BK13" s="213"/>
      <c r="BL13" s="416"/>
      <c r="BM13" s="680"/>
      <c r="BN13" s="213"/>
      <c r="BO13" s="416"/>
      <c r="BP13" s="682"/>
      <c r="BQ13" s="683"/>
      <c r="BR13" s="333"/>
      <c r="BS13" s="260"/>
      <c r="BT13" s="265"/>
      <c r="BU13" s="333"/>
    </row>
    <row r="14" spans="1:73" ht="15.75" customHeight="1">
      <c r="A14" s="1239"/>
      <c r="B14" s="517"/>
      <c r="C14" s="673"/>
      <c r="D14" s="674"/>
      <c r="E14" s="513"/>
      <c r="F14" s="675"/>
      <c r="G14" s="674"/>
      <c r="H14" s="513"/>
      <c r="I14" s="785"/>
      <c r="J14" s="676"/>
      <c r="K14" s="674"/>
      <c r="L14" s="677"/>
      <c r="M14" s="678"/>
      <c r="N14" s="344"/>
      <c r="O14" s="657"/>
      <c r="P14" s="658"/>
      <c r="Q14" s="659"/>
      <c r="R14" s="660"/>
      <c r="S14" s="658"/>
      <c r="T14" s="661"/>
      <c r="U14" s="662"/>
      <c r="V14" s="659"/>
      <c r="W14" s="658"/>
      <c r="X14" s="87"/>
      <c r="Y14" s="663"/>
      <c r="Z14" s="664"/>
      <c r="AA14" s="665"/>
      <c r="AB14" s="666"/>
      <c r="AC14" s="667"/>
      <c r="AD14" s="668"/>
      <c r="AE14" s="666"/>
      <c r="AF14" s="669"/>
      <c r="AG14" s="670"/>
      <c r="AH14" s="667"/>
      <c r="AI14" s="666"/>
      <c r="AJ14" s="671"/>
      <c r="AK14" s="672"/>
      <c r="AL14" s="212"/>
      <c r="AM14" s="213"/>
      <c r="AN14" s="332"/>
      <c r="AO14" s="333"/>
      <c r="AP14" s="213"/>
      <c r="AQ14" s="332"/>
      <c r="AR14" s="333"/>
      <c r="AS14" s="333"/>
      <c r="AT14" s="331"/>
      <c r="AU14" s="260"/>
      <c r="AV14" s="332"/>
      <c r="AW14" s="333"/>
      <c r="AX14" s="324"/>
      <c r="AY14" s="679"/>
      <c r="AZ14" s="416"/>
      <c r="BA14" s="680"/>
      <c r="BB14" s="681"/>
      <c r="BC14" s="416"/>
      <c r="BD14" s="682"/>
      <c r="BE14" s="683"/>
      <c r="BF14" s="680"/>
      <c r="BG14" s="416"/>
      <c r="BH14" s="94"/>
      <c r="BI14" s="684"/>
      <c r="BJ14" s="331"/>
      <c r="BK14" s="213"/>
      <c r="BL14" s="416"/>
      <c r="BM14" s="680"/>
      <c r="BN14" s="213"/>
      <c r="BO14" s="416"/>
      <c r="BP14" s="682"/>
      <c r="BQ14" s="683"/>
      <c r="BR14" s="333"/>
      <c r="BS14" s="260"/>
      <c r="BT14" s="265"/>
      <c r="BU14" s="333"/>
    </row>
    <row r="15" spans="1:73" ht="15.75" customHeight="1">
      <c r="A15" s="1239"/>
      <c r="B15" s="517"/>
      <c r="C15" s="673"/>
      <c r="D15" s="674"/>
      <c r="E15" s="513"/>
      <c r="F15" s="675"/>
      <c r="G15" s="674"/>
      <c r="H15" s="513"/>
      <c r="I15" s="785"/>
      <c r="J15" s="676"/>
      <c r="K15" s="674"/>
      <c r="L15" s="677"/>
      <c r="M15" s="678"/>
      <c r="N15" s="344"/>
      <c r="O15" s="657"/>
      <c r="P15" s="658"/>
      <c r="Q15" s="659"/>
      <c r="R15" s="660"/>
      <c r="S15" s="658"/>
      <c r="T15" s="661"/>
      <c r="U15" s="662"/>
      <c r="V15" s="659"/>
      <c r="W15" s="658"/>
      <c r="X15" s="87"/>
      <c r="Y15" s="663"/>
      <c r="Z15" s="664"/>
      <c r="AA15" s="665"/>
      <c r="AB15" s="666"/>
      <c r="AC15" s="667"/>
      <c r="AD15" s="668"/>
      <c r="AE15" s="666"/>
      <c r="AF15" s="669"/>
      <c r="AG15" s="670"/>
      <c r="AH15" s="667"/>
      <c r="AI15" s="666"/>
      <c r="AJ15" s="671"/>
      <c r="AK15" s="672"/>
      <c r="AL15" s="212"/>
      <c r="AM15" s="213"/>
      <c r="AN15" s="332"/>
      <c r="AO15" s="333"/>
      <c r="AP15" s="213"/>
      <c r="AQ15" s="332"/>
      <c r="AR15" s="333"/>
      <c r="AS15" s="333"/>
      <c r="AT15" s="331"/>
      <c r="AU15" s="260"/>
      <c r="AV15" s="332"/>
      <c r="AW15" s="333"/>
      <c r="AX15" s="324"/>
      <c r="AY15" s="679"/>
      <c r="AZ15" s="416"/>
      <c r="BA15" s="680"/>
      <c r="BB15" s="681"/>
      <c r="BC15" s="416"/>
      <c r="BD15" s="682"/>
      <c r="BE15" s="683"/>
      <c r="BF15" s="680"/>
      <c r="BG15" s="416"/>
      <c r="BH15" s="94"/>
      <c r="BI15" s="684"/>
      <c r="BJ15" s="331"/>
      <c r="BK15" s="213"/>
      <c r="BL15" s="416"/>
      <c r="BM15" s="680"/>
      <c r="BN15" s="213"/>
      <c r="BO15" s="416"/>
      <c r="BP15" s="682"/>
      <c r="BQ15" s="683"/>
      <c r="BR15" s="333"/>
      <c r="BS15" s="260"/>
      <c r="BT15" s="265"/>
      <c r="BU15" s="333"/>
    </row>
    <row r="16" spans="1:73" ht="15.75" customHeight="1">
      <c r="A16" s="1232"/>
      <c r="B16" s="517"/>
      <c r="C16" s="518"/>
      <c r="D16" s="519"/>
      <c r="E16" s="520"/>
      <c r="F16" s="521"/>
      <c r="G16" s="519"/>
      <c r="H16" s="520"/>
      <c r="I16" s="786"/>
      <c r="J16" s="522"/>
      <c r="K16" s="519"/>
      <c r="L16" s="523"/>
      <c r="M16" s="524"/>
      <c r="N16" s="195"/>
      <c r="O16" s="196"/>
      <c r="P16" s="197"/>
      <c r="Q16" s="198"/>
      <c r="R16" s="199"/>
      <c r="S16" s="197"/>
      <c r="T16" s="200"/>
      <c r="U16" s="201"/>
      <c r="V16" s="198"/>
      <c r="W16" s="197"/>
      <c r="X16" s="88"/>
      <c r="Y16" s="202"/>
      <c r="Z16" s="203"/>
      <c r="AA16" s="204"/>
      <c r="AB16" s="205"/>
      <c r="AC16" s="206"/>
      <c r="AD16" s="207"/>
      <c r="AE16" s="205"/>
      <c r="AF16" s="208"/>
      <c r="AG16" s="209"/>
      <c r="AH16" s="206"/>
      <c r="AI16" s="205"/>
      <c r="AJ16" s="210"/>
      <c r="AK16" s="211"/>
      <c r="AL16" s="212" t="s">
        <v>46</v>
      </c>
      <c r="AM16" s="213"/>
      <c r="AN16" s="214">
        <v>1</v>
      </c>
      <c r="AO16" s="215"/>
      <c r="AP16" s="222">
        <v>1</v>
      </c>
      <c r="AQ16" s="214"/>
      <c r="AR16" s="215"/>
      <c r="AS16" s="217" t="s">
        <v>251</v>
      </c>
      <c r="AT16" s="218" t="s">
        <v>82</v>
      </c>
      <c r="AU16" s="219" t="s">
        <v>252</v>
      </c>
      <c r="AV16" s="220" t="s">
        <v>253</v>
      </c>
      <c r="AW16" s="217" t="s">
        <v>254</v>
      </c>
      <c r="AX16" s="259" t="s">
        <v>243</v>
      </c>
      <c r="AY16" s="213"/>
      <c r="AZ16" s="260"/>
      <c r="BA16" s="261"/>
      <c r="BB16" s="262"/>
      <c r="BC16" s="260"/>
      <c r="BD16" s="263"/>
      <c r="BE16" s="264"/>
      <c r="BF16" s="261"/>
      <c r="BG16" s="260"/>
      <c r="BH16" s="265"/>
      <c r="BI16" s="266"/>
      <c r="BJ16" s="259"/>
      <c r="BK16" s="213"/>
      <c r="BL16" s="260"/>
      <c r="BM16" s="261"/>
      <c r="BN16" s="262"/>
      <c r="BO16" s="260"/>
      <c r="BP16" s="263"/>
      <c r="BQ16" s="264"/>
      <c r="BR16" s="261"/>
      <c r="BS16" s="260"/>
      <c r="BT16" s="265"/>
      <c r="BU16" s="266"/>
    </row>
    <row r="17" spans="1:73" ht="15.75" customHeight="1">
      <c r="A17" s="1232"/>
      <c r="B17" s="517"/>
      <c r="C17" s="518"/>
      <c r="D17" s="519"/>
      <c r="E17" s="520"/>
      <c r="F17" s="521"/>
      <c r="G17" s="519"/>
      <c r="H17" s="520"/>
      <c r="I17" s="786"/>
      <c r="J17" s="522"/>
      <c r="K17" s="519"/>
      <c r="L17" s="523"/>
      <c r="M17" s="524"/>
      <c r="N17" s="195"/>
      <c r="O17" s="196"/>
      <c r="P17" s="197"/>
      <c r="Q17" s="198"/>
      <c r="R17" s="199"/>
      <c r="S17" s="197"/>
      <c r="T17" s="200"/>
      <c r="U17" s="201"/>
      <c r="V17" s="198"/>
      <c r="W17" s="197"/>
      <c r="X17" s="88"/>
      <c r="Y17" s="202"/>
      <c r="Z17" s="203"/>
      <c r="AA17" s="204"/>
      <c r="AB17" s="205"/>
      <c r="AC17" s="206"/>
      <c r="AD17" s="207"/>
      <c r="AE17" s="205"/>
      <c r="AF17" s="208"/>
      <c r="AG17" s="209"/>
      <c r="AH17" s="206"/>
      <c r="AI17" s="205"/>
      <c r="AJ17" s="210"/>
      <c r="AK17" s="211"/>
      <c r="AL17" s="212" t="s">
        <v>72</v>
      </c>
      <c r="AM17" s="221"/>
      <c r="AN17" s="214">
        <v>1</v>
      </c>
      <c r="AO17" s="215"/>
      <c r="AP17" s="222">
        <v>1</v>
      </c>
      <c r="AQ17" s="214"/>
      <c r="AR17" s="215"/>
      <c r="AS17" s="217" t="s">
        <v>251</v>
      </c>
      <c r="AT17" s="218" t="s">
        <v>93</v>
      </c>
      <c r="AU17" s="219" t="s">
        <v>255</v>
      </c>
      <c r="AV17" s="220" t="s">
        <v>256</v>
      </c>
      <c r="AW17" s="217" t="s">
        <v>257</v>
      </c>
      <c r="AX17" s="259"/>
      <c r="AY17" s="213"/>
      <c r="AZ17" s="260"/>
      <c r="BA17" s="261"/>
      <c r="BB17" s="262"/>
      <c r="BC17" s="260"/>
      <c r="BD17" s="263"/>
      <c r="BE17" s="264"/>
      <c r="BF17" s="261"/>
      <c r="BG17" s="260"/>
      <c r="BH17" s="265"/>
      <c r="BI17" s="266"/>
      <c r="BJ17" s="259"/>
      <c r="BK17" s="213"/>
      <c r="BL17" s="260"/>
      <c r="BM17" s="261"/>
      <c r="BN17" s="262"/>
      <c r="BO17" s="260"/>
      <c r="BP17" s="263"/>
      <c r="BQ17" s="264"/>
      <c r="BR17" s="261"/>
      <c r="BS17" s="260"/>
      <c r="BT17" s="265"/>
      <c r="BU17" s="266"/>
    </row>
    <row r="18" spans="1:73" ht="15.75" customHeight="1">
      <c r="A18" s="1233"/>
      <c r="B18" s="525"/>
      <c r="C18" s="526"/>
      <c r="D18" s="527"/>
      <c r="E18" s="528"/>
      <c r="F18" s="529"/>
      <c r="G18" s="527"/>
      <c r="H18" s="528"/>
      <c r="I18" s="787"/>
      <c r="J18" s="530"/>
      <c r="K18" s="527"/>
      <c r="L18" s="531"/>
      <c r="M18" s="532"/>
      <c r="N18" s="223"/>
      <c r="O18" s="224"/>
      <c r="P18" s="225"/>
      <c r="Q18" s="226"/>
      <c r="R18" s="227"/>
      <c r="S18" s="225"/>
      <c r="T18" s="228"/>
      <c r="U18" s="229"/>
      <c r="V18" s="226"/>
      <c r="W18" s="225"/>
      <c r="X18" s="230"/>
      <c r="Y18" s="231"/>
      <c r="Z18" s="232"/>
      <c r="AA18" s="233"/>
      <c r="AB18" s="234"/>
      <c r="AC18" s="235"/>
      <c r="AD18" s="236"/>
      <c r="AE18" s="234"/>
      <c r="AF18" s="237"/>
      <c r="AG18" s="238"/>
      <c r="AH18" s="235"/>
      <c r="AI18" s="234"/>
      <c r="AJ18" s="239"/>
      <c r="AK18" s="240"/>
      <c r="AL18" s="241"/>
      <c r="AM18" s="242"/>
      <c r="AN18" s="243"/>
      <c r="AO18" s="244"/>
      <c r="AP18" s="245"/>
      <c r="AQ18" s="243"/>
      <c r="AR18" s="246"/>
      <c r="AS18" s="246"/>
      <c r="AT18" s="247"/>
      <c r="AU18" s="248"/>
      <c r="AV18" s="243"/>
      <c r="AW18" s="246"/>
      <c r="AX18" s="267"/>
      <c r="AY18" s="268"/>
      <c r="AZ18" s="269"/>
      <c r="BA18" s="270"/>
      <c r="BB18" s="271"/>
      <c r="BC18" s="269"/>
      <c r="BD18" s="272"/>
      <c r="BE18" s="273"/>
      <c r="BF18" s="270"/>
      <c r="BG18" s="269"/>
      <c r="BH18" s="274"/>
      <c r="BI18" s="275"/>
      <c r="BJ18" s="267"/>
      <c r="BK18" s="268"/>
      <c r="BL18" s="269"/>
      <c r="BM18" s="270"/>
      <c r="BN18" s="271"/>
      <c r="BO18" s="269"/>
      <c r="BP18" s="272"/>
      <c r="BQ18" s="273"/>
      <c r="BR18" s="270"/>
      <c r="BS18" s="269"/>
      <c r="BT18" s="274"/>
      <c r="BU18" s="275"/>
    </row>
    <row r="19" spans="1:73" ht="15.75" customHeight="1">
      <c r="A19" s="1231">
        <v>3</v>
      </c>
      <c r="B19" s="508"/>
      <c r="C19" s="509"/>
      <c r="D19" s="510"/>
      <c r="E19" s="511"/>
      <c r="F19" s="512"/>
      <c r="G19" s="510"/>
      <c r="H19" s="511"/>
      <c r="I19" s="788"/>
      <c r="J19" s="514"/>
      <c r="K19" s="510"/>
      <c r="L19" s="515"/>
      <c r="M19" s="516"/>
      <c r="N19" s="189" t="s">
        <v>46</v>
      </c>
      <c r="O19" s="190">
        <v>1</v>
      </c>
      <c r="P19" s="191"/>
      <c r="Q19" s="192"/>
      <c r="R19" s="190">
        <v>1</v>
      </c>
      <c r="S19" s="191"/>
      <c r="T19" s="192"/>
      <c r="U19" s="192" t="s">
        <v>238</v>
      </c>
      <c r="V19" s="193" t="s">
        <v>48</v>
      </c>
      <c r="W19" s="194" t="s">
        <v>258</v>
      </c>
      <c r="X19" s="191" t="s">
        <v>259</v>
      </c>
      <c r="Y19" s="192" t="s">
        <v>260</v>
      </c>
      <c r="Z19" s="189" t="s">
        <v>261</v>
      </c>
      <c r="AA19" s="190"/>
      <c r="AB19" s="191"/>
      <c r="AC19" s="192"/>
      <c r="AD19" s="190"/>
      <c r="AE19" s="191"/>
      <c r="AF19" s="192"/>
      <c r="AG19" s="192"/>
      <c r="AH19" s="193"/>
      <c r="AI19" s="194"/>
      <c r="AJ19" s="191"/>
      <c r="AK19" s="192"/>
      <c r="AL19" s="189" t="s">
        <v>46</v>
      </c>
      <c r="AM19" s="190">
        <v>1</v>
      </c>
      <c r="AN19" s="191"/>
      <c r="AO19" s="192"/>
      <c r="AP19" s="190"/>
      <c r="AQ19" s="191"/>
      <c r="AR19" s="192">
        <v>1</v>
      </c>
      <c r="AS19" s="192" t="s">
        <v>244</v>
      </c>
      <c r="AT19" s="193" t="s">
        <v>31</v>
      </c>
      <c r="AU19" s="194" t="s">
        <v>262</v>
      </c>
      <c r="AV19" s="191" t="s">
        <v>263</v>
      </c>
      <c r="AW19" s="192" t="s">
        <v>264</v>
      </c>
      <c r="AX19" s="276"/>
      <c r="AY19" s="277"/>
      <c r="AZ19" s="278"/>
      <c r="BA19" s="279"/>
      <c r="BB19" s="277"/>
      <c r="BC19" s="278"/>
      <c r="BD19" s="279"/>
      <c r="BE19" s="279"/>
      <c r="BF19" s="280"/>
      <c r="BG19" s="281"/>
      <c r="BH19" s="278"/>
      <c r="BI19" s="279"/>
      <c r="BJ19" s="282" t="s">
        <v>265</v>
      </c>
      <c r="BK19" s="277"/>
      <c r="BL19" s="278"/>
      <c r="BM19" s="279"/>
      <c r="BN19" s="277"/>
      <c r="BO19" s="278"/>
      <c r="BP19" s="279"/>
      <c r="BQ19" s="279"/>
      <c r="BR19" s="280"/>
      <c r="BS19" s="281"/>
      <c r="BT19" s="278"/>
      <c r="BU19" s="279"/>
    </row>
    <row r="20" spans="1:73" ht="15.75" customHeight="1">
      <c r="A20" s="1239"/>
      <c r="B20" s="517"/>
      <c r="C20" s="673"/>
      <c r="D20" s="674"/>
      <c r="E20" s="513"/>
      <c r="F20" s="675"/>
      <c r="G20" s="674"/>
      <c r="H20" s="513"/>
      <c r="I20" s="785"/>
      <c r="J20" s="676"/>
      <c r="K20" s="674"/>
      <c r="L20" s="677"/>
      <c r="M20" s="678"/>
      <c r="N20" s="212"/>
      <c r="O20" s="213"/>
      <c r="P20" s="332"/>
      <c r="Q20" s="333"/>
      <c r="R20" s="213"/>
      <c r="S20" s="332"/>
      <c r="T20" s="333"/>
      <c r="U20" s="333"/>
      <c r="V20" s="331"/>
      <c r="W20" s="260"/>
      <c r="X20" s="332"/>
      <c r="Y20" s="333"/>
      <c r="Z20" s="212"/>
      <c r="AA20" s="213"/>
      <c r="AB20" s="332"/>
      <c r="AC20" s="333"/>
      <c r="AD20" s="213"/>
      <c r="AE20" s="332"/>
      <c r="AF20" s="333"/>
      <c r="AG20" s="333"/>
      <c r="AH20" s="331"/>
      <c r="AI20" s="260"/>
      <c r="AJ20" s="332"/>
      <c r="AK20" s="333"/>
      <c r="AL20" s="212"/>
      <c r="AM20" s="213"/>
      <c r="AN20" s="332"/>
      <c r="AO20" s="333"/>
      <c r="AP20" s="213"/>
      <c r="AQ20" s="332"/>
      <c r="AR20" s="333"/>
      <c r="AS20" s="333"/>
      <c r="AT20" s="331"/>
      <c r="AU20" s="260"/>
      <c r="AV20" s="332"/>
      <c r="AW20" s="333"/>
      <c r="AX20" s="283"/>
      <c r="AY20" s="196"/>
      <c r="AZ20" s="345"/>
      <c r="BA20" s="346"/>
      <c r="BB20" s="196"/>
      <c r="BC20" s="345"/>
      <c r="BD20" s="346"/>
      <c r="BE20" s="346"/>
      <c r="BF20" s="347"/>
      <c r="BG20" s="197"/>
      <c r="BH20" s="345"/>
      <c r="BI20" s="346"/>
      <c r="BJ20" s="685"/>
      <c r="BK20" s="196"/>
      <c r="BL20" s="345"/>
      <c r="BM20" s="346"/>
      <c r="BN20" s="196"/>
      <c r="BO20" s="345"/>
      <c r="BP20" s="346"/>
      <c r="BQ20" s="346"/>
      <c r="BR20" s="347"/>
      <c r="BS20" s="197"/>
      <c r="BT20" s="345"/>
      <c r="BU20" s="346"/>
    </row>
    <row r="21" spans="1:73" ht="15.75" customHeight="1">
      <c r="A21" s="1239"/>
      <c r="B21" s="517"/>
      <c r="C21" s="673"/>
      <c r="D21" s="674"/>
      <c r="E21" s="513"/>
      <c r="F21" s="675"/>
      <c r="G21" s="674"/>
      <c r="H21" s="513"/>
      <c r="I21" s="785"/>
      <c r="J21" s="676"/>
      <c r="K21" s="674"/>
      <c r="L21" s="677"/>
      <c r="M21" s="678"/>
      <c r="N21" s="212"/>
      <c r="O21" s="213"/>
      <c r="P21" s="332"/>
      <c r="Q21" s="333"/>
      <c r="R21" s="213"/>
      <c r="S21" s="332"/>
      <c r="T21" s="333"/>
      <c r="U21" s="333"/>
      <c r="V21" s="331"/>
      <c r="W21" s="260"/>
      <c r="X21" s="332"/>
      <c r="Y21" s="333"/>
      <c r="Z21" s="212"/>
      <c r="AA21" s="213"/>
      <c r="AB21" s="332"/>
      <c r="AC21" s="333"/>
      <c r="AD21" s="213"/>
      <c r="AE21" s="332"/>
      <c r="AF21" s="333"/>
      <c r="AG21" s="333"/>
      <c r="AH21" s="331"/>
      <c r="AI21" s="260"/>
      <c r="AJ21" s="332"/>
      <c r="AK21" s="333"/>
      <c r="AL21" s="212"/>
      <c r="AM21" s="213"/>
      <c r="AN21" s="332"/>
      <c r="AO21" s="333"/>
      <c r="AP21" s="213"/>
      <c r="AQ21" s="332"/>
      <c r="AR21" s="333"/>
      <c r="AS21" s="333"/>
      <c r="AT21" s="331"/>
      <c r="AU21" s="260"/>
      <c r="AV21" s="332"/>
      <c r="AW21" s="333"/>
      <c r="AX21" s="283"/>
      <c r="AY21" s="196"/>
      <c r="AZ21" s="345"/>
      <c r="BA21" s="346"/>
      <c r="BB21" s="196"/>
      <c r="BC21" s="345"/>
      <c r="BD21" s="346"/>
      <c r="BE21" s="346"/>
      <c r="BF21" s="347"/>
      <c r="BG21" s="197"/>
      <c r="BH21" s="345"/>
      <c r="BI21" s="346"/>
      <c r="BJ21" s="685"/>
      <c r="BK21" s="196"/>
      <c r="BL21" s="345"/>
      <c r="BM21" s="346"/>
      <c r="BN21" s="196"/>
      <c r="BO21" s="345"/>
      <c r="BP21" s="346"/>
      <c r="BQ21" s="346"/>
      <c r="BR21" s="347"/>
      <c r="BS21" s="197"/>
      <c r="BT21" s="345"/>
      <c r="BU21" s="346"/>
    </row>
    <row r="22" spans="1:73" ht="15.75" customHeight="1">
      <c r="A22" s="1239"/>
      <c r="B22" s="517"/>
      <c r="C22" s="673"/>
      <c r="D22" s="674"/>
      <c r="E22" s="513"/>
      <c r="F22" s="675"/>
      <c r="G22" s="674"/>
      <c r="H22" s="513"/>
      <c r="I22" s="785"/>
      <c r="J22" s="676"/>
      <c r="K22" s="674"/>
      <c r="L22" s="677"/>
      <c r="M22" s="678"/>
      <c r="N22" s="212"/>
      <c r="O22" s="213"/>
      <c r="P22" s="332"/>
      <c r="Q22" s="333"/>
      <c r="R22" s="213"/>
      <c r="S22" s="332"/>
      <c r="T22" s="333"/>
      <c r="U22" s="333"/>
      <c r="V22" s="331"/>
      <c r="W22" s="260"/>
      <c r="X22" s="332"/>
      <c r="Y22" s="333"/>
      <c r="Z22" s="212"/>
      <c r="AA22" s="213"/>
      <c r="AB22" s="332"/>
      <c r="AC22" s="333"/>
      <c r="AD22" s="213"/>
      <c r="AE22" s="332"/>
      <c r="AF22" s="333"/>
      <c r="AG22" s="333"/>
      <c r="AH22" s="331"/>
      <c r="AI22" s="260"/>
      <c r="AJ22" s="332"/>
      <c r="AK22" s="333"/>
      <c r="AL22" s="212"/>
      <c r="AM22" s="213"/>
      <c r="AN22" s="332"/>
      <c r="AO22" s="333"/>
      <c r="AP22" s="213"/>
      <c r="AQ22" s="332"/>
      <c r="AR22" s="333"/>
      <c r="AS22" s="333"/>
      <c r="AT22" s="331"/>
      <c r="AU22" s="260"/>
      <c r="AV22" s="332"/>
      <c r="AW22" s="333"/>
      <c r="AX22" s="283"/>
      <c r="AY22" s="196"/>
      <c r="AZ22" s="345"/>
      <c r="BA22" s="346"/>
      <c r="BB22" s="196"/>
      <c r="BC22" s="345"/>
      <c r="BD22" s="346"/>
      <c r="BE22" s="346"/>
      <c r="BF22" s="347"/>
      <c r="BG22" s="197"/>
      <c r="BH22" s="345"/>
      <c r="BI22" s="346"/>
      <c r="BJ22" s="685"/>
      <c r="BK22" s="196"/>
      <c r="BL22" s="345"/>
      <c r="BM22" s="346"/>
      <c r="BN22" s="196"/>
      <c r="BO22" s="345"/>
      <c r="BP22" s="346"/>
      <c r="BQ22" s="346"/>
      <c r="BR22" s="347"/>
      <c r="BS22" s="197"/>
      <c r="BT22" s="345"/>
      <c r="BU22" s="346"/>
    </row>
    <row r="23" spans="1:73" ht="15.75" customHeight="1">
      <c r="A23" s="1232"/>
      <c r="B23" s="517"/>
      <c r="C23" s="518"/>
      <c r="D23" s="519"/>
      <c r="E23" s="520"/>
      <c r="F23" s="521"/>
      <c r="G23" s="519"/>
      <c r="H23" s="520"/>
      <c r="I23" s="786"/>
      <c r="J23" s="522"/>
      <c r="K23" s="519"/>
      <c r="L23" s="523"/>
      <c r="M23" s="524"/>
      <c r="N23" s="212" t="s">
        <v>46</v>
      </c>
      <c r="O23" s="213"/>
      <c r="P23" s="214">
        <v>1</v>
      </c>
      <c r="Q23" s="215"/>
      <c r="R23" s="216"/>
      <c r="S23" s="214"/>
      <c r="T23" s="215">
        <v>1</v>
      </c>
      <c r="U23" s="217" t="s">
        <v>251</v>
      </c>
      <c r="V23" s="218" t="s">
        <v>89</v>
      </c>
      <c r="W23" s="219" t="s">
        <v>266</v>
      </c>
      <c r="X23" s="220" t="s">
        <v>267</v>
      </c>
      <c r="Y23" s="217" t="s">
        <v>268</v>
      </c>
      <c r="Z23" s="212"/>
      <c r="AA23" s="213"/>
      <c r="AB23" s="214"/>
      <c r="AC23" s="215"/>
      <c r="AD23" s="216"/>
      <c r="AE23" s="214"/>
      <c r="AF23" s="215"/>
      <c r="AG23" s="217"/>
      <c r="AH23" s="218"/>
      <c r="AI23" s="219"/>
      <c r="AJ23" s="220"/>
      <c r="AK23" s="217"/>
      <c r="AL23" s="212" t="s">
        <v>46</v>
      </c>
      <c r="AM23" s="213">
        <v>1</v>
      </c>
      <c r="AN23" s="214"/>
      <c r="AO23" s="215"/>
      <c r="AP23" s="216"/>
      <c r="AQ23" s="214"/>
      <c r="AR23" s="215">
        <v>1</v>
      </c>
      <c r="AS23" s="217" t="s">
        <v>269</v>
      </c>
      <c r="AT23" s="218" t="s">
        <v>101</v>
      </c>
      <c r="AU23" s="219" t="s">
        <v>270</v>
      </c>
      <c r="AV23" s="220" t="s">
        <v>271</v>
      </c>
      <c r="AW23" s="217" t="s">
        <v>272</v>
      </c>
      <c r="AX23" s="283"/>
      <c r="AY23" s="196"/>
      <c r="AZ23" s="284"/>
      <c r="BA23" s="285"/>
      <c r="BB23" s="286"/>
      <c r="BC23" s="284"/>
      <c r="BD23" s="285"/>
      <c r="BE23" s="287"/>
      <c r="BF23" s="288"/>
      <c r="BG23" s="289"/>
      <c r="BH23" s="290"/>
      <c r="BI23" s="287"/>
      <c r="BJ23" s="283"/>
      <c r="BK23" s="196"/>
      <c r="BL23" s="284"/>
      <c r="BM23" s="285"/>
      <c r="BN23" s="286"/>
      <c r="BO23" s="284"/>
      <c r="BP23" s="285"/>
      <c r="BQ23" s="287"/>
      <c r="BR23" s="288"/>
      <c r="BS23" s="289"/>
      <c r="BT23" s="290"/>
      <c r="BU23" s="287"/>
    </row>
    <row r="24" spans="1:73" ht="15.75" customHeight="1">
      <c r="A24" s="1232"/>
      <c r="B24" s="517"/>
      <c r="C24" s="518"/>
      <c r="D24" s="519"/>
      <c r="E24" s="520"/>
      <c r="F24" s="521"/>
      <c r="G24" s="519"/>
      <c r="H24" s="520"/>
      <c r="I24" s="786"/>
      <c r="J24" s="522"/>
      <c r="K24" s="519"/>
      <c r="L24" s="523"/>
      <c r="M24" s="524"/>
      <c r="N24" s="212" t="s">
        <v>46</v>
      </c>
      <c r="O24" s="221"/>
      <c r="P24" s="214">
        <v>1</v>
      </c>
      <c r="Q24" s="215"/>
      <c r="R24" s="222"/>
      <c r="S24" s="214"/>
      <c r="T24" s="215">
        <v>1</v>
      </c>
      <c r="U24" s="217" t="s">
        <v>251</v>
      </c>
      <c r="V24" s="218" t="s">
        <v>31</v>
      </c>
      <c r="W24" s="219" t="s">
        <v>273</v>
      </c>
      <c r="X24" s="220" t="s">
        <v>274</v>
      </c>
      <c r="Y24" s="217" t="s">
        <v>275</v>
      </c>
      <c r="Z24" s="212"/>
      <c r="AA24" s="221"/>
      <c r="AB24" s="214"/>
      <c r="AC24" s="215"/>
      <c r="AD24" s="222"/>
      <c r="AE24" s="214"/>
      <c r="AF24" s="215"/>
      <c r="AG24" s="217"/>
      <c r="AH24" s="218"/>
      <c r="AI24" s="219"/>
      <c r="AJ24" s="220"/>
      <c r="AK24" s="217"/>
      <c r="AL24" s="212"/>
      <c r="AM24" s="221"/>
      <c r="AN24" s="214"/>
      <c r="AO24" s="215"/>
      <c r="AP24" s="222"/>
      <c r="AQ24" s="214"/>
      <c r="AR24" s="215"/>
      <c r="AS24" s="217"/>
      <c r="AT24" s="218"/>
      <c r="AU24" s="219"/>
      <c r="AV24" s="220"/>
      <c r="AW24" s="217"/>
      <c r="AX24" s="283"/>
      <c r="AY24" s="291"/>
      <c r="AZ24" s="284"/>
      <c r="BA24" s="285"/>
      <c r="BB24" s="292"/>
      <c r="BC24" s="284"/>
      <c r="BD24" s="285"/>
      <c r="BE24" s="287"/>
      <c r="BF24" s="288"/>
      <c r="BG24" s="289"/>
      <c r="BH24" s="290"/>
      <c r="BI24" s="287"/>
      <c r="BJ24" s="283"/>
      <c r="BK24" s="291"/>
      <c r="BL24" s="284"/>
      <c r="BM24" s="285"/>
      <c r="BN24" s="292"/>
      <c r="BO24" s="284"/>
      <c r="BP24" s="285"/>
      <c r="BQ24" s="287"/>
      <c r="BR24" s="288"/>
      <c r="BS24" s="289"/>
      <c r="BT24" s="290"/>
      <c r="BU24" s="287"/>
    </row>
    <row r="25" spans="1:73" ht="15.75" customHeight="1">
      <c r="A25" s="1233"/>
      <c r="B25" s="525"/>
      <c r="C25" s="526"/>
      <c r="D25" s="527"/>
      <c r="E25" s="528"/>
      <c r="F25" s="529"/>
      <c r="G25" s="527"/>
      <c r="H25" s="528"/>
      <c r="I25" s="787"/>
      <c r="J25" s="530"/>
      <c r="K25" s="527"/>
      <c r="L25" s="531"/>
      <c r="M25" s="532"/>
      <c r="N25" s="241"/>
      <c r="O25" s="242"/>
      <c r="P25" s="243"/>
      <c r="Q25" s="244"/>
      <c r="R25" s="245"/>
      <c r="S25" s="243"/>
      <c r="T25" s="246"/>
      <c r="U25" s="246"/>
      <c r="V25" s="247"/>
      <c r="W25" s="248"/>
      <c r="X25" s="243"/>
      <c r="Y25" s="246"/>
      <c r="Z25" s="241"/>
      <c r="AA25" s="242"/>
      <c r="AB25" s="243"/>
      <c r="AC25" s="244"/>
      <c r="AD25" s="245"/>
      <c r="AE25" s="243"/>
      <c r="AF25" s="246"/>
      <c r="AG25" s="246"/>
      <c r="AH25" s="247"/>
      <c r="AI25" s="248"/>
      <c r="AJ25" s="243"/>
      <c r="AK25" s="246"/>
      <c r="AL25" s="241"/>
      <c r="AM25" s="242"/>
      <c r="AN25" s="243"/>
      <c r="AO25" s="244"/>
      <c r="AP25" s="245"/>
      <c r="AQ25" s="243"/>
      <c r="AR25" s="246"/>
      <c r="AS25" s="246"/>
      <c r="AT25" s="247"/>
      <c r="AU25" s="248"/>
      <c r="AV25" s="243"/>
      <c r="AW25" s="246"/>
      <c r="AX25" s="293"/>
      <c r="AY25" s="294"/>
      <c r="AZ25" s="295"/>
      <c r="BA25" s="296"/>
      <c r="BB25" s="297"/>
      <c r="BC25" s="295"/>
      <c r="BD25" s="298"/>
      <c r="BE25" s="298"/>
      <c r="BF25" s="299"/>
      <c r="BG25" s="300"/>
      <c r="BH25" s="295"/>
      <c r="BI25" s="298"/>
      <c r="BJ25" s="293"/>
      <c r="BK25" s="294"/>
      <c r="BL25" s="295"/>
      <c r="BM25" s="296"/>
      <c r="BN25" s="297"/>
      <c r="BO25" s="295"/>
      <c r="BP25" s="298"/>
      <c r="BQ25" s="298"/>
      <c r="BR25" s="299"/>
      <c r="BS25" s="300"/>
      <c r="BT25" s="295"/>
      <c r="BU25" s="298"/>
    </row>
    <row r="26" spans="1:73" ht="15.75" customHeight="1">
      <c r="A26" s="1231">
        <v>4</v>
      </c>
      <c r="B26" s="482"/>
      <c r="C26" s="483"/>
      <c r="D26" s="484"/>
      <c r="E26" s="485"/>
      <c r="F26" s="486"/>
      <c r="G26" s="484"/>
      <c r="H26" s="485"/>
      <c r="I26" s="789"/>
      <c r="J26" s="487"/>
      <c r="K26" s="484"/>
      <c r="L26" s="488"/>
      <c r="M26" s="489"/>
      <c r="N26" s="189" t="s">
        <v>86</v>
      </c>
      <c r="O26" s="190"/>
      <c r="P26" s="191"/>
      <c r="Q26" s="192">
        <v>1</v>
      </c>
      <c r="R26" s="190">
        <v>1</v>
      </c>
      <c r="S26" s="191"/>
      <c r="T26" s="192"/>
      <c r="U26" s="192" t="s">
        <v>244</v>
      </c>
      <c r="V26" s="193" t="s">
        <v>31</v>
      </c>
      <c r="W26" s="194" t="s">
        <v>276</v>
      </c>
      <c r="X26" s="191" t="s">
        <v>277</v>
      </c>
      <c r="Y26" s="192" t="s">
        <v>278</v>
      </c>
      <c r="Z26" s="189" t="s">
        <v>46</v>
      </c>
      <c r="AA26" s="190">
        <v>1</v>
      </c>
      <c r="AB26" s="191"/>
      <c r="AC26" s="192"/>
      <c r="AD26" s="190"/>
      <c r="AE26" s="191"/>
      <c r="AF26" s="192">
        <v>1</v>
      </c>
      <c r="AG26" s="192" t="s">
        <v>244</v>
      </c>
      <c r="AH26" s="193" t="s">
        <v>31</v>
      </c>
      <c r="AI26" s="194" t="s">
        <v>279</v>
      </c>
      <c r="AJ26" s="191" t="s">
        <v>274</v>
      </c>
      <c r="AK26" s="192" t="s">
        <v>275</v>
      </c>
      <c r="AL26" s="189" t="s">
        <v>46</v>
      </c>
      <c r="AM26" s="190">
        <v>1</v>
      </c>
      <c r="AN26" s="191"/>
      <c r="AO26" s="192"/>
      <c r="AP26" s="190">
        <v>1</v>
      </c>
      <c r="AQ26" s="191"/>
      <c r="AR26" s="192"/>
      <c r="AS26" s="192" t="s">
        <v>244</v>
      </c>
      <c r="AT26" s="193" t="s">
        <v>45</v>
      </c>
      <c r="AU26" s="194" t="s">
        <v>280</v>
      </c>
      <c r="AV26" s="191" t="s">
        <v>274</v>
      </c>
      <c r="AW26" s="192" t="s">
        <v>275</v>
      </c>
      <c r="AX26" s="276"/>
      <c r="AY26" s="277"/>
      <c r="AZ26" s="278"/>
      <c r="BA26" s="279"/>
      <c r="BB26" s="277"/>
      <c r="BC26" s="278"/>
      <c r="BD26" s="279"/>
      <c r="BE26" s="279"/>
      <c r="BF26" s="280"/>
      <c r="BG26" s="281"/>
      <c r="BH26" s="278"/>
      <c r="BI26" s="279"/>
      <c r="BJ26" s="189" t="s">
        <v>46</v>
      </c>
      <c r="BK26" s="190">
        <v>1</v>
      </c>
      <c r="BL26" s="191"/>
      <c r="BM26" s="192"/>
      <c r="BN26" s="190">
        <v>1</v>
      </c>
      <c r="BO26" s="191"/>
      <c r="BP26" s="192"/>
      <c r="BQ26" s="192" t="s">
        <v>244</v>
      </c>
      <c r="BR26" s="193" t="s">
        <v>31</v>
      </c>
      <c r="BS26" s="194" t="s">
        <v>281</v>
      </c>
      <c r="BT26" s="191" t="s">
        <v>282</v>
      </c>
      <c r="BU26" s="192" t="s">
        <v>283</v>
      </c>
    </row>
    <row r="27" spans="1:73" ht="15.75" customHeight="1">
      <c r="A27" s="1239"/>
      <c r="B27" s="565"/>
      <c r="C27" s="649"/>
      <c r="D27" s="650"/>
      <c r="E27" s="651"/>
      <c r="F27" s="652"/>
      <c r="G27" s="650"/>
      <c r="H27" s="651"/>
      <c r="I27" s="790"/>
      <c r="J27" s="654"/>
      <c r="K27" s="650"/>
      <c r="L27" s="655"/>
      <c r="M27" s="656"/>
      <c r="N27" s="212"/>
      <c r="O27" s="213"/>
      <c r="P27" s="332"/>
      <c r="Q27" s="333"/>
      <c r="R27" s="213"/>
      <c r="S27" s="332"/>
      <c r="T27" s="333"/>
      <c r="U27" s="333"/>
      <c r="V27" s="331"/>
      <c r="W27" s="260"/>
      <c r="X27" s="332"/>
      <c r="Y27" s="333"/>
      <c r="Z27" s="212"/>
      <c r="AA27" s="213"/>
      <c r="AB27" s="332"/>
      <c r="AC27" s="333"/>
      <c r="AD27" s="213"/>
      <c r="AE27" s="332"/>
      <c r="AF27" s="333"/>
      <c r="AG27" s="333"/>
      <c r="AH27" s="331"/>
      <c r="AI27" s="260"/>
      <c r="AJ27" s="332"/>
      <c r="AK27" s="333"/>
      <c r="AL27" s="212"/>
      <c r="AM27" s="213"/>
      <c r="AN27" s="332"/>
      <c r="AO27" s="333"/>
      <c r="AP27" s="213"/>
      <c r="AQ27" s="332"/>
      <c r="AR27" s="333"/>
      <c r="AS27" s="333"/>
      <c r="AT27" s="331"/>
      <c r="AU27" s="260"/>
      <c r="AV27" s="332"/>
      <c r="AW27" s="333"/>
      <c r="AX27" s="283"/>
      <c r="AY27" s="196"/>
      <c r="AZ27" s="345"/>
      <c r="BA27" s="346"/>
      <c r="BB27" s="196"/>
      <c r="BC27" s="345"/>
      <c r="BD27" s="346"/>
      <c r="BE27" s="346"/>
      <c r="BF27" s="347"/>
      <c r="BG27" s="197"/>
      <c r="BH27" s="345"/>
      <c r="BI27" s="346"/>
      <c r="BJ27" s="212"/>
      <c r="BK27" s="213"/>
      <c r="BL27" s="332"/>
      <c r="BM27" s="333"/>
      <c r="BN27" s="213"/>
      <c r="BO27" s="332"/>
      <c r="BP27" s="333"/>
      <c r="BQ27" s="333"/>
      <c r="BR27" s="331"/>
      <c r="BS27" s="260"/>
      <c r="BT27" s="332"/>
      <c r="BU27" s="333"/>
    </row>
    <row r="28" spans="1:73" ht="15.75" customHeight="1">
      <c r="A28" s="1239"/>
      <c r="B28" s="565"/>
      <c r="C28" s="649"/>
      <c r="D28" s="650"/>
      <c r="E28" s="651"/>
      <c r="F28" s="652"/>
      <c r="G28" s="650"/>
      <c r="H28" s="651"/>
      <c r="I28" s="790"/>
      <c r="J28" s="654"/>
      <c r="K28" s="650"/>
      <c r="L28" s="655"/>
      <c r="M28" s="656"/>
      <c r="N28" s="212"/>
      <c r="O28" s="213"/>
      <c r="P28" s="332"/>
      <c r="Q28" s="333"/>
      <c r="R28" s="213"/>
      <c r="S28" s="332"/>
      <c r="T28" s="333"/>
      <c r="U28" s="333"/>
      <c r="V28" s="331"/>
      <c r="W28" s="260"/>
      <c r="X28" s="332"/>
      <c r="Y28" s="333"/>
      <c r="Z28" s="212"/>
      <c r="AA28" s="213"/>
      <c r="AB28" s="332"/>
      <c r="AC28" s="333"/>
      <c r="AD28" s="213"/>
      <c r="AE28" s="332"/>
      <c r="AF28" s="333"/>
      <c r="AG28" s="333"/>
      <c r="AH28" s="331"/>
      <c r="AI28" s="260"/>
      <c r="AJ28" s="332"/>
      <c r="AK28" s="333"/>
      <c r="AL28" s="212"/>
      <c r="AM28" s="213"/>
      <c r="AN28" s="332"/>
      <c r="AO28" s="333"/>
      <c r="AP28" s="213"/>
      <c r="AQ28" s="332"/>
      <c r="AR28" s="333"/>
      <c r="AS28" s="333"/>
      <c r="AT28" s="331"/>
      <c r="AU28" s="260"/>
      <c r="AV28" s="332"/>
      <c r="AW28" s="333"/>
      <c r="AX28" s="283"/>
      <c r="AY28" s="196"/>
      <c r="AZ28" s="345"/>
      <c r="BA28" s="346"/>
      <c r="BB28" s="196"/>
      <c r="BC28" s="345"/>
      <c r="BD28" s="346"/>
      <c r="BE28" s="346"/>
      <c r="BF28" s="347"/>
      <c r="BG28" s="197"/>
      <c r="BH28" s="345"/>
      <c r="BI28" s="346"/>
      <c r="BJ28" s="212"/>
      <c r="BK28" s="213"/>
      <c r="BL28" s="332"/>
      <c r="BM28" s="333"/>
      <c r="BN28" s="213"/>
      <c r="BO28" s="332"/>
      <c r="BP28" s="333"/>
      <c r="BQ28" s="333"/>
      <c r="BR28" s="331"/>
      <c r="BS28" s="260"/>
      <c r="BT28" s="332"/>
      <c r="BU28" s="333"/>
    </row>
    <row r="29" spans="1:73" ht="15.75" customHeight="1">
      <c r="A29" s="1239"/>
      <c r="B29" s="565"/>
      <c r="C29" s="649"/>
      <c r="D29" s="650"/>
      <c r="E29" s="651"/>
      <c r="F29" s="652"/>
      <c r="G29" s="650"/>
      <c r="H29" s="651"/>
      <c r="I29" s="790"/>
      <c r="J29" s="654"/>
      <c r="K29" s="650"/>
      <c r="L29" s="655"/>
      <c r="M29" s="656"/>
      <c r="N29" s="212"/>
      <c r="O29" s="213"/>
      <c r="P29" s="332"/>
      <c r="Q29" s="333"/>
      <c r="R29" s="213"/>
      <c r="S29" s="332"/>
      <c r="T29" s="333"/>
      <c r="U29" s="333"/>
      <c r="V29" s="331"/>
      <c r="W29" s="260"/>
      <c r="X29" s="332"/>
      <c r="Y29" s="333"/>
      <c r="Z29" s="212"/>
      <c r="AA29" s="213"/>
      <c r="AB29" s="332"/>
      <c r="AC29" s="333"/>
      <c r="AD29" s="213"/>
      <c r="AE29" s="332"/>
      <c r="AF29" s="333"/>
      <c r="AG29" s="333"/>
      <c r="AH29" s="331"/>
      <c r="AI29" s="260"/>
      <c r="AJ29" s="332"/>
      <c r="AK29" s="333"/>
      <c r="AL29" s="212"/>
      <c r="AM29" s="213"/>
      <c r="AN29" s="332"/>
      <c r="AO29" s="333"/>
      <c r="AP29" s="213"/>
      <c r="AQ29" s="332"/>
      <c r="AR29" s="333"/>
      <c r="AS29" s="333"/>
      <c r="AT29" s="331"/>
      <c r="AU29" s="260"/>
      <c r="AV29" s="332"/>
      <c r="AW29" s="333"/>
      <c r="AX29" s="283"/>
      <c r="AY29" s="196"/>
      <c r="AZ29" s="345"/>
      <c r="BA29" s="346"/>
      <c r="BB29" s="196"/>
      <c r="BC29" s="345"/>
      <c r="BD29" s="346"/>
      <c r="BE29" s="346"/>
      <c r="BF29" s="347"/>
      <c r="BG29" s="197"/>
      <c r="BH29" s="345"/>
      <c r="BI29" s="346"/>
      <c r="BJ29" s="212"/>
      <c r="BK29" s="213"/>
      <c r="BL29" s="332"/>
      <c r="BM29" s="333"/>
      <c r="BN29" s="213"/>
      <c r="BO29" s="332"/>
      <c r="BP29" s="333"/>
      <c r="BQ29" s="333"/>
      <c r="BR29" s="331"/>
      <c r="BS29" s="260"/>
      <c r="BT29" s="332"/>
      <c r="BU29" s="333"/>
    </row>
    <row r="30" spans="1:73" ht="15.75" customHeight="1">
      <c r="A30" s="1232"/>
      <c r="B30" s="490"/>
      <c r="C30" s="491"/>
      <c r="D30" s="492"/>
      <c r="E30" s="493"/>
      <c r="F30" s="494"/>
      <c r="G30" s="492"/>
      <c r="H30" s="493"/>
      <c r="I30" s="731"/>
      <c r="J30" s="496"/>
      <c r="K30" s="492"/>
      <c r="L30" s="497"/>
      <c r="M30" s="498"/>
      <c r="N30" s="212"/>
      <c r="O30" s="213"/>
      <c r="P30" s="214"/>
      <c r="Q30" s="215"/>
      <c r="R30" s="216"/>
      <c r="S30" s="214"/>
      <c r="T30" s="215"/>
      <c r="U30" s="217"/>
      <c r="V30" s="218"/>
      <c r="W30" s="219"/>
      <c r="X30" s="220"/>
      <c r="Y30" s="217"/>
      <c r="Z30" s="212"/>
      <c r="AA30" s="213"/>
      <c r="AB30" s="214"/>
      <c r="AC30" s="215"/>
      <c r="AD30" s="216"/>
      <c r="AE30" s="214"/>
      <c r="AF30" s="215"/>
      <c r="AG30" s="217"/>
      <c r="AH30" s="218"/>
      <c r="AI30" s="219"/>
      <c r="AJ30" s="220"/>
      <c r="AK30" s="217"/>
      <c r="AL30" s="212" t="s">
        <v>86</v>
      </c>
      <c r="AM30" s="213">
        <v>1</v>
      </c>
      <c r="AN30" s="214"/>
      <c r="AO30" s="215"/>
      <c r="AP30" s="222">
        <v>1</v>
      </c>
      <c r="AQ30" s="214"/>
      <c r="AR30" s="215"/>
      <c r="AS30" s="217" t="s">
        <v>238</v>
      </c>
      <c r="AT30" s="218" t="s">
        <v>97</v>
      </c>
      <c r="AU30" s="219" t="s">
        <v>284</v>
      </c>
      <c r="AV30" s="220" t="s">
        <v>285</v>
      </c>
      <c r="AW30" s="217" t="s">
        <v>286</v>
      </c>
      <c r="AX30" s="283"/>
      <c r="AY30" s="196"/>
      <c r="AZ30" s="284"/>
      <c r="BA30" s="285"/>
      <c r="BB30" s="286"/>
      <c r="BC30" s="284"/>
      <c r="BD30" s="285"/>
      <c r="BE30" s="287"/>
      <c r="BF30" s="288"/>
      <c r="BG30" s="289"/>
      <c r="BH30" s="290"/>
      <c r="BI30" s="287"/>
      <c r="BJ30" s="212" t="s">
        <v>113</v>
      </c>
      <c r="BK30" s="213"/>
      <c r="BL30" s="214">
        <v>1</v>
      </c>
      <c r="BM30" s="215"/>
      <c r="BN30" s="216"/>
      <c r="BO30" s="214">
        <v>1</v>
      </c>
      <c r="BP30" s="215"/>
      <c r="BQ30" s="217" t="s">
        <v>251</v>
      </c>
      <c r="BR30" s="218" t="s">
        <v>112</v>
      </c>
      <c r="BS30" s="219" t="s">
        <v>287</v>
      </c>
      <c r="BT30" s="220" t="s">
        <v>288</v>
      </c>
      <c r="BU30" s="217" t="s">
        <v>289</v>
      </c>
    </row>
    <row r="31" spans="1:73" ht="15.75" customHeight="1">
      <c r="A31" s="1232"/>
      <c r="B31" s="490"/>
      <c r="C31" s="491"/>
      <c r="D31" s="492"/>
      <c r="E31" s="493"/>
      <c r="F31" s="494"/>
      <c r="G31" s="492"/>
      <c r="H31" s="493"/>
      <c r="I31" s="731"/>
      <c r="J31" s="496"/>
      <c r="K31" s="492"/>
      <c r="L31" s="497"/>
      <c r="M31" s="498"/>
      <c r="N31" s="212"/>
      <c r="O31" s="221"/>
      <c r="P31" s="214"/>
      <c r="Q31" s="215"/>
      <c r="R31" s="222"/>
      <c r="S31" s="214"/>
      <c r="T31" s="215"/>
      <c r="U31" s="217"/>
      <c r="V31" s="218"/>
      <c r="W31" s="219"/>
      <c r="X31" s="220"/>
      <c r="Y31" s="217"/>
      <c r="Z31" s="212"/>
      <c r="AA31" s="221"/>
      <c r="AB31" s="214"/>
      <c r="AC31" s="215"/>
      <c r="AD31" s="222"/>
      <c r="AE31" s="214"/>
      <c r="AF31" s="215"/>
      <c r="AG31" s="217"/>
      <c r="AH31" s="218"/>
      <c r="AI31" s="219"/>
      <c r="AJ31" s="220"/>
      <c r="AK31" s="217"/>
      <c r="AL31" s="212"/>
      <c r="AM31" s="221"/>
      <c r="AN31" s="214"/>
      <c r="AO31" s="215"/>
      <c r="AP31" s="222"/>
      <c r="AQ31" s="214"/>
      <c r="AR31" s="215"/>
      <c r="AS31" s="217"/>
      <c r="AT31" s="218"/>
      <c r="AU31" s="219"/>
      <c r="AV31" s="220"/>
      <c r="AW31" s="217"/>
      <c r="AX31" s="283"/>
      <c r="AY31" s="291"/>
      <c r="AZ31" s="284"/>
      <c r="BA31" s="285"/>
      <c r="BB31" s="292"/>
      <c r="BC31" s="284"/>
      <c r="BD31" s="285"/>
      <c r="BE31" s="287"/>
      <c r="BF31" s="288"/>
      <c r="BG31" s="289"/>
      <c r="BH31" s="290"/>
      <c r="BI31" s="287"/>
      <c r="BJ31" s="212"/>
      <c r="BK31" s="221"/>
      <c r="BL31" s="214"/>
      <c r="BM31" s="215"/>
      <c r="BN31" s="222"/>
      <c r="BO31" s="214"/>
      <c r="BP31" s="215"/>
      <c r="BQ31" s="217"/>
      <c r="BR31" s="218"/>
      <c r="BS31" s="219"/>
      <c r="BT31" s="220"/>
      <c r="BU31" s="217"/>
    </row>
    <row r="32" spans="1:73" ht="15.75" customHeight="1">
      <c r="A32" s="1233"/>
      <c r="B32" s="499"/>
      <c r="C32" s="500"/>
      <c r="D32" s="501"/>
      <c r="E32" s="502"/>
      <c r="F32" s="503"/>
      <c r="G32" s="501"/>
      <c r="H32" s="502"/>
      <c r="I32" s="791"/>
      <c r="J32" s="505"/>
      <c r="K32" s="501"/>
      <c r="L32" s="506"/>
      <c r="M32" s="507"/>
      <c r="N32" s="241"/>
      <c r="O32" s="242"/>
      <c r="P32" s="243"/>
      <c r="Q32" s="244"/>
      <c r="R32" s="245"/>
      <c r="S32" s="243"/>
      <c r="T32" s="246"/>
      <c r="U32" s="246"/>
      <c r="V32" s="247"/>
      <c r="W32" s="248"/>
      <c r="X32" s="243"/>
      <c r="Y32" s="246"/>
      <c r="Z32" s="241"/>
      <c r="AA32" s="242"/>
      <c r="AB32" s="243"/>
      <c r="AC32" s="244"/>
      <c r="AD32" s="245"/>
      <c r="AE32" s="243"/>
      <c r="AF32" s="246"/>
      <c r="AG32" s="246"/>
      <c r="AH32" s="247"/>
      <c r="AI32" s="248"/>
      <c r="AJ32" s="243"/>
      <c r="AK32" s="246"/>
      <c r="AL32" s="241"/>
      <c r="AM32" s="242"/>
      <c r="AN32" s="243"/>
      <c r="AO32" s="244"/>
      <c r="AP32" s="245"/>
      <c r="AQ32" s="243"/>
      <c r="AR32" s="246"/>
      <c r="AS32" s="246"/>
      <c r="AT32" s="247"/>
      <c r="AU32" s="248"/>
      <c r="AV32" s="243"/>
      <c r="AW32" s="246"/>
      <c r="AX32" s="293"/>
      <c r="AY32" s="294"/>
      <c r="AZ32" s="295"/>
      <c r="BA32" s="296"/>
      <c r="BB32" s="297"/>
      <c r="BC32" s="295"/>
      <c r="BD32" s="298"/>
      <c r="BE32" s="298"/>
      <c r="BF32" s="299"/>
      <c r="BG32" s="300"/>
      <c r="BH32" s="295"/>
      <c r="BI32" s="298"/>
      <c r="BJ32" s="241"/>
      <c r="BK32" s="242"/>
      <c r="BL32" s="243"/>
      <c r="BM32" s="244"/>
      <c r="BN32" s="245"/>
      <c r="BO32" s="243"/>
      <c r="BP32" s="246"/>
      <c r="BQ32" s="246"/>
      <c r="BR32" s="247"/>
      <c r="BS32" s="248"/>
      <c r="BT32" s="243"/>
      <c r="BU32" s="246"/>
    </row>
    <row r="33" spans="1:73" ht="15.75" customHeight="1">
      <c r="A33" s="1231">
        <v>5</v>
      </c>
      <c r="B33" s="573"/>
      <c r="C33" s="574"/>
      <c r="D33" s="575"/>
      <c r="E33" s="576"/>
      <c r="F33" s="577"/>
      <c r="G33" s="575"/>
      <c r="H33" s="576"/>
      <c r="I33" s="792"/>
      <c r="J33" s="578"/>
      <c r="K33" s="575"/>
      <c r="L33" s="579"/>
      <c r="M33" s="580"/>
      <c r="N33" s="189" t="s">
        <v>47</v>
      </c>
      <c r="O33" s="190">
        <v>1</v>
      </c>
      <c r="P33" s="191"/>
      <c r="Q33" s="192"/>
      <c r="R33" s="190">
        <v>1</v>
      </c>
      <c r="S33" s="191"/>
      <c r="T33" s="192"/>
      <c r="U33" s="192" t="s">
        <v>238</v>
      </c>
      <c r="V33" s="193" t="s">
        <v>71</v>
      </c>
      <c r="W33" s="194" t="s">
        <v>290</v>
      </c>
      <c r="X33" s="191" t="s">
        <v>291</v>
      </c>
      <c r="Y33" s="192" t="s">
        <v>292</v>
      </c>
      <c r="Z33" s="189" t="s">
        <v>46</v>
      </c>
      <c r="AA33" s="190">
        <v>1</v>
      </c>
      <c r="AB33" s="191"/>
      <c r="AC33" s="192"/>
      <c r="AD33" s="190"/>
      <c r="AE33" s="191"/>
      <c r="AF33" s="192">
        <v>1</v>
      </c>
      <c r="AG33" s="192" t="s">
        <v>238</v>
      </c>
      <c r="AH33" s="193" t="s">
        <v>31</v>
      </c>
      <c r="AI33" s="194" t="s">
        <v>293</v>
      </c>
      <c r="AJ33" s="191" t="s">
        <v>294</v>
      </c>
      <c r="AK33" s="192" t="s">
        <v>241</v>
      </c>
      <c r="AL33" s="301"/>
      <c r="AM33" s="302"/>
      <c r="AN33" s="303"/>
      <c r="AO33" s="304"/>
      <c r="AP33" s="302"/>
      <c r="AQ33" s="303"/>
      <c r="AR33" s="304"/>
      <c r="AS33" s="304"/>
      <c r="AT33" s="305"/>
      <c r="AU33" s="306"/>
      <c r="AV33" s="303"/>
      <c r="AW33" s="304"/>
      <c r="AX33" s="189" t="s">
        <v>106</v>
      </c>
      <c r="AY33" s="190">
        <v>1</v>
      </c>
      <c r="AZ33" s="191"/>
      <c r="BA33" s="192"/>
      <c r="BB33" s="190"/>
      <c r="BC33" s="191">
        <v>1</v>
      </c>
      <c r="BD33" s="192"/>
      <c r="BE33" s="192" t="s">
        <v>244</v>
      </c>
      <c r="BF33" s="193" t="s">
        <v>105</v>
      </c>
      <c r="BG33" s="194" t="s">
        <v>295</v>
      </c>
      <c r="BH33" s="191" t="s">
        <v>296</v>
      </c>
      <c r="BI33" s="192" t="s">
        <v>297</v>
      </c>
      <c r="BJ33" s="189" t="s">
        <v>46</v>
      </c>
      <c r="BK33" s="190">
        <v>1</v>
      </c>
      <c r="BL33" s="191"/>
      <c r="BM33" s="192"/>
      <c r="BN33" s="190"/>
      <c r="BO33" s="191">
        <v>1</v>
      </c>
      <c r="BP33" s="192"/>
      <c r="BQ33" s="192" t="s">
        <v>269</v>
      </c>
      <c r="BR33" s="193" t="s">
        <v>114</v>
      </c>
      <c r="BS33" s="194" t="s">
        <v>298</v>
      </c>
      <c r="BT33" s="191" t="s">
        <v>299</v>
      </c>
      <c r="BU33" s="192" t="s">
        <v>300</v>
      </c>
    </row>
    <row r="34" spans="1:73" ht="15.75" customHeight="1">
      <c r="A34" s="1232"/>
      <c r="B34" s="581"/>
      <c r="C34" s="582"/>
      <c r="D34" s="583"/>
      <c r="E34" s="584"/>
      <c r="F34" s="585"/>
      <c r="G34" s="583"/>
      <c r="H34" s="584"/>
      <c r="I34" s="793"/>
      <c r="J34" s="586"/>
      <c r="K34" s="583"/>
      <c r="L34" s="587"/>
      <c r="M34" s="588"/>
      <c r="N34" s="212" t="s">
        <v>86</v>
      </c>
      <c r="O34" s="213">
        <v>1</v>
      </c>
      <c r="P34" s="214"/>
      <c r="Q34" s="215"/>
      <c r="R34" s="216"/>
      <c r="S34" s="214"/>
      <c r="T34" s="215">
        <v>1</v>
      </c>
      <c r="U34" s="217" t="s">
        <v>238</v>
      </c>
      <c r="V34" s="218" t="s">
        <v>31</v>
      </c>
      <c r="W34" s="219" t="s">
        <v>301</v>
      </c>
      <c r="X34" s="220" t="s">
        <v>302</v>
      </c>
      <c r="Y34" s="217" t="s">
        <v>303</v>
      </c>
      <c r="Z34" s="212" t="s">
        <v>46</v>
      </c>
      <c r="AA34" s="213"/>
      <c r="AB34" s="214">
        <v>1</v>
      </c>
      <c r="AC34" s="215"/>
      <c r="AD34" s="222">
        <v>1</v>
      </c>
      <c r="AE34" s="214"/>
      <c r="AF34" s="215"/>
      <c r="AG34" s="217" t="s">
        <v>244</v>
      </c>
      <c r="AH34" s="218" t="s">
        <v>50</v>
      </c>
      <c r="AI34" s="219" t="s">
        <v>304</v>
      </c>
      <c r="AJ34" s="220" t="s">
        <v>305</v>
      </c>
      <c r="AK34" s="217" t="s">
        <v>306</v>
      </c>
      <c r="AL34" s="307"/>
      <c r="AM34" s="204"/>
      <c r="AN34" s="308"/>
      <c r="AO34" s="309"/>
      <c r="AP34" s="310"/>
      <c r="AQ34" s="308"/>
      <c r="AR34" s="309"/>
      <c r="AS34" s="311"/>
      <c r="AT34" s="312"/>
      <c r="AU34" s="313"/>
      <c r="AV34" s="314"/>
      <c r="AW34" s="311"/>
      <c r="AX34" s="212"/>
      <c r="AY34" s="213"/>
      <c r="AZ34" s="214"/>
      <c r="BA34" s="215"/>
      <c r="BB34" s="222"/>
      <c r="BC34" s="214"/>
      <c r="BD34" s="215"/>
      <c r="BE34" s="217"/>
      <c r="BF34" s="218"/>
      <c r="BG34" s="219"/>
      <c r="BH34" s="220"/>
      <c r="BI34" s="217"/>
      <c r="BJ34" s="212"/>
      <c r="BK34" s="213"/>
      <c r="BL34" s="214"/>
      <c r="BM34" s="215"/>
      <c r="BN34" s="222"/>
      <c r="BO34" s="214"/>
      <c r="BP34" s="215"/>
      <c r="BQ34" s="217"/>
      <c r="BR34" s="218"/>
      <c r="BS34" s="219"/>
      <c r="BT34" s="220"/>
      <c r="BU34" s="217"/>
    </row>
    <row r="35" spans="1:73" ht="15.75" customHeight="1">
      <c r="A35" s="1232"/>
      <c r="B35" s="581"/>
      <c r="C35" s="582"/>
      <c r="D35" s="583"/>
      <c r="E35" s="584"/>
      <c r="F35" s="585"/>
      <c r="G35" s="583"/>
      <c r="H35" s="584"/>
      <c r="I35" s="793"/>
      <c r="J35" s="586"/>
      <c r="K35" s="583"/>
      <c r="L35" s="587"/>
      <c r="M35" s="588"/>
      <c r="N35" s="212"/>
      <c r="O35" s="221"/>
      <c r="P35" s="214"/>
      <c r="Q35" s="215"/>
      <c r="R35" s="222"/>
      <c r="S35" s="214"/>
      <c r="T35" s="215"/>
      <c r="U35" s="217"/>
      <c r="V35" s="218"/>
      <c r="W35" s="219"/>
      <c r="X35" s="220"/>
      <c r="Y35" s="217"/>
      <c r="Z35" s="212"/>
      <c r="AA35" s="221"/>
      <c r="AB35" s="214"/>
      <c r="AC35" s="215"/>
      <c r="AD35" s="222"/>
      <c r="AE35" s="214"/>
      <c r="AF35" s="215"/>
      <c r="AG35" s="217"/>
      <c r="AH35" s="218"/>
      <c r="AI35" s="219"/>
      <c r="AJ35" s="220"/>
      <c r="AK35" s="217"/>
      <c r="AL35" s="307"/>
      <c r="AM35" s="315"/>
      <c r="AN35" s="308"/>
      <c r="AO35" s="309"/>
      <c r="AP35" s="310"/>
      <c r="AQ35" s="308"/>
      <c r="AR35" s="309"/>
      <c r="AS35" s="311"/>
      <c r="AT35" s="312"/>
      <c r="AU35" s="313"/>
      <c r="AV35" s="314"/>
      <c r="AW35" s="311"/>
      <c r="AX35" s="212"/>
      <c r="AY35" s="221"/>
      <c r="AZ35" s="214"/>
      <c r="BA35" s="215"/>
      <c r="BB35" s="222"/>
      <c r="BC35" s="214"/>
      <c r="BD35" s="215"/>
      <c r="BE35" s="217"/>
      <c r="BF35" s="218"/>
      <c r="BG35" s="219"/>
      <c r="BH35" s="220"/>
      <c r="BI35" s="217"/>
      <c r="BJ35" s="212"/>
      <c r="BK35" s="221"/>
      <c r="BL35" s="214"/>
      <c r="BM35" s="215"/>
      <c r="BN35" s="222"/>
      <c r="BO35" s="214"/>
      <c r="BP35" s="215"/>
      <c r="BQ35" s="217"/>
      <c r="BR35" s="218"/>
      <c r="BS35" s="219"/>
      <c r="BT35" s="220"/>
      <c r="BU35" s="217"/>
    </row>
    <row r="36" spans="1:73" ht="15.75" customHeight="1">
      <c r="A36" s="1233"/>
      <c r="B36" s="589"/>
      <c r="C36" s="590"/>
      <c r="D36" s="591"/>
      <c r="E36" s="592"/>
      <c r="F36" s="593"/>
      <c r="G36" s="591"/>
      <c r="H36" s="592"/>
      <c r="I36" s="794"/>
      <c r="J36" s="594"/>
      <c r="K36" s="591"/>
      <c r="L36" s="595"/>
      <c r="M36" s="596"/>
      <c r="N36" s="241"/>
      <c r="O36" s="242"/>
      <c r="P36" s="243"/>
      <c r="Q36" s="244"/>
      <c r="R36" s="245"/>
      <c r="S36" s="243"/>
      <c r="T36" s="246"/>
      <c r="U36" s="246"/>
      <c r="V36" s="247"/>
      <c r="W36" s="248"/>
      <c r="X36" s="243"/>
      <c r="Y36" s="246"/>
      <c r="Z36" s="241"/>
      <c r="AA36" s="242"/>
      <c r="AB36" s="243"/>
      <c r="AC36" s="244"/>
      <c r="AD36" s="245"/>
      <c r="AE36" s="243"/>
      <c r="AF36" s="246"/>
      <c r="AG36" s="246"/>
      <c r="AH36" s="247"/>
      <c r="AI36" s="248"/>
      <c r="AJ36" s="243"/>
      <c r="AK36" s="246"/>
      <c r="AL36" s="316"/>
      <c r="AM36" s="317"/>
      <c r="AN36" s="318"/>
      <c r="AO36" s="319"/>
      <c r="AP36" s="320"/>
      <c r="AQ36" s="318"/>
      <c r="AR36" s="321"/>
      <c r="AS36" s="321"/>
      <c r="AT36" s="322"/>
      <c r="AU36" s="323"/>
      <c r="AV36" s="318"/>
      <c r="AW36" s="321"/>
      <c r="AX36" s="241"/>
      <c r="AY36" s="242"/>
      <c r="AZ36" s="243"/>
      <c r="BA36" s="244"/>
      <c r="BB36" s="245"/>
      <c r="BC36" s="243"/>
      <c r="BD36" s="246"/>
      <c r="BE36" s="246"/>
      <c r="BF36" s="247"/>
      <c r="BG36" s="248"/>
      <c r="BH36" s="243"/>
      <c r="BI36" s="246"/>
      <c r="BJ36" s="241"/>
      <c r="BK36" s="242"/>
      <c r="BL36" s="243"/>
      <c r="BM36" s="244"/>
      <c r="BN36" s="245"/>
      <c r="BO36" s="243"/>
      <c r="BP36" s="246"/>
      <c r="BQ36" s="246"/>
      <c r="BR36" s="247"/>
      <c r="BS36" s="248"/>
      <c r="BT36" s="243"/>
      <c r="BU36" s="246"/>
    </row>
    <row r="37" spans="1:73" ht="15.75" customHeight="1">
      <c r="A37" s="1231">
        <v>6</v>
      </c>
      <c r="B37" s="597"/>
      <c r="C37" s="598"/>
      <c r="D37" s="599"/>
      <c r="E37" s="600"/>
      <c r="F37" s="598"/>
      <c r="G37" s="599"/>
      <c r="H37" s="600"/>
      <c r="I37" s="795"/>
      <c r="J37" s="601"/>
      <c r="K37" s="602"/>
      <c r="L37" s="599"/>
      <c r="M37" s="600"/>
      <c r="N37" s="189" t="s">
        <v>46</v>
      </c>
      <c r="O37" s="190">
        <v>1</v>
      </c>
      <c r="P37" s="191"/>
      <c r="Q37" s="192"/>
      <c r="R37" s="190"/>
      <c r="S37" s="191"/>
      <c r="T37" s="192">
        <v>1</v>
      </c>
      <c r="U37" s="192" t="s">
        <v>238</v>
      </c>
      <c r="V37" s="193" t="s">
        <v>90</v>
      </c>
      <c r="W37" s="194" t="s">
        <v>307</v>
      </c>
      <c r="X37" s="191" t="s">
        <v>263</v>
      </c>
      <c r="Y37" s="192" t="s">
        <v>264</v>
      </c>
      <c r="Z37" s="189" t="s">
        <v>86</v>
      </c>
      <c r="AA37" s="190">
        <v>1</v>
      </c>
      <c r="AB37" s="191"/>
      <c r="AC37" s="192"/>
      <c r="AD37" s="190"/>
      <c r="AE37" s="191"/>
      <c r="AF37" s="192">
        <v>1</v>
      </c>
      <c r="AG37" s="192" t="s">
        <v>244</v>
      </c>
      <c r="AH37" s="193" t="s">
        <v>97</v>
      </c>
      <c r="AI37" s="194" t="s">
        <v>308</v>
      </c>
      <c r="AJ37" s="191" t="s">
        <v>309</v>
      </c>
      <c r="AK37" s="192" t="s">
        <v>286</v>
      </c>
      <c r="AL37" s="301"/>
      <c r="AM37" s="302"/>
      <c r="AN37" s="303"/>
      <c r="AO37" s="304"/>
      <c r="AP37" s="302"/>
      <c r="AQ37" s="303"/>
      <c r="AR37" s="304"/>
      <c r="AS37" s="304"/>
      <c r="AT37" s="305"/>
      <c r="AU37" s="306"/>
      <c r="AV37" s="303"/>
      <c r="AW37" s="304"/>
      <c r="AX37" s="189" t="s">
        <v>69</v>
      </c>
      <c r="AY37" s="190">
        <v>1</v>
      </c>
      <c r="AZ37" s="191"/>
      <c r="BA37" s="192"/>
      <c r="BB37" s="190">
        <v>1</v>
      </c>
      <c r="BC37" s="191"/>
      <c r="BD37" s="192"/>
      <c r="BE37" s="192" t="s">
        <v>238</v>
      </c>
      <c r="BF37" s="193" t="s">
        <v>68</v>
      </c>
      <c r="BG37" s="194" t="s">
        <v>310</v>
      </c>
      <c r="BH37" s="191" t="s">
        <v>311</v>
      </c>
      <c r="BI37" s="192" t="s">
        <v>312</v>
      </c>
      <c r="BJ37" s="189" t="s">
        <v>46</v>
      </c>
      <c r="BK37" s="190">
        <v>1</v>
      </c>
      <c r="BL37" s="191"/>
      <c r="BM37" s="192"/>
      <c r="BN37" s="190">
        <v>1</v>
      </c>
      <c r="BO37" s="191"/>
      <c r="BP37" s="192"/>
      <c r="BQ37" s="192" t="s">
        <v>51</v>
      </c>
      <c r="BR37" s="193" t="s">
        <v>31</v>
      </c>
      <c r="BS37" s="194" t="s">
        <v>313</v>
      </c>
      <c r="BT37" s="191" t="s">
        <v>282</v>
      </c>
      <c r="BU37" s="192" t="s">
        <v>283</v>
      </c>
    </row>
    <row r="38" spans="1:73" ht="15.75" customHeight="1">
      <c r="A38" s="1232"/>
      <c r="B38" s="603"/>
      <c r="C38" s="604"/>
      <c r="D38" s="605"/>
      <c r="E38" s="606"/>
      <c r="F38" s="604"/>
      <c r="G38" s="605"/>
      <c r="H38" s="606"/>
      <c r="I38" s="779"/>
      <c r="J38" s="607"/>
      <c r="K38" s="608"/>
      <c r="L38" s="605"/>
      <c r="M38" s="606"/>
      <c r="N38" s="212"/>
      <c r="O38" s="213"/>
      <c r="P38" s="214"/>
      <c r="Q38" s="215"/>
      <c r="R38" s="216"/>
      <c r="S38" s="214"/>
      <c r="T38" s="215"/>
      <c r="U38" s="217"/>
      <c r="V38" s="218"/>
      <c r="W38" s="219"/>
      <c r="X38" s="220"/>
      <c r="Y38" s="217"/>
      <c r="Z38" s="212" t="s">
        <v>314</v>
      </c>
      <c r="AA38" s="213"/>
      <c r="AB38" s="214">
        <v>1</v>
      </c>
      <c r="AC38" s="215"/>
      <c r="AD38" s="222">
        <v>1</v>
      </c>
      <c r="AE38" s="214"/>
      <c r="AF38" s="215"/>
      <c r="AG38" s="217" t="s">
        <v>251</v>
      </c>
      <c r="AH38" s="218" t="s">
        <v>98</v>
      </c>
      <c r="AI38" s="219" t="s">
        <v>315</v>
      </c>
      <c r="AJ38" s="220" t="s">
        <v>316</v>
      </c>
      <c r="AK38" s="217" t="s">
        <v>317</v>
      </c>
      <c r="AL38" s="307"/>
      <c r="AM38" s="204"/>
      <c r="AN38" s="308"/>
      <c r="AO38" s="309"/>
      <c r="AP38" s="310"/>
      <c r="AQ38" s="308"/>
      <c r="AR38" s="309"/>
      <c r="AS38" s="311"/>
      <c r="AT38" s="312"/>
      <c r="AU38" s="313"/>
      <c r="AV38" s="314"/>
      <c r="AW38" s="311"/>
      <c r="AX38" s="212" t="s">
        <v>318</v>
      </c>
      <c r="AY38" s="213">
        <v>1</v>
      </c>
      <c r="AZ38" s="214"/>
      <c r="BA38" s="215"/>
      <c r="BB38" s="222">
        <v>1</v>
      </c>
      <c r="BC38" s="214"/>
      <c r="BD38" s="215"/>
      <c r="BE38" s="217" t="s">
        <v>238</v>
      </c>
      <c r="BF38" s="218" t="s">
        <v>31</v>
      </c>
      <c r="BG38" s="219" t="s">
        <v>319</v>
      </c>
      <c r="BH38" s="220" t="s">
        <v>320</v>
      </c>
      <c r="BI38" s="217" t="s">
        <v>321</v>
      </c>
      <c r="BJ38" s="212" t="s">
        <v>322</v>
      </c>
      <c r="BK38" s="213"/>
      <c r="BL38" s="214">
        <v>1</v>
      </c>
      <c r="BM38" s="215"/>
      <c r="BN38" s="222"/>
      <c r="BO38" s="214">
        <v>1</v>
      </c>
      <c r="BP38" s="215"/>
      <c r="BQ38" s="217" t="s">
        <v>251</v>
      </c>
      <c r="BR38" s="218" t="s">
        <v>31</v>
      </c>
      <c r="BS38" s="219" t="s">
        <v>323</v>
      </c>
      <c r="BT38" s="220" t="s">
        <v>324</v>
      </c>
      <c r="BU38" s="217" t="s">
        <v>325</v>
      </c>
    </row>
    <row r="39" spans="1:73" ht="15.75" customHeight="1">
      <c r="A39" s="1232"/>
      <c r="B39" s="603"/>
      <c r="C39" s="604"/>
      <c r="D39" s="605"/>
      <c r="E39" s="606"/>
      <c r="F39" s="604"/>
      <c r="G39" s="605"/>
      <c r="H39" s="606"/>
      <c r="I39" s="779"/>
      <c r="J39" s="607"/>
      <c r="K39" s="608"/>
      <c r="L39" s="605"/>
      <c r="M39" s="606"/>
      <c r="N39" s="212"/>
      <c r="O39" s="221"/>
      <c r="P39" s="214"/>
      <c r="Q39" s="215"/>
      <c r="R39" s="222"/>
      <c r="S39" s="214"/>
      <c r="T39" s="215"/>
      <c r="U39" s="217"/>
      <c r="V39" s="218"/>
      <c r="W39" s="219"/>
      <c r="X39" s="220"/>
      <c r="Y39" s="217"/>
      <c r="Z39" s="212"/>
      <c r="AA39" s="221"/>
      <c r="AB39" s="214"/>
      <c r="AC39" s="215"/>
      <c r="AD39" s="222"/>
      <c r="AE39" s="214"/>
      <c r="AF39" s="215"/>
      <c r="AG39" s="217"/>
      <c r="AH39" s="218"/>
      <c r="AI39" s="219"/>
      <c r="AJ39" s="220"/>
      <c r="AK39" s="217"/>
      <c r="AL39" s="307"/>
      <c r="AM39" s="315"/>
      <c r="AN39" s="308"/>
      <c r="AO39" s="309"/>
      <c r="AP39" s="310"/>
      <c r="AQ39" s="308"/>
      <c r="AR39" s="309"/>
      <c r="AS39" s="311"/>
      <c r="AT39" s="312"/>
      <c r="AU39" s="313"/>
      <c r="AV39" s="314"/>
      <c r="AW39" s="311"/>
      <c r="AX39" s="212"/>
      <c r="AY39" s="221"/>
      <c r="AZ39" s="214"/>
      <c r="BA39" s="215"/>
      <c r="BB39" s="222"/>
      <c r="BC39" s="214"/>
      <c r="BD39" s="215"/>
      <c r="BE39" s="217"/>
      <c r="BF39" s="218"/>
      <c r="BG39" s="219"/>
      <c r="BH39" s="220"/>
      <c r="BI39" s="217"/>
      <c r="BJ39" s="212"/>
      <c r="BK39" s="221"/>
      <c r="BL39" s="214"/>
      <c r="BM39" s="215"/>
      <c r="BN39" s="222"/>
      <c r="BO39" s="214"/>
      <c r="BP39" s="215"/>
      <c r="BQ39" s="217"/>
      <c r="BR39" s="218"/>
      <c r="BS39" s="219"/>
      <c r="BT39" s="220"/>
      <c r="BU39" s="217"/>
    </row>
    <row r="40" spans="1:73" ht="14.4">
      <c r="A40" s="1233"/>
      <c r="B40" s="609"/>
      <c r="C40" s="610"/>
      <c r="D40" s="611"/>
      <c r="E40" s="612"/>
      <c r="F40" s="613"/>
      <c r="G40" s="611"/>
      <c r="H40" s="612"/>
      <c r="I40" s="780"/>
      <c r="J40" s="614"/>
      <c r="K40" s="615"/>
      <c r="L40" s="611"/>
      <c r="M40" s="612"/>
      <c r="N40" s="241"/>
      <c r="O40" s="242"/>
      <c r="P40" s="243"/>
      <c r="Q40" s="244"/>
      <c r="R40" s="245"/>
      <c r="S40" s="243"/>
      <c r="T40" s="246"/>
      <c r="U40" s="246"/>
      <c r="V40" s="247"/>
      <c r="W40" s="248"/>
      <c r="X40" s="243"/>
      <c r="Y40" s="246"/>
      <c r="Z40" s="241"/>
      <c r="AA40" s="242"/>
      <c r="AB40" s="243"/>
      <c r="AC40" s="244"/>
      <c r="AD40" s="245"/>
      <c r="AE40" s="243"/>
      <c r="AF40" s="246"/>
      <c r="AG40" s="246"/>
      <c r="AH40" s="247"/>
      <c r="AI40" s="248"/>
      <c r="AJ40" s="243"/>
      <c r="AK40" s="246"/>
      <c r="AL40" s="316"/>
      <c r="AM40" s="317"/>
      <c r="AN40" s="318"/>
      <c r="AO40" s="319"/>
      <c r="AP40" s="320"/>
      <c r="AQ40" s="318"/>
      <c r="AR40" s="321"/>
      <c r="AS40" s="321"/>
      <c r="AT40" s="322"/>
      <c r="AU40" s="323"/>
      <c r="AV40" s="318"/>
      <c r="AW40" s="321"/>
      <c r="AX40" s="241"/>
      <c r="AY40" s="242"/>
      <c r="AZ40" s="243"/>
      <c r="BA40" s="244"/>
      <c r="BB40" s="245"/>
      <c r="BC40" s="243"/>
      <c r="BD40" s="246"/>
      <c r="BE40" s="246"/>
      <c r="BF40" s="247"/>
      <c r="BG40" s="248"/>
      <c r="BH40" s="243"/>
      <c r="BI40" s="246"/>
      <c r="BJ40" s="241"/>
      <c r="BK40" s="242"/>
      <c r="BL40" s="243"/>
      <c r="BM40" s="244"/>
      <c r="BN40" s="245"/>
      <c r="BO40" s="243"/>
      <c r="BP40" s="246"/>
      <c r="BQ40" s="246"/>
      <c r="BR40" s="247"/>
      <c r="BS40" s="248"/>
      <c r="BT40" s="243"/>
      <c r="BU40" s="246"/>
    </row>
    <row r="41" spans="1:73" ht="14.4">
      <c r="A41" s="1231">
        <v>7</v>
      </c>
      <c r="B41" s="544"/>
      <c r="C41" s="545"/>
      <c r="D41" s="546"/>
      <c r="E41" s="547"/>
      <c r="F41" s="545"/>
      <c r="G41" s="546"/>
      <c r="H41" s="547"/>
      <c r="I41" s="774"/>
      <c r="J41" s="533"/>
      <c r="K41" s="548"/>
      <c r="L41" s="546"/>
      <c r="M41" s="547"/>
      <c r="N41" s="189" t="s">
        <v>326</v>
      </c>
      <c r="O41" s="190">
        <v>1</v>
      </c>
      <c r="P41" s="191"/>
      <c r="Q41" s="192"/>
      <c r="R41" s="190"/>
      <c r="S41" s="191">
        <v>1</v>
      </c>
      <c r="T41" s="192"/>
      <c r="U41" s="192" t="s">
        <v>51</v>
      </c>
      <c r="V41" s="193" t="s">
        <v>31</v>
      </c>
      <c r="W41" s="194" t="s">
        <v>327</v>
      </c>
      <c r="X41" s="191"/>
      <c r="Y41" s="192"/>
      <c r="Z41" s="189" t="s">
        <v>261</v>
      </c>
      <c r="AA41" s="190"/>
      <c r="AB41" s="191"/>
      <c r="AC41" s="192"/>
      <c r="AD41" s="190"/>
      <c r="AE41" s="191"/>
      <c r="AF41" s="192"/>
      <c r="AG41" s="192"/>
      <c r="AH41" s="193"/>
      <c r="AI41" s="194"/>
      <c r="AJ41" s="191"/>
      <c r="AK41" s="192"/>
      <c r="AL41" s="189" t="s">
        <v>261</v>
      </c>
      <c r="AM41" s="190"/>
      <c r="AN41" s="191"/>
      <c r="AO41" s="192"/>
      <c r="AP41" s="190"/>
      <c r="AQ41" s="191"/>
      <c r="AR41" s="192"/>
      <c r="AS41" s="192"/>
      <c r="AT41" s="193"/>
      <c r="AU41" s="194"/>
      <c r="AV41" s="191"/>
      <c r="AW41" s="192"/>
      <c r="AX41" s="189" t="s">
        <v>72</v>
      </c>
      <c r="AY41" s="190">
        <v>1</v>
      </c>
      <c r="AZ41" s="191"/>
      <c r="BA41" s="192"/>
      <c r="BB41" s="190">
        <v>1</v>
      </c>
      <c r="BC41" s="191"/>
      <c r="BD41" s="192"/>
      <c r="BE41" s="192" t="s">
        <v>238</v>
      </c>
      <c r="BF41" s="193" t="s">
        <v>93</v>
      </c>
      <c r="BG41" s="194" t="s">
        <v>328</v>
      </c>
      <c r="BH41" s="191" t="s">
        <v>329</v>
      </c>
      <c r="BI41" s="192" t="s">
        <v>330</v>
      </c>
      <c r="BJ41" s="276"/>
      <c r="BK41" s="277"/>
      <c r="BL41" s="278"/>
      <c r="BM41" s="279"/>
      <c r="BN41" s="277"/>
      <c r="BO41" s="278"/>
      <c r="BP41" s="279"/>
      <c r="BQ41" s="279"/>
      <c r="BR41" s="280"/>
      <c r="BS41" s="281"/>
      <c r="BT41" s="278"/>
      <c r="BU41" s="279"/>
    </row>
    <row r="42" spans="1:73" ht="14.4">
      <c r="A42" s="1239"/>
      <c r="B42" s="549"/>
      <c r="C42" s="554"/>
      <c r="D42" s="686"/>
      <c r="E42" s="687"/>
      <c r="F42" s="554"/>
      <c r="G42" s="686"/>
      <c r="H42" s="687"/>
      <c r="I42" s="775"/>
      <c r="J42" s="688"/>
      <c r="K42" s="689"/>
      <c r="L42" s="686"/>
      <c r="M42" s="687"/>
      <c r="N42" s="212"/>
      <c r="O42" s="213"/>
      <c r="P42" s="332"/>
      <c r="Q42" s="333"/>
      <c r="R42" s="213"/>
      <c r="S42" s="332"/>
      <c r="T42" s="333"/>
      <c r="U42" s="333"/>
      <c r="V42" s="331"/>
      <c r="W42" s="260"/>
      <c r="X42" s="332"/>
      <c r="Y42" s="333"/>
      <c r="Z42" s="212"/>
      <c r="AA42" s="213"/>
      <c r="AB42" s="332"/>
      <c r="AC42" s="333"/>
      <c r="AD42" s="213"/>
      <c r="AE42" s="332"/>
      <c r="AF42" s="333"/>
      <c r="AG42" s="333"/>
      <c r="AH42" s="331"/>
      <c r="AI42" s="260"/>
      <c r="AJ42" s="332"/>
      <c r="AK42" s="333"/>
      <c r="AL42" s="212"/>
      <c r="AM42" s="213"/>
      <c r="AN42" s="332"/>
      <c r="AO42" s="333"/>
      <c r="AP42" s="213"/>
      <c r="AQ42" s="332"/>
      <c r="AR42" s="333"/>
      <c r="AS42" s="333"/>
      <c r="AT42" s="331"/>
      <c r="AU42" s="260"/>
      <c r="AV42" s="332"/>
      <c r="AW42" s="333"/>
      <c r="AX42" s="212"/>
      <c r="AY42" s="213"/>
      <c r="AZ42" s="332"/>
      <c r="BA42" s="333"/>
      <c r="BB42" s="213"/>
      <c r="BC42" s="332"/>
      <c r="BD42" s="333"/>
      <c r="BE42" s="333"/>
      <c r="BF42" s="331"/>
      <c r="BG42" s="260"/>
      <c r="BH42" s="332"/>
      <c r="BI42" s="333"/>
      <c r="BJ42" s="283"/>
      <c r="BK42" s="196"/>
      <c r="BL42" s="345"/>
      <c r="BM42" s="346"/>
      <c r="BN42" s="196"/>
      <c r="BO42" s="345"/>
      <c r="BP42" s="346"/>
      <c r="BQ42" s="346"/>
      <c r="BR42" s="347"/>
      <c r="BS42" s="197"/>
      <c r="BT42" s="345"/>
      <c r="BU42" s="346"/>
    </row>
    <row r="43" spans="1:73" ht="14.4">
      <c r="A43" s="1239"/>
      <c r="B43" s="549"/>
      <c r="C43" s="554"/>
      <c r="D43" s="686"/>
      <c r="E43" s="687"/>
      <c r="F43" s="554"/>
      <c r="G43" s="686"/>
      <c r="H43" s="687"/>
      <c r="I43" s="775"/>
      <c r="J43" s="688"/>
      <c r="K43" s="689"/>
      <c r="L43" s="686"/>
      <c r="M43" s="687"/>
      <c r="N43" s="212"/>
      <c r="O43" s="213"/>
      <c r="P43" s="332"/>
      <c r="Q43" s="333"/>
      <c r="R43" s="213"/>
      <c r="S43" s="332"/>
      <c r="T43" s="333"/>
      <c r="U43" s="333"/>
      <c r="V43" s="331"/>
      <c r="W43" s="260"/>
      <c r="X43" s="332"/>
      <c r="Y43" s="333"/>
      <c r="Z43" s="212"/>
      <c r="AA43" s="213"/>
      <c r="AB43" s="332"/>
      <c r="AC43" s="333"/>
      <c r="AD43" s="213"/>
      <c r="AE43" s="332"/>
      <c r="AF43" s="333"/>
      <c r="AG43" s="333"/>
      <c r="AH43" s="331"/>
      <c r="AI43" s="260"/>
      <c r="AJ43" s="332"/>
      <c r="AK43" s="333"/>
      <c r="AL43" s="212"/>
      <c r="AM43" s="213"/>
      <c r="AN43" s="332"/>
      <c r="AO43" s="333"/>
      <c r="AP43" s="213"/>
      <c r="AQ43" s="332"/>
      <c r="AR43" s="333"/>
      <c r="AS43" s="333"/>
      <c r="AT43" s="331"/>
      <c r="AU43" s="260"/>
      <c r="AV43" s="332"/>
      <c r="AW43" s="333"/>
      <c r="AX43" s="212"/>
      <c r="AY43" s="213"/>
      <c r="AZ43" s="332"/>
      <c r="BA43" s="333"/>
      <c r="BB43" s="213"/>
      <c r="BC43" s="332"/>
      <c r="BD43" s="333"/>
      <c r="BE43" s="333"/>
      <c r="BF43" s="331"/>
      <c r="BG43" s="260"/>
      <c r="BH43" s="332"/>
      <c r="BI43" s="333"/>
      <c r="BJ43" s="283"/>
      <c r="BK43" s="196"/>
      <c r="BL43" s="345"/>
      <c r="BM43" s="346"/>
      <c r="BN43" s="196"/>
      <c r="BO43" s="345"/>
      <c r="BP43" s="346"/>
      <c r="BQ43" s="346"/>
      <c r="BR43" s="347"/>
      <c r="BS43" s="197"/>
      <c r="BT43" s="345"/>
      <c r="BU43" s="346"/>
    </row>
    <row r="44" spans="1:73" ht="14.4">
      <c r="A44" s="1239"/>
      <c r="B44" s="549"/>
      <c r="C44" s="554"/>
      <c r="D44" s="686"/>
      <c r="E44" s="687"/>
      <c r="F44" s="554"/>
      <c r="G44" s="686"/>
      <c r="H44" s="687"/>
      <c r="I44" s="775"/>
      <c r="J44" s="688"/>
      <c r="K44" s="689"/>
      <c r="L44" s="686"/>
      <c r="M44" s="687"/>
      <c r="N44" s="212"/>
      <c r="O44" s="213"/>
      <c r="P44" s="332"/>
      <c r="Q44" s="333"/>
      <c r="R44" s="213"/>
      <c r="S44" s="332"/>
      <c r="T44" s="333"/>
      <c r="U44" s="333"/>
      <c r="V44" s="331"/>
      <c r="W44" s="260"/>
      <c r="X44" s="332"/>
      <c r="Y44" s="333"/>
      <c r="Z44" s="212"/>
      <c r="AA44" s="213"/>
      <c r="AB44" s="332"/>
      <c r="AC44" s="333"/>
      <c r="AD44" s="213"/>
      <c r="AE44" s="332"/>
      <c r="AF44" s="333"/>
      <c r="AG44" s="333"/>
      <c r="AH44" s="331"/>
      <c r="AI44" s="260"/>
      <c r="AJ44" s="332"/>
      <c r="AK44" s="333"/>
      <c r="AL44" s="212"/>
      <c r="AM44" s="213"/>
      <c r="AN44" s="332"/>
      <c r="AO44" s="333"/>
      <c r="AP44" s="213"/>
      <c r="AQ44" s="332"/>
      <c r="AR44" s="333"/>
      <c r="AS44" s="333"/>
      <c r="AT44" s="331"/>
      <c r="AU44" s="260"/>
      <c r="AV44" s="332"/>
      <c r="AW44" s="333"/>
      <c r="AX44" s="212"/>
      <c r="AY44" s="213"/>
      <c r="AZ44" s="332"/>
      <c r="BA44" s="333"/>
      <c r="BB44" s="213"/>
      <c r="BC44" s="332"/>
      <c r="BD44" s="333"/>
      <c r="BE44" s="333"/>
      <c r="BF44" s="331"/>
      <c r="BG44" s="260"/>
      <c r="BH44" s="332"/>
      <c r="BI44" s="333"/>
      <c r="BJ44" s="283"/>
      <c r="BK44" s="196"/>
      <c r="BL44" s="345"/>
      <c r="BM44" s="346"/>
      <c r="BN44" s="196"/>
      <c r="BO44" s="345"/>
      <c r="BP44" s="346"/>
      <c r="BQ44" s="346"/>
      <c r="BR44" s="347"/>
      <c r="BS44" s="197"/>
      <c r="BT44" s="345"/>
      <c r="BU44" s="346"/>
    </row>
    <row r="45" spans="1:73" ht="14.4">
      <c r="A45" s="1232"/>
      <c r="B45" s="549"/>
      <c r="C45" s="550"/>
      <c r="D45" s="551"/>
      <c r="E45" s="536"/>
      <c r="F45" s="534"/>
      <c r="G45" s="551"/>
      <c r="H45" s="536"/>
      <c r="I45" s="776"/>
      <c r="J45" s="537"/>
      <c r="K45" s="538"/>
      <c r="L45" s="535"/>
      <c r="M45" s="536"/>
      <c r="N45" s="212" t="s">
        <v>72</v>
      </c>
      <c r="O45" s="221"/>
      <c r="P45" s="214">
        <v>1</v>
      </c>
      <c r="Q45" s="217"/>
      <c r="R45" s="216"/>
      <c r="S45" s="214"/>
      <c r="T45" s="215">
        <v>1</v>
      </c>
      <c r="U45" s="217"/>
      <c r="V45" s="218" t="s">
        <v>93</v>
      </c>
      <c r="W45" s="219" t="s">
        <v>331</v>
      </c>
      <c r="X45" s="220" t="s">
        <v>329</v>
      </c>
      <c r="Y45" s="217" t="s">
        <v>257</v>
      </c>
      <c r="Z45" s="212"/>
      <c r="AA45" s="221"/>
      <c r="AB45" s="214"/>
      <c r="AC45" s="217"/>
      <c r="AD45" s="216"/>
      <c r="AE45" s="214"/>
      <c r="AF45" s="215"/>
      <c r="AG45" s="217"/>
      <c r="AH45" s="218"/>
      <c r="AI45" s="219"/>
      <c r="AJ45" s="220"/>
      <c r="AK45" s="217"/>
      <c r="AL45" s="212"/>
      <c r="AM45" s="221"/>
      <c r="AN45" s="214"/>
      <c r="AO45" s="217"/>
      <c r="AP45" s="216"/>
      <c r="AQ45" s="214"/>
      <c r="AR45" s="215"/>
      <c r="AS45" s="217"/>
      <c r="AT45" s="218"/>
      <c r="AU45" s="219"/>
      <c r="AV45" s="220"/>
      <c r="AW45" s="217"/>
      <c r="AX45" s="212"/>
      <c r="AY45" s="221"/>
      <c r="AZ45" s="214"/>
      <c r="BA45" s="217"/>
      <c r="BB45" s="216"/>
      <c r="BC45" s="214"/>
      <c r="BD45" s="215"/>
      <c r="BE45" s="217"/>
      <c r="BF45" s="218"/>
      <c r="BG45" s="219"/>
      <c r="BH45" s="220"/>
      <c r="BI45" s="217"/>
      <c r="BJ45" s="283"/>
      <c r="BK45" s="291"/>
      <c r="BL45" s="284"/>
      <c r="BM45" s="287"/>
      <c r="BN45" s="286"/>
      <c r="BO45" s="284"/>
      <c r="BP45" s="285"/>
      <c r="BQ45" s="287"/>
      <c r="BR45" s="288"/>
      <c r="BS45" s="289"/>
      <c r="BT45" s="290"/>
      <c r="BU45" s="287"/>
    </row>
    <row r="46" spans="1:73" ht="14.4">
      <c r="A46" s="1232"/>
      <c r="B46" s="549"/>
      <c r="C46" s="550"/>
      <c r="D46" s="551"/>
      <c r="E46" s="536"/>
      <c r="F46" s="534"/>
      <c r="G46" s="551"/>
      <c r="H46" s="536"/>
      <c r="I46" s="776"/>
      <c r="J46" s="537"/>
      <c r="K46" s="538"/>
      <c r="L46" s="535"/>
      <c r="M46" s="536"/>
      <c r="N46" s="212"/>
      <c r="O46" s="221"/>
      <c r="P46" s="214"/>
      <c r="Q46" s="217"/>
      <c r="R46" s="216"/>
      <c r="S46" s="214"/>
      <c r="T46" s="217"/>
      <c r="U46" s="217"/>
      <c r="V46" s="218"/>
      <c r="W46" s="219"/>
      <c r="X46" s="220"/>
      <c r="Y46" s="217"/>
      <c r="Z46" s="212"/>
      <c r="AA46" s="221"/>
      <c r="AB46" s="214"/>
      <c r="AC46" s="217"/>
      <c r="AD46" s="216"/>
      <c r="AE46" s="214"/>
      <c r="AF46" s="217"/>
      <c r="AG46" s="217"/>
      <c r="AH46" s="218"/>
      <c r="AI46" s="219"/>
      <c r="AJ46" s="220"/>
      <c r="AK46" s="217"/>
      <c r="AL46" s="212"/>
      <c r="AM46" s="221"/>
      <c r="AN46" s="214"/>
      <c r="AO46" s="217"/>
      <c r="AP46" s="216"/>
      <c r="AQ46" s="214"/>
      <c r="AR46" s="217"/>
      <c r="AS46" s="217"/>
      <c r="AT46" s="218"/>
      <c r="AU46" s="219"/>
      <c r="AV46" s="220"/>
      <c r="AW46" s="217"/>
      <c r="AX46" s="212"/>
      <c r="AY46" s="221"/>
      <c r="AZ46" s="214"/>
      <c r="BA46" s="217"/>
      <c r="BB46" s="216"/>
      <c r="BC46" s="214"/>
      <c r="BD46" s="217"/>
      <c r="BE46" s="217"/>
      <c r="BF46" s="218"/>
      <c r="BG46" s="219"/>
      <c r="BH46" s="220"/>
      <c r="BI46" s="217"/>
      <c r="BJ46" s="283"/>
      <c r="BK46" s="291"/>
      <c r="BL46" s="284"/>
      <c r="BM46" s="287"/>
      <c r="BN46" s="286"/>
      <c r="BO46" s="284"/>
      <c r="BP46" s="287"/>
      <c r="BQ46" s="287"/>
      <c r="BR46" s="288"/>
      <c r="BS46" s="289"/>
      <c r="BT46" s="290"/>
      <c r="BU46" s="287"/>
    </row>
    <row r="47" spans="1:73" ht="14.4">
      <c r="A47" s="1233"/>
      <c r="B47" s="552"/>
      <c r="C47" s="553"/>
      <c r="D47" s="539"/>
      <c r="E47" s="540"/>
      <c r="F47" s="541"/>
      <c r="G47" s="539"/>
      <c r="H47" s="540"/>
      <c r="I47" s="777"/>
      <c r="J47" s="542"/>
      <c r="K47" s="543"/>
      <c r="L47" s="539"/>
      <c r="M47" s="540"/>
      <c r="N47" s="327"/>
      <c r="O47" s="242"/>
      <c r="P47" s="243"/>
      <c r="Q47" s="246"/>
      <c r="R47" s="325"/>
      <c r="S47" s="243"/>
      <c r="T47" s="246"/>
      <c r="U47" s="326"/>
      <c r="V47" s="247"/>
      <c r="W47" s="248"/>
      <c r="X47" s="243"/>
      <c r="Y47" s="246"/>
      <c r="Z47" s="327"/>
      <c r="AA47" s="242"/>
      <c r="AB47" s="243"/>
      <c r="AC47" s="246"/>
      <c r="AD47" s="325"/>
      <c r="AE47" s="243"/>
      <c r="AF47" s="246"/>
      <c r="AG47" s="326"/>
      <c r="AH47" s="247"/>
      <c r="AI47" s="248"/>
      <c r="AJ47" s="243"/>
      <c r="AK47" s="246"/>
      <c r="AL47" s="327"/>
      <c r="AM47" s="242"/>
      <c r="AN47" s="243"/>
      <c r="AO47" s="246"/>
      <c r="AP47" s="325"/>
      <c r="AQ47" s="243"/>
      <c r="AR47" s="246"/>
      <c r="AS47" s="326"/>
      <c r="AT47" s="247"/>
      <c r="AU47" s="248"/>
      <c r="AV47" s="243"/>
      <c r="AW47" s="246"/>
      <c r="AX47" s="327"/>
      <c r="AY47" s="242"/>
      <c r="AZ47" s="243"/>
      <c r="BA47" s="246"/>
      <c r="BB47" s="325"/>
      <c r="BC47" s="243"/>
      <c r="BD47" s="246"/>
      <c r="BE47" s="326"/>
      <c r="BF47" s="247"/>
      <c r="BG47" s="248"/>
      <c r="BH47" s="243"/>
      <c r="BI47" s="246"/>
      <c r="BJ47" s="328"/>
      <c r="BK47" s="294"/>
      <c r="BL47" s="295"/>
      <c r="BM47" s="298"/>
      <c r="BN47" s="329"/>
      <c r="BO47" s="295"/>
      <c r="BP47" s="298"/>
      <c r="BQ47" s="330"/>
      <c r="BR47" s="299"/>
      <c r="BS47" s="300"/>
      <c r="BT47" s="295"/>
      <c r="BU47" s="298"/>
    </row>
    <row r="48" spans="1:73" ht="14.4">
      <c r="A48" s="1231">
        <v>8</v>
      </c>
      <c r="B48" s="544"/>
      <c r="C48" s="545"/>
      <c r="D48" s="546"/>
      <c r="E48" s="547"/>
      <c r="F48" s="545"/>
      <c r="G48" s="546"/>
      <c r="H48" s="547"/>
      <c r="I48" s="774"/>
      <c r="J48" s="533"/>
      <c r="K48" s="548"/>
      <c r="L48" s="546"/>
      <c r="M48" s="547"/>
      <c r="N48" s="171"/>
      <c r="O48" s="172"/>
      <c r="P48" s="173"/>
      <c r="Q48" s="174"/>
      <c r="R48" s="175"/>
      <c r="S48" s="173"/>
      <c r="T48" s="176"/>
      <c r="U48" s="177"/>
      <c r="V48" s="174"/>
      <c r="W48" s="173"/>
      <c r="X48" s="178"/>
      <c r="Y48" s="179"/>
      <c r="Z48" s="171"/>
      <c r="AA48" s="172"/>
      <c r="AB48" s="173"/>
      <c r="AC48" s="174"/>
      <c r="AD48" s="175"/>
      <c r="AE48" s="173"/>
      <c r="AF48" s="176"/>
      <c r="AG48" s="177"/>
      <c r="AH48" s="174"/>
      <c r="AI48" s="173"/>
      <c r="AJ48" s="178"/>
      <c r="AK48" s="179"/>
      <c r="AL48" s="189" t="s">
        <v>46</v>
      </c>
      <c r="AM48" s="190">
        <v>1</v>
      </c>
      <c r="AN48" s="191"/>
      <c r="AO48" s="192"/>
      <c r="AP48" s="190">
        <v>1</v>
      </c>
      <c r="AQ48" s="191"/>
      <c r="AR48" s="192"/>
      <c r="AS48" s="192" t="s">
        <v>238</v>
      </c>
      <c r="AT48" s="193" t="s">
        <v>81</v>
      </c>
      <c r="AU48" s="194" t="s">
        <v>332</v>
      </c>
      <c r="AV48" s="191" t="s">
        <v>333</v>
      </c>
      <c r="AW48" s="192" t="s">
        <v>334</v>
      </c>
      <c r="AX48" s="189" t="s">
        <v>335</v>
      </c>
      <c r="AY48" s="250"/>
      <c r="AZ48" s="251"/>
      <c r="BA48" s="252"/>
      <c r="BB48" s="253"/>
      <c r="BC48" s="251"/>
      <c r="BD48" s="254"/>
      <c r="BE48" s="255"/>
      <c r="BF48" s="252"/>
      <c r="BG48" s="194" t="s">
        <v>336</v>
      </c>
      <c r="BH48" s="256"/>
      <c r="BI48" s="257"/>
      <c r="BJ48" s="276"/>
      <c r="BK48" s="172"/>
      <c r="BL48" s="173"/>
      <c r="BM48" s="174"/>
      <c r="BN48" s="175"/>
      <c r="BO48" s="173"/>
      <c r="BP48" s="176"/>
      <c r="BQ48" s="177"/>
      <c r="BR48" s="174"/>
      <c r="BS48" s="281"/>
      <c r="BT48" s="178"/>
      <c r="BU48" s="179"/>
    </row>
    <row r="49" spans="1:73" ht="14.4">
      <c r="A49" s="1239"/>
      <c r="B49" s="549"/>
      <c r="C49" s="554"/>
      <c r="D49" s="686"/>
      <c r="E49" s="687"/>
      <c r="F49" s="554"/>
      <c r="G49" s="686"/>
      <c r="H49" s="687"/>
      <c r="I49" s="775"/>
      <c r="J49" s="688"/>
      <c r="K49" s="689"/>
      <c r="L49" s="686"/>
      <c r="M49" s="687"/>
      <c r="N49" s="344"/>
      <c r="O49" s="657"/>
      <c r="P49" s="658"/>
      <c r="Q49" s="659"/>
      <c r="R49" s="660"/>
      <c r="S49" s="658"/>
      <c r="T49" s="661"/>
      <c r="U49" s="662"/>
      <c r="V49" s="659"/>
      <c r="W49" s="658"/>
      <c r="X49" s="87"/>
      <c r="Y49" s="663"/>
      <c r="Z49" s="344"/>
      <c r="AA49" s="657"/>
      <c r="AB49" s="658"/>
      <c r="AC49" s="659"/>
      <c r="AD49" s="660"/>
      <c r="AE49" s="658"/>
      <c r="AF49" s="661"/>
      <c r="AG49" s="662"/>
      <c r="AH49" s="659"/>
      <c r="AI49" s="658"/>
      <c r="AJ49" s="87"/>
      <c r="AK49" s="663"/>
      <c r="AL49" s="212"/>
      <c r="AM49" s="213"/>
      <c r="AN49" s="332"/>
      <c r="AO49" s="333"/>
      <c r="AP49" s="213"/>
      <c r="AQ49" s="332"/>
      <c r="AR49" s="333"/>
      <c r="AS49" s="333"/>
      <c r="AT49" s="331"/>
      <c r="AU49" s="260"/>
      <c r="AV49" s="332"/>
      <c r="AW49" s="333"/>
      <c r="AX49" s="212"/>
      <c r="AY49" s="679"/>
      <c r="AZ49" s="416"/>
      <c r="BA49" s="680"/>
      <c r="BB49" s="681"/>
      <c r="BC49" s="416"/>
      <c r="BD49" s="682"/>
      <c r="BE49" s="683"/>
      <c r="BF49" s="680"/>
      <c r="BG49" s="260"/>
      <c r="BH49" s="94"/>
      <c r="BI49" s="684"/>
      <c r="BJ49" s="283"/>
      <c r="BK49" s="657"/>
      <c r="BL49" s="658"/>
      <c r="BM49" s="659"/>
      <c r="BN49" s="660"/>
      <c r="BO49" s="658"/>
      <c r="BP49" s="661"/>
      <c r="BQ49" s="662"/>
      <c r="BR49" s="659"/>
      <c r="BS49" s="197"/>
      <c r="BT49" s="87"/>
      <c r="BU49" s="663"/>
    </row>
    <row r="50" spans="1:73" ht="14.4">
      <c r="A50" s="1239"/>
      <c r="B50" s="549"/>
      <c r="C50" s="554"/>
      <c r="D50" s="686"/>
      <c r="E50" s="687"/>
      <c r="F50" s="554"/>
      <c r="G50" s="686"/>
      <c r="H50" s="687"/>
      <c r="I50" s="775"/>
      <c r="J50" s="688"/>
      <c r="K50" s="689"/>
      <c r="L50" s="686"/>
      <c r="M50" s="687"/>
      <c r="N50" s="344"/>
      <c r="O50" s="657"/>
      <c r="P50" s="658"/>
      <c r="Q50" s="659"/>
      <c r="R50" s="660"/>
      <c r="S50" s="658"/>
      <c r="T50" s="661"/>
      <c r="U50" s="662"/>
      <c r="V50" s="659"/>
      <c r="W50" s="658"/>
      <c r="X50" s="87"/>
      <c r="Y50" s="663"/>
      <c r="Z50" s="344"/>
      <c r="AA50" s="657"/>
      <c r="AB50" s="658"/>
      <c r="AC50" s="659"/>
      <c r="AD50" s="660"/>
      <c r="AE50" s="658"/>
      <c r="AF50" s="661"/>
      <c r="AG50" s="662"/>
      <c r="AH50" s="659"/>
      <c r="AI50" s="658"/>
      <c r="AJ50" s="87"/>
      <c r="AK50" s="663"/>
      <c r="AL50" s="212"/>
      <c r="AM50" s="213"/>
      <c r="AN50" s="332"/>
      <c r="AO50" s="333"/>
      <c r="AP50" s="213"/>
      <c r="AQ50" s="332"/>
      <c r="AR50" s="333"/>
      <c r="AS50" s="333"/>
      <c r="AT50" s="331"/>
      <c r="AU50" s="260"/>
      <c r="AV50" s="332"/>
      <c r="AW50" s="333"/>
      <c r="AX50" s="212"/>
      <c r="AY50" s="679"/>
      <c r="AZ50" s="416"/>
      <c r="BA50" s="680"/>
      <c r="BB50" s="681"/>
      <c r="BC50" s="416"/>
      <c r="BD50" s="682"/>
      <c r="BE50" s="683"/>
      <c r="BF50" s="680"/>
      <c r="BG50" s="260"/>
      <c r="BH50" s="94"/>
      <c r="BI50" s="684"/>
      <c r="BJ50" s="283"/>
      <c r="BK50" s="657"/>
      <c r="BL50" s="658"/>
      <c r="BM50" s="659"/>
      <c r="BN50" s="660"/>
      <c r="BO50" s="658"/>
      <c r="BP50" s="661"/>
      <c r="BQ50" s="662"/>
      <c r="BR50" s="659"/>
      <c r="BS50" s="197"/>
      <c r="BT50" s="87"/>
      <c r="BU50" s="663"/>
    </row>
    <row r="51" spans="1:73" ht="14.4">
      <c r="A51" s="1239"/>
      <c r="B51" s="549"/>
      <c r="C51" s="554"/>
      <c r="D51" s="686"/>
      <c r="E51" s="687"/>
      <c r="F51" s="554"/>
      <c r="G51" s="686"/>
      <c r="H51" s="687"/>
      <c r="I51" s="775"/>
      <c r="J51" s="688"/>
      <c r="K51" s="689"/>
      <c r="L51" s="686"/>
      <c r="M51" s="687"/>
      <c r="N51" s="344"/>
      <c r="O51" s="657"/>
      <c r="P51" s="658"/>
      <c r="Q51" s="659"/>
      <c r="R51" s="660"/>
      <c r="S51" s="658"/>
      <c r="T51" s="661"/>
      <c r="U51" s="662"/>
      <c r="V51" s="659"/>
      <c r="W51" s="658"/>
      <c r="X51" s="87"/>
      <c r="Y51" s="663"/>
      <c r="Z51" s="344"/>
      <c r="AA51" s="657"/>
      <c r="AB51" s="658"/>
      <c r="AC51" s="659"/>
      <c r="AD51" s="660"/>
      <c r="AE51" s="658"/>
      <c r="AF51" s="661"/>
      <c r="AG51" s="662"/>
      <c r="AH51" s="659"/>
      <c r="AI51" s="658"/>
      <c r="AJ51" s="87"/>
      <c r="AK51" s="663"/>
      <c r="AL51" s="212"/>
      <c r="AM51" s="213"/>
      <c r="AN51" s="332"/>
      <c r="AO51" s="333"/>
      <c r="AP51" s="213"/>
      <c r="AQ51" s="332"/>
      <c r="AR51" s="333"/>
      <c r="AS51" s="333"/>
      <c r="AT51" s="331"/>
      <c r="AU51" s="260"/>
      <c r="AV51" s="332"/>
      <c r="AW51" s="333"/>
      <c r="AX51" s="212"/>
      <c r="AY51" s="679"/>
      <c r="AZ51" s="416"/>
      <c r="BA51" s="680"/>
      <c r="BB51" s="681"/>
      <c r="BC51" s="416"/>
      <c r="BD51" s="682"/>
      <c r="BE51" s="683"/>
      <c r="BF51" s="680"/>
      <c r="BG51" s="260"/>
      <c r="BH51" s="94"/>
      <c r="BI51" s="684"/>
      <c r="BJ51" s="283"/>
      <c r="BK51" s="657"/>
      <c r="BL51" s="658"/>
      <c r="BM51" s="659"/>
      <c r="BN51" s="660"/>
      <c r="BO51" s="658"/>
      <c r="BP51" s="661"/>
      <c r="BQ51" s="662"/>
      <c r="BR51" s="659"/>
      <c r="BS51" s="197"/>
      <c r="BT51" s="87"/>
      <c r="BU51" s="663"/>
    </row>
    <row r="52" spans="1:73" ht="14.4">
      <c r="A52" s="1232"/>
      <c r="B52" s="549"/>
      <c r="C52" s="554"/>
      <c r="D52" s="551"/>
      <c r="E52" s="536"/>
      <c r="F52" s="534"/>
      <c r="G52" s="551"/>
      <c r="H52" s="536"/>
      <c r="I52" s="776"/>
      <c r="J52" s="537"/>
      <c r="K52" s="538"/>
      <c r="L52" s="535"/>
      <c r="M52" s="536"/>
      <c r="N52" s="195"/>
      <c r="O52" s="196"/>
      <c r="P52" s="197"/>
      <c r="Q52" s="198"/>
      <c r="R52" s="199"/>
      <c r="S52" s="197"/>
      <c r="T52" s="200"/>
      <c r="U52" s="201"/>
      <c r="V52" s="198"/>
      <c r="W52" s="197"/>
      <c r="X52" s="88"/>
      <c r="Y52" s="202"/>
      <c r="Z52" s="195"/>
      <c r="AA52" s="196"/>
      <c r="AB52" s="197"/>
      <c r="AC52" s="198"/>
      <c r="AD52" s="199"/>
      <c r="AE52" s="197"/>
      <c r="AF52" s="200"/>
      <c r="AG52" s="201"/>
      <c r="AH52" s="198"/>
      <c r="AI52" s="197"/>
      <c r="AJ52" s="88"/>
      <c r="AK52" s="202"/>
      <c r="AL52" s="212" t="s">
        <v>46</v>
      </c>
      <c r="AM52" s="213">
        <v>1</v>
      </c>
      <c r="AN52" s="214"/>
      <c r="AO52" s="215"/>
      <c r="AP52" s="222">
        <v>1</v>
      </c>
      <c r="AQ52" s="214"/>
      <c r="AR52" s="215"/>
      <c r="AS52" s="217" t="s">
        <v>238</v>
      </c>
      <c r="AT52" s="218" t="s">
        <v>102</v>
      </c>
      <c r="AU52" s="219" t="s">
        <v>337</v>
      </c>
      <c r="AV52" s="220" t="s">
        <v>253</v>
      </c>
      <c r="AW52" s="217" t="s">
        <v>254</v>
      </c>
      <c r="AX52" s="212" t="s">
        <v>338</v>
      </c>
      <c r="AY52" s="213"/>
      <c r="AZ52" s="260"/>
      <c r="BA52" s="261"/>
      <c r="BB52" s="262"/>
      <c r="BC52" s="260"/>
      <c r="BD52" s="263"/>
      <c r="BE52" s="264"/>
      <c r="BF52" s="261"/>
      <c r="BG52" s="260"/>
      <c r="BH52" s="265"/>
      <c r="BI52" s="266"/>
      <c r="BJ52" s="283"/>
      <c r="BK52" s="196"/>
      <c r="BL52" s="197"/>
      <c r="BM52" s="198"/>
      <c r="BN52" s="199"/>
      <c r="BO52" s="197"/>
      <c r="BP52" s="200"/>
      <c r="BQ52" s="201"/>
      <c r="BR52" s="198"/>
      <c r="BS52" s="197"/>
      <c r="BT52" s="88"/>
      <c r="BU52" s="202"/>
    </row>
    <row r="53" spans="1:73" ht="14.4">
      <c r="A53" s="1232"/>
      <c r="B53" s="549"/>
      <c r="C53" s="550"/>
      <c r="D53" s="551"/>
      <c r="E53" s="536"/>
      <c r="F53" s="534"/>
      <c r="G53" s="551"/>
      <c r="H53" s="536"/>
      <c r="I53" s="776"/>
      <c r="J53" s="537"/>
      <c r="K53" s="538"/>
      <c r="L53" s="535"/>
      <c r="M53" s="536"/>
      <c r="N53" s="195"/>
      <c r="O53" s="196"/>
      <c r="P53" s="197"/>
      <c r="Q53" s="198"/>
      <c r="R53" s="199"/>
      <c r="S53" s="197"/>
      <c r="T53" s="200"/>
      <c r="U53" s="201"/>
      <c r="V53" s="198"/>
      <c r="W53" s="197"/>
      <c r="X53" s="88"/>
      <c r="Y53" s="202"/>
      <c r="Z53" s="195"/>
      <c r="AA53" s="196"/>
      <c r="AB53" s="197"/>
      <c r="AC53" s="198"/>
      <c r="AD53" s="199"/>
      <c r="AE53" s="197"/>
      <c r="AF53" s="200"/>
      <c r="AG53" s="201"/>
      <c r="AH53" s="198"/>
      <c r="AI53" s="197"/>
      <c r="AJ53" s="88"/>
      <c r="AK53" s="202"/>
      <c r="AL53" s="212"/>
      <c r="AM53" s="221"/>
      <c r="AN53" s="214"/>
      <c r="AO53" s="215"/>
      <c r="AP53" s="222"/>
      <c r="AQ53" s="214"/>
      <c r="AR53" s="215"/>
      <c r="AS53" s="217"/>
      <c r="AT53" s="218"/>
      <c r="AU53" s="219"/>
      <c r="AV53" s="220"/>
      <c r="AW53" s="217"/>
      <c r="AX53" s="259"/>
      <c r="AY53" s="213"/>
      <c r="AZ53" s="260"/>
      <c r="BA53" s="261"/>
      <c r="BB53" s="262"/>
      <c r="BC53" s="260"/>
      <c r="BD53" s="263"/>
      <c r="BE53" s="264"/>
      <c r="BF53" s="261"/>
      <c r="BG53" s="260"/>
      <c r="BH53" s="265"/>
      <c r="BI53" s="266"/>
      <c r="BJ53" s="195"/>
      <c r="BK53" s="196"/>
      <c r="BL53" s="197"/>
      <c r="BM53" s="198"/>
      <c r="BN53" s="199"/>
      <c r="BO53" s="197"/>
      <c r="BP53" s="200"/>
      <c r="BQ53" s="201"/>
      <c r="BR53" s="198"/>
      <c r="BS53" s="197"/>
      <c r="BT53" s="88"/>
      <c r="BU53" s="202"/>
    </row>
    <row r="54" spans="1:73" ht="14.4">
      <c r="A54" s="1233"/>
      <c r="B54" s="552"/>
      <c r="C54" s="553"/>
      <c r="D54" s="539"/>
      <c r="E54" s="540"/>
      <c r="F54" s="541"/>
      <c r="G54" s="539"/>
      <c r="H54" s="540"/>
      <c r="I54" s="777"/>
      <c r="J54" s="542"/>
      <c r="K54" s="543"/>
      <c r="L54" s="539"/>
      <c r="M54" s="540"/>
      <c r="N54" s="223"/>
      <c r="O54" s="224"/>
      <c r="P54" s="225"/>
      <c r="Q54" s="226"/>
      <c r="R54" s="227"/>
      <c r="S54" s="225"/>
      <c r="T54" s="228"/>
      <c r="U54" s="229"/>
      <c r="V54" s="226"/>
      <c r="W54" s="225"/>
      <c r="X54" s="230"/>
      <c r="Y54" s="231"/>
      <c r="Z54" s="223"/>
      <c r="AA54" s="224"/>
      <c r="AB54" s="225"/>
      <c r="AC54" s="226"/>
      <c r="AD54" s="227"/>
      <c r="AE54" s="225"/>
      <c r="AF54" s="228"/>
      <c r="AG54" s="229"/>
      <c r="AH54" s="226"/>
      <c r="AI54" s="225"/>
      <c r="AJ54" s="230"/>
      <c r="AK54" s="231"/>
      <c r="AL54" s="241"/>
      <c r="AM54" s="242"/>
      <c r="AN54" s="243"/>
      <c r="AO54" s="244"/>
      <c r="AP54" s="245"/>
      <c r="AQ54" s="243"/>
      <c r="AR54" s="246"/>
      <c r="AS54" s="246"/>
      <c r="AT54" s="247"/>
      <c r="AU54" s="248"/>
      <c r="AV54" s="243"/>
      <c r="AW54" s="246"/>
      <c r="AX54" s="267"/>
      <c r="AY54" s="268"/>
      <c r="AZ54" s="269"/>
      <c r="BA54" s="270"/>
      <c r="BB54" s="271"/>
      <c r="BC54" s="269"/>
      <c r="BD54" s="272"/>
      <c r="BE54" s="273"/>
      <c r="BF54" s="270"/>
      <c r="BG54" s="269"/>
      <c r="BH54" s="274"/>
      <c r="BI54" s="275"/>
      <c r="BJ54" s="223"/>
      <c r="BK54" s="224"/>
      <c r="BL54" s="225"/>
      <c r="BM54" s="226"/>
      <c r="BN54" s="227"/>
      <c r="BO54" s="225"/>
      <c r="BP54" s="228"/>
      <c r="BQ54" s="229"/>
      <c r="BR54" s="226"/>
      <c r="BS54" s="225"/>
      <c r="BT54" s="230"/>
      <c r="BU54" s="231"/>
    </row>
    <row r="55" spans="1:73" ht="14.4">
      <c r="A55" s="1231">
        <v>9</v>
      </c>
      <c r="B55" s="544"/>
      <c r="C55" s="545"/>
      <c r="D55" s="546"/>
      <c r="E55" s="547"/>
      <c r="F55" s="545"/>
      <c r="G55" s="546"/>
      <c r="H55" s="547"/>
      <c r="I55" s="774"/>
      <c r="J55" s="533"/>
      <c r="K55" s="548"/>
      <c r="L55" s="546"/>
      <c r="M55" s="547"/>
      <c r="N55" s="171"/>
      <c r="O55" s="172"/>
      <c r="P55" s="173"/>
      <c r="Q55" s="174"/>
      <c r="R55" s="175"/>
      <c r="S55" s="173"/>
      <c r="T55" s="176"/>
      <c r="U55" s="177"/>
      <c r="V55" s="174"/>
      <c r="W55" s="173"/>
      <c r="X55" s="178"/>
      <c r="Y55" s="179"/>
      <c r="Z55" s="171"/>
      <c r="AA55" s="172"/>
      <c r="AB55" s="173"/>
      <c r="AC55" s="174"/>
      <c r="AD55" s="175"/>
      <c r="AE55" s="173"/>
      <c r="AF55" s="176"/>
      <c r="AG55" s="177"/>
      <c r="AH55" s="174"/>
      <c r="AI55" s="173"/>
      <c r="AJ55" s="178"/>
      <c r="AK55" s="179"/>
      <c r="AL55" s="189" t="s">
        <v>47</v>
      </c>
      <c r="AM55" s="190">
        <v>1</v>
      </c>
      <c r="AN55" s="191"/>
      <c r="AO55" s="192"/>
      <c r="AP55" s="190"/>
      <c r="AQ55" s="191"/>
      <c r="AR55" s="192">
        <v>1</v>
      </c>
      <c r="AS55" s="192" t="s">
        <v>341</v>
      </c>
      <c r="AT55" s="193" t="s">
        <v>31</v>
      </c>
      <c r="AU55" s="194" t="s">
        <v>342</v>
      </c>
      <c r="AV55" s="191" t="s">
        <v>343</v>
      </c>
      <c r="AW55" s="192" t="s">
        <v>292</v>
      </c>
      <c r="AX55" s="189" t="s">
        <v>47</v>
      </c>
      <c r="AY55" s="190">
        <v>1</v>
      </c>
      <c r="AZ55" s="251"/>
      <c r="BA55" s="252"/>
      <c r="BB55" s="190">
        <v>1</v>
      </c>
      <c r="BC55" s="251"/>
      <c r="BD55" s="254"/>
      <c r="BE55" s="255" t="s">
        <v>244</v>
      </c>
      <c r="BF55" s="192" t="s">
        <v>71</v>
      </c>
      <c r="BG55" s="194" t="s">
        <v>344</v>
      </c>
      <c r="BH55" s="191" t="s">
        <v>291</v>
      </c>
      <c r="BI55" s="192" t="s">
        <v>292</v>
      </c>
      <c r="BJ55" s="189" t="s">
        <v>113</v>
      </c>
      <c r="BK55" s="190">
        <v>1</v>
      </c>
      <c r="BL55" s="251"/>
      <c r="BM55" s="252"/>
      <c r="BN55" s="190"/>
      <c r="BO55" s="190">
        <v>1</v>
      </c>
      <c r="BP55" s="254"/>
      <c r="BQ55" s="255" t="s">
        <v>238</v>
      </c>
      <c r="BR55" s="192" t="s">
        <v>112</v>
      </c>
      <c r="BS55" s="194" t="s">
        <v>345</v>
      </c>
      <c r="BT55" s="191" t="s">
        <v>346</v>
      </c>
      <c r="BU55" s="192" t="s">
        <v>289</v>
      </c>
    </row>
    <row r="56" spans="1:73" ht="14.4">
      <c r="A56" s="1232"/>
      <c r="B56" s="549"/>
      <c r="C56" s="554"/>
      <c r="D56" s="551"/>
      <c r="E56" s="555"/>
      <c r="F56" s="534"/>
      <c r="G56" s="551"/>
      <c r="H56" s="555"/>
      <c r="I56" s="776"/>
      <c r="J56" s="537"/>
      <c r="K56" s="538"/>
      <c r="L56" s="535"/>
      <c r="M56" s="536"/>
      <c r="N56" s="195"/>
      <c r="O56" s="196"/>
      <c r="P56" s="197"/>
      <c r="Q56" s="198"/>
      <c r="R56" s="199"/>
      <c r="S56" s="197"/>
      <c r="T56" s="200"/>
      <c r="U56" s="201"/>
      <c r="V56" s="198"/>
      <c r="W56" s="197"/>
      <c r="X56" s="88"/>
      <c r="Y56" s="202"/>
      <c r="Z56" s="195"/>
      <c r="AA56" s="196"/>
      <c r="AB56" s="197"/>
      <c r="AC56" s="198"/>
      <c r="AD56" s="199"/>
      <c r="AE56" s="197"/>
      <c r="AF56" s="200"/>
      <c r="AG56" s="201"/>
      <c r="AH56" s="198"/>
      <c r="AI56" s="197"/>
      <c r="AJ56" s="88"/>
      <c r="AK56" s="202"/>
      <c r="AL56" s="212" t="s">
        <v>47</v>
      </c>
      <c r="AM56" s="213">
        <v>1</v>
      </c>
      <c r="AN56" s="214"/>
      <c r="AO56" s="215"/>
      <c r="AP56" s="222">
        <v>1</v>
      </c>
      <c r="AQ56" s="214"/>
      <c r="AR56" s="215"/>
      <c r="AS56" s="217" t="s">
        <v>238</v>
      </c>
      <c r="AT56" s="218" t="s">
        <v>31</v>
      </c>
      <c r="AU56" s="219" t="s">
        <v>347</v>
      </c>
      <c r="AV56" s="220" t="s">
        <v>343</v>
      </c>
      <c r="AW56" s="217" t="s">
        <v>292</v>
      </c>
      <c r="AX56" s="331" t="s">
        <v>106</v>
      </c>
      <c r="AY56" s="213"/>
      <c r="AZ56" s="332">
        <v>1</v>
      </c>
      <c r="BA56" s="261"/>
      <c r="BB56" s="262"/>
      <c r="BC56" s="332">
        <v>1</v>
      </c>
      <c r="BD56" s="263"/>
      <c r="BE56" s="264" t="s">
        <v>251</v>
      </c>
      <c r="BF56" s="333" t="s">
        <v>105</v>
      </c>
      <c r="BG56" s="260" t="s">
        <v>348</v>
      </c>
      <c r="BH56" s="332" t="s">
        <v>349</v>
      </c>
      <c r="BI56" s="333" t="s">
        <v>297</v>
      </c>
      <c r="BJ56" s="331"/>
      <c r="BK56" s="213"/>
      <c r="BL56" s="332"/>
      <c r="BM56" s="261"/>
      <c r="BN56" s="262"/>
      <c r="BO56" s="332"/>
      <c r="BP56" s="263"/>
      <c r="BQ56" s="264"/>
      <c r="BR56" s="333"/>
      <c r="BS56" s="260"/>
      <c r="BT56" s="332"/>
      <c r="BU56" s="333"/>
    </row>
    <row r="57" spans="1:73" ht="14.4">
      <c r="A57" s="1232"/>
      <c r="B57" s="549"/>
      <c r="C57" s="550"/>
      <c r="D57" s="551"/>
      <c r="E57" s="555"/>
      <c r="F57" s="556"/>
      <c r="G57" s="551"/>
      <c r="H57" s="536"/>
      <c r="I57" s="776"/>
      <c r="J57" s="537"/>
      <c r="K57" s="538"/>
      <c r="L57" s="535"/>
      <c r="M57" s="536"/>
      <c r="N57" s="195"/>
      <c r="O57" s="196"/>
      <c r="P57" s="197"/>
      <c r="Q57" s="198"/>
      <c r="R57" s="199"/>
      <c r="S57" s="197"/>
      <c r="T57" s="200"/>
      <c r="U57" s="201"/>
      <c r="V57" s="198"/>
      <c r="W57" s="197"/>
      <c r="X57" s="88"/>
      <c r="Y57" s="202"/>
      <c r="Z57" s="195"/>
      <c r="AA57" s="196"/>
      <c r="AB57" s="197"/>
      <c r="AC57" s="198"/>
      <c r="AD57" s="199"/>
      <c r="AE57" s="197"/>
      <c r="AF57" s="200"/>
      <c r="AG57" s="201"/>
      <c r="AH57" s="198"/>
      <c r="AI57" s="197"/>
      <c r="AJ57" s="88"/>
      <c r="AK57" s="202"/>
      <c r="AL57" s="212"/>
      <c r="AM57" s="221"/>
      <c r="AN57" s="214"/>
      <c r="AO57" s="215"/>
      <c r="AP57" s="222"/>
      <c r="AQ57" s="214"/>
      <c r="AR57" s="215"/>
      <c r="AS57" s="217"/>
      <c r="AT57" s="218"/>
      <c r="AU57" s="219"/>
      <c r="AV57" s="220"/>
      <c r="AW57" s="217"/>
      <c r="AX57" s="331" t="s">
        <v>72</v>
      </c>
      <c r="AY57" s="213"/>
      <c r="AZ57" s="332">
        <v>1</v>
      </c>
      <c r="BA57" s="261"/>
      <c r="BB57" s="213">
        <v>1</v>
      </c>
      <c r="BC57" s="260"/>
      <c r="BD57" s="263"/>
      <c r="BE57" s="264" t="s">
        <v>251</v>
      </c>
      <c r="BF57" s="333" t="s">
        <v>80</v>
      </c>
      <c r="BG57" s="260" t="s">
        <v>350</v>
      </c>
      <c r="BH57" s="332" t="s">
        <v>329</v>
      </c>
      <c r="BI57" s="333" t="s">
        <v>257</v>
      </c>
      <c r="BJ57" s="331"/>
      <c r="BK57" s="213"/>
      <c r="BL57" s="332"/>
      <c r="BM57" s="261"/>
      <c r="BN57" s="213"/>
      <c r="BO57" s="260"/>
      <c r="BP57" s="263"/>
      <c r="BQ57" s="264"/>
      <c r="BR57" s="333"/>
      <c r="BS57" s="260"/>
      <c r="BT57" s="332"/>
      <c r="BU57" s="333"/>
    </row>
    <row r="58" spans="1:73" ht="14.4">
      <c r="A58" s="1233"/>
      <c r="B58" s="557"/>
      <c r="C58" s="553"/>
      <c r="D58" s="539"/>
      <c r="E58" s="558"/>
      <c r="F58" s="559"/>
      <c r="G58" s="539"/>
      <c r="H58" s="540"/>
      <c r="I58" s="777"/>
      <c r="J58" s="542"/>
      <c r="K58" s="543"/>
      <c r="L58" s="539"/>
      <c r="M58" s="540"/>
      <c r="N58" s="223"/>
      <c r="O58" s="224"/>
      <c r="P58" s="225"/>
      <c r="Q58" s="226"/>
      <c r="R58" s="227"/>
      <c r="S58" s="225"/>
      <c r="T58" s="228"/>
      <c r="U58" s="229"/>
      <c r="V58" s="226"/>
      <c r="W58" s="225"/>
      <c r="X58" s="230"/>
      <c r="Y58" s="231"/>
      <c r="Z58" s="223"/>
      <c r="AA58" s="224"/>
      <c r="AB58" s="225"/>
      <c r="AC58" s="226"/>
      <c r="AD58" s="227"/>
      <c r="AE58" s="225"/>
      <c r="AF58" s="228"/>
      <c r="AG58" s="229"/>
      <c r="AH58" s="226"/>
      <c r="AI58" s="225"/>
      <c r="AJ58" s="230"/>
      <c r="AK58" s="231"/>
      <c r="AL58" s="241"/>
      <c r="AM58" s="242"/>
      <c r="AN58" s="243"/>
      <c r="AO58" s="244"/>
      <c r="AP58" s="245"/>
      <c r="AQ58" s="243"/>
      <c r="AR58" s="246"/>
      <c r="AS58" s="246"/>
      <c r="AT58" s="247"/>
      <c r="AU58" s="248"/>
      <c r="AV58" s="243"/>
      <c r="AW58" s="246"/>
      <c r="AX58" s="267"/>
      <c r="AY58" s="268"/>
      <c r="AZ58" s="269"/>
      <c r="BA58" s="270"/>
      <c r="BB58" s="271"/>
      <c r="BC58" s="269"/>
      <c r="BD58" s="272"/>
      <c r="BE58" s="273"/>
      <c r="BF58" s="270"/>
      <c r="BG58" s="269"/>
      <c r="BH58" s="274"/>
      <c r="BI58" s="275"/>
      <c r="BJ58" s="267"/>
      <c r="BK58" s="268"/>
      <c r="BL58" s="269"/>
      <c r="BM58" s="270"/>
      <c r="BN58" s="271"/>
      <c r="BO58" s="269"/>
      <c r="BP58" s="272"/>
      <c r="BQ58" s="273"/>
      <c r="BR58" s="270"/>
      <c r="BS58" s="269"/>
      <c r="BT58" s="274"/>
      <c r="BU58" s="275"/>
    </row>
    <row r="59" spans="1:73" ht="14.4">
      <c r="A59" s="1231">
        <v>10</v>
      </c>
      <c r="B59" s="597"/>
      <c r="C59" s="629"/>
      <c r="D59" s="630"/>
      <c r="E59" s="631"/>
      <c r="F59" s="629"/>
      <c r="G59" s="630"/>
      <c r="H59" s="631"/>
      <c r="I59" s="778"/>
      <c r="J59" s="597"/>
      <c r="K59" s="632"/>
      <c r="L59" s="630"/>
      <c r="M59" s="631"/>
      <c r="N59" s="189" t="s">
        <v>86</v>
      </c>
      <c r="O59" s="190">
        <v>1</v>
      </c>
      <c r="P59" s="191"/>
      <c r="Q59" s="192"/>
      <c r="R59" s="190"/>
      <c r="S59" s="191"/>
      <c r="T59" s="192">
        <v>1</v>
      </c>
      <c r="U59" s="192" t="s">
        <v>238</v>
      </c>
      <c r="V59" s="193" t="s">
        <v>91</v>
      </c>
      <c r="W59" s="194" t="s">
        <v>351</v>
      </c>
      <c r="X59" s="191" t="s">
        <v>352</v>
      </c>
      <c r="Y59" s="192" t="s">
        <v>278</v>
      </c>
      <c r="Z59" s="189" t="s">
        <v>46</v>
      </c>
      <c r="AA59" s="190">
        <v>1</v>
      </c>
      <c r="AB59" s="191"/>
      <c r="AC59" s="192"/>
      <c r="AD59" s="190">
        <v>1</v>
      </c>
      <c r="AE59" s="191"/>
      <c r="AF59" s="192"/>
      <c r="AG59" s="192" t="s">
        <v>269</v>
      </c>
      <c r="AH59" s="193" t="s">
        <v>50</v>
      </c>
      <c r="AI59" s="194" t="s">
        <v>353</v>
      </c>
      <c r="AJ59" s="191" t="s">
        <v>305</v>
      </c>
      <c r="AK59" s="192" t="s">
        <v>306</v>
      </c>
      <c r="AL59" s="189" t="s">
        <v>67</v>
      </c>
      <c r="AM59" s="190">
        <v>1</v>
      </c>
      <c r="AN59" s="191"/>
      <c r="AO59" s="192"/>
      <c r="AP59" s="190">
        <v>1</v>
      </c>
      <c r="AQ59" s="191"/>
      <c r="AR59" s="192"/>
      <c r="AS59" s="192" t="s">
        <v>238</v>
      </c>
      <c r="AT59" s="193" t="s">
        <v>66</v>
      </c>
      <c r="AU59" s="194" t="s">
        <v>354</v>
      </c>
      <c r="AV59" s="191" t="s">
        <v>339</v>
      </c>
      <c r="AW59" s="192" t="s">
        <v>250</v>
      </c>
      <c r="AX59" s="301"/>
      <c r="AY59" s="302"/>
      <c r="AZ59" s="303"/>
      <c r="BA59" s="304"/>
      <c r="BB59" s="302"/>
      <c r="BC59" s="303"/>
      <c r="BD59" s="304"/>
      <c r="BE59" s="304"/>
      <c r="BF59" s="305"/>
      <c r="BG59" s="306"/>
      <c r="BH59" s="303"/>
      <c r="BI59" s="304"/>
      <c r="BJ59" s="189"/>
      <c r="BK59" s="190"/>
      <c r="BL59" s="191"/>
      <c r="BM59" s="192"/>
      <c r="BN59" s="190"/>
      <c r="BO59" s="191"/>
      <c r="BP59" s="192"/>
      <c r="BQ59" s="192"/>
      <c r="BR59" s="193"/>
      <c r="BS59" s="194"/>
      <c r="BT59" s="191"/>
      <c r="BU59" s="192"/>
    </row>
    <row r="60" spans="1:73" ht="14.4">
      <c r="A60" s="1232"/>
      <c r="B60" s="633"/>
      <c r="C60" s="634"/>
      <c r="D60" s="635"/>
      <c r="E60" s="636"/>
      <c r="F60" s="604"/>
      <c r="G60" s="635"/>
      <c r="H60" s="636"/>
      <c r="I60" s="779"/>
      <c r="J60" s="607"/>
      <c r="K60" s="608"/>
      <c r="L60" s="605"/>
      <c r="M60" s="606"/>
      <c r="N60" s="212"/>
      <c r="O60" s="221"/>
      <c r="P60" s="214"/>
      <c r="Q60" s="217"/>
      <c r="R60" s="216"/>
      <c r="S60" s="214"/>
      <c r="T60" s="215"/>
      <c r="U60" s="217"/>
      <c r="V60" s="218"/>
      <c r="W60" s="219"/>
      <c r="X60" s="220"/>
      <c r="Y60" s="217"/>
      <c r="Z60" s="212"/>
      <c r="AA60" s="221"/>
      <c r="AB60" s="214"/>
      <c r="AC60" s="217"/>
      <c r="AD60" s="216"/>
      <c r="AE60" s="214"/>
      <c r="AF60" s="215"/>
      <c r="AG60" s="217"/>
      <c r="AH60" s="218"/>
      <c r="AI60" s="219"/>
      <c r="AJ60" s="220"/>
      <c r="AK60" s="217"/>
      <c r="AL60" s="212"/>
      <c r="AM60" s="221"/>
      <c r="AN60" s="214"/>
      <c r="AO60" s="217"/>
      <c r="AP60" s="216"/>
      <c r="AQ60" s="214"/>
      <c r="AR60" s="215"/>
      <c r="AS60" s="217"/>
      <c r="AT60" s="218"/>
      <c r="AU60" s="219"/>
      <c r="AV60" s="220"/>
      <c r="AW60" s="217"/>
      <c r="AX60" s="307"/>
      <c r="AY60" s="315"/>
      <c r="AZ60" s="308"/>
      <c r="BA60" s="311"/>
      <c r="BB60" s="334"/>
      <c r="BC60" s="308"/>
      <c r="BD60" s="309"/>
      <c r="BE60" s="311"/>
      <c r="BF60" s="312"/>
      <c r="BG60" s="313"/>
      <c r="BH60" s="314"/>
      <c r="BI60" s="311"/>
      <c r="BJ60" s="212"/>
      <c r="BK60" s="221"/>
      <c r="BL60" s="214"/>
      <c r="BM60" s="217"/>
      <c r="BN60" s="216"/>
      <c r="BO60" s="214"/>
      <c r="BP60" s="215"/>
      <c r="BQ60" s="217"/>
      <c r="BR60" s="218"/>
      <c r="BS60" s="219"/>
      <c r="BT60" s="220"/>
      <c r="BU60" s="217"/>
    </row>
    <row r="61" spans="1:73" ht="14.4">
      <c r="A61" s="1232"/>
      <c r="B61" s="633"/>
      <c r="C61" s="638"/>
      <c r="D61" s="635"/>
      <c r="E61" s="636"/>
      <c r="F61" s="637"/>
      <c r="G61" s="635"/>
      <c r="H61" s="606"/>
      <c r="I61" s="779"/>
      <c r="J61" s="607"/>
      <c r="K61" s="608"/>
      <c r="L61" s="605"/>
      <c r="M61" s="606"/>
      <c r="N61" s="212"/>
      <c r="O61" s="221"/>
      <c r="P61" s="214"/>
      <c r="Q61" s="217"/>
      <c r="R61" s="216"/>
      <c r="S61" s="214"/>
      <c r="T61" s="217"/>
      <c r="U61" s="217"/>
      <c r="V61" s="218"/>
      <c r="W61" s="219"/>
      <c r="X61" s="220"/>
      <c r="Y61" s="217"/>
      <c r="Z61" s="212"/>
      <c r="AA61" s="221"/>
      <c r="AB61" s="214"/>
      <c r="AC61" s="217"/>
      <c r="AD61" s="216"/>
      <c r="AE61" s="214"/>
      <c r="AF61" s="217"/>
      <c r="AG61" s="217"/>
      <c r="AH61" s="218"/>
      <c r="AI61" s="219"/>
      <c r="AJ61" s="220"/>
      <c r="AK61" s="217"/>
      <c r="AL61" s="212"/>
      <c r="AM61" s="221"/>
      <c r="AN61" s="214"/>
      <c r="AO61" s="217"/>
      <c r="AP61" s="216"/>
      <c r="AQ61" s="214"/>
      <c r="AR61" s="217"/>
      <c r="AS61" s="217"/>
      <c r="AT61" s="218"/>
      <c r="AU61" s="219"/>
      <c r="AV61" s="220"/>
      <c r="AW61" s="217"/>
      <c r="AX61" s="307"/>
      <c r="AY61" s="315"/>
      <c r="AZ61" s="308"/>
      <c r="BA61" s="311"/>
      <c r="BB61" s="334"/>
      <c r="BC61" s="308"/>
      <c r="BD61" s="311"/>
      <c r="BE61" s="311"/>
      <c r="BF61" s="312"/>
      <c r="BG61" s="313"/>
      <c r="BH61" s="314"/>
      <c r="BI61" s="311"/>
      <c r="BJ61" s="212"/>
      <c r="BK61" s="221"/>
      <c r="BL61" s="214"/>
      <c r="BM61" s="217"/>
      <c r="BN61" s="216"/>
      <c r="BO61" s="214"/>
      <c r="BP61" s="217"/>
      <c r="BQ61" s="217"/>
      <c r="BR61" s="218"/>
      <c r="BS61" s="219"/>
      <c r="BT61" s="220"/>
      <c r="BU61" s="217"/>
    </row>
    <row r="62" spans="1:73" ht="15" thickBot="1">
      <c r="A62" s="1233"/>
      <c r="B62" s="639"/>
      <c r="C62" s="640"/>
      <c r="D62" s="611"/>
      <c r="E62" s="641"/>
      <c r="F62" s="642"/>
      <c r="G62" s="611"/>
      <c r="H62" s="612"/>
      <c r="I62" s="780"/>
      <c r="J62" s="614"/>
      <c r="K62" s="615"/>
      <c r="L62" s="611"/>
      <c r="M62" s="612"/>
      <c r="N62" s="327"/>
      <c r="O62" s="242"/>
      <c r="P62" s="243"/>
      <c r="Q62" s="246"/>
      <c r="R62" s="325"/>
      <c r="S62" s="243"/>
      <c r="T62" s="246"/>
      <c r="U62" s="326"/>
      <c r="V62" s="247"/>
      <c r="W62" s="248"/>
      <c r="X62" s="243"/>
      <c r="Y62" s="246"/>
      <c r="Z62" s="327"/>
      <c r="AA62" s="242"/>
      <c r="AB62" s="243"/>
      <c r="AC62" s="246"/>
      <c r="AD62" s="325"/>
      <c r="AE62" s="243"/>
      <c r="AF62" s="246"/>
      <c r="AG62" s="326"/>
      <c r="AH62" s="247"/>
      <c r="AI62" s="248"/>
      <c r="AJ62" s="243"/>
      <c r="AK62" s="246"/>
      <c r="AL62" s="327"/>
      <c r="AM62" s="242"/>
      <c r="AN62" s="243"/>
      <c r="AO62" s="246"/>
      <c r="AP62" s="325"/>
      <c r="AQ62" s="243"/>
      <c r="AR62" s="246"/>
      <c r="AS62" s="326"/>
      <c r="AT62" s="247"/>
      <c r="AU62" s="248"/>
      <c r="AV62" s="243"/>
      <c r="AW62" s="246"/>
      <c r="AX62" s="335"/>
      <c r="AY62" s="317"/>
      <c r="AZ62" s="318"/>
      <c r="BA62" s="321"/>
      <c r="BB62" s="336"/>
      <c r="BC62" s="318"/>
      <c r="BD62" s="321"/>
      <c r="BE62" s="337"/>
      <c r="BF62" s="322"/>
      <c r="BG62" s="323"/>
      <c r="BH62" s="318"/>
      <c r="BI62" s="321"/>
      <c r="BJ62" s="327"/>
      <c r="BK62" s="242"/>
      <c r="BL62" s="243"/>
      <c r="BM62" s="246"/>
      <c r="BN62" s="325"/>
      <c r="BO62" s="243"/>
      <c r="BP62" s="246"/>
      <c r="BQ62" s="326"/>
      <c r="BR62" s="247"/>
      <c r="BS62" s="248"/>
      <c r="BT62" s="243"/>
      <c r="BU62" s="246"/>
    </row>
    <row r="63" spans="1:73" ht="14.4">
      <c r="A63" s="1231">
        <v>11</v>
      </c>
      <c r="B63" s="567" t="s">
        <v>538</v>
      </c>
      <c r="C63" s="560"/>
      <c r="D63" s="561"/>
      <c r="E63" s="567">
        <v>1</v>
      </c>
      <c r="F63" s="697">
        <v>1</v>
      </c>
      <c r="G63" s="701"/>
      <c r="H63" s="698"/>
      <c r="I63" s="796" t="s">
        <v>341</v>
      </c>
      <c r="J63" s="563"/>
      <c r="K63" s="564"/>
      <c r="L63" s="561"/>
      <c r="M63" s="562"/>
      <c r="N63" s="189" t="s">
        <v>261</v>
      </c>
      <c r="O63" s="190"/>
      <c r="P63" s="191"/>
      <c r="Q63" s="192"/>
      <c r="R63" s="190"/>
      <c r="S63" s="191"/>
      <c r="T63" s="192"/>
      <c r="U63" s="192"/>
      <c r="V63" s="193"/>
      <c r="W63" s="194"/>
      <c r="X63" s="191"/>
      <c r="Y63" s="192"/>
      <c r="Z63" s="189" t="s">
        <v>261</v>
      </c>
      <c r="AA63" s="190"/>
      <c r="AB63" s="191"/>
      <c r="AC63" s="192"/>
      <c r="AD63" s="190"/>
      <c r="AE63" s="191"/>
      <c r="AF63" s="192"/>
      <c r="AG63" s="192"/>
      <c r="AH63" s="193"/>
      <c r="AI63" s="194"/>
      <c r="AJ63" s="191"/>
      <c r="AK63" s="192"/>
      <c r="AL63" s="189" t="s">
        <v>46</v>
      </c>
      <c r="AM63" s="190">
        <v>1</v>
      </c>
      <c r="AN63" s="191"/>
      <c r="AO63" s="192"/>
      <c r="AP63" s="190"/>
      <c r="AQ63" s="191"/>
      <c r="AR63" s="192">
        <v>1</v>
      </c>
      <c r="AS63" s="192" t="s">
        <v>244</v>
      </c>
      <c r="AT63" s="193" t="s">
        <v>102</v>
      </c>
      <c r="AU63" s="194" t="s">
        <v>355</v>
      </c>
      <c r="AV63" s="191" t="s">
        <v>356</v>
      </c>
      <c r="AW63" s="192" t="s">
        <v>254</v>
      </c>
      <c r="AX63" s="301"/>
      <c r="AY63" s="302"/>
      <c r="AZ63" s="303"/>
      <c r="BA63" s="304"/>
      <c r="BB63" s="302"/>
      <c r="BC63" s="303"/>
      <c r="BD63" s="304"/>
      <c r="BE63" s="304"/>
      <c r="BF63" s="305"/>
      <c r="BG63" s="306"/>
      <c r="BH63" s="303"/>
      <c r="BI63" s="304"/>
      <c r="BJ63" s="189"/>
      <c r="BK63" s="190"/>
      <c r="BL63" s="191"/>
      <c r="BM63" s="192"/>
      <c r="BN63" s="190"/>
      <c r="BO63" s="191"/>
      <c r="BP63" s="192"/>
      <c r="BQ63" s="192"/>
      <c r="BR63" s="193"/>
      <c r="BS63" s="194"/>
      <c r="BT63" s="191"/>
      <c r="BU63" s="192"/>
    </row>
    <row r="64" spans="1:73" ht="14.4">
      <c r="A64" s="1239"/>
      <c r="B64" s="567" t="s">
        <v>539</v>
      </c>
      <c r="C64" s="690"/>
      <c r="D64" s="691"/>
      <c r="E64" s="567">
        <v>1</v>
      </c>
      <c r="F64" s="697"/>
      <c r="G64" s="700">
        <v>1</v>
      </c>
      <c r="H64" s="699"/>
      <c r="I64" s="797" t="s">
        <v>341</v>
      </c>
      <c r="J64" s="693"/>
      <c r="K64" s="694"/>
      <c r="L64" s="691"/>
      <c r="M64" s="692"/>
      <c r="N64" s="212"/>
      <c r="O64" s="213"/>
      <c r="P64" s="332"/>
      <c r="Q64" s="333"/>
      <c r="R64" s="213"/>
      <c r="S64" s="332"/>
      <c r="T64" s="333"/>
      <c r="U64" s="333"/>
      <c r="V64" s="331"/>
      <c r="W64" s="260"/>
      <c r="X64" s="332"/>
      <c r="Y64" s="333"/>
      <c r="Z64" s="212"/>
      <c r="AA64" s="213"/>
      <c r="AB64" s="332"/>
      <c r="AC64" s="333"/>
      <c r="AD64" s="213"/>
      <c r="AE64" s="332"/>
      <c r="AF64" s="333"/>
      <c r="AG64" s="333"/>
      <c r="AH64" s="331"/>
      <c r="AI64" s="260"/>
      <c r="AJ64" s="332"/>
      <c r="AK64" s="333"/>
      <c r="AL64" s="212"/>
      <c r="AM64" s="213"/>
      <c r="AN64" s="332"/>
      <c r="AO64" s="333"/>
      <c r="AP64" s="213"/>
      <c r="AQ64" s="332"/>
      <c r="AR64" s="333"/>
      <c r="AS64" s="333"/>
      <c r="AT64" s="331"/>
      <c r="AU64" s="260"/>
      <c r="AV64" s="332"/>
      <c r="AW64" s="333"/>
      <c r="AX64" s="307"/>
      <c r="AY64" s="204"/>
      <c r="AZ64" s="695"/>
      <c r="BA64" s="696"/>
      <c r="BB64" s="204"/>
      <c r="BC64" s="695"/>
      <c r="BD64" s="696"/>
      <c r="BE64" s="696"/>
      <c r="BF64" s="356"/>
      <c r="BG64" s="205"/>
      <c r="BH64" s="695"/>
      <c r="BI64" s="696"/>
      <c r="BJ64" s="212"/>
      <c r="BK64" s="213"/>
      <c r="BL64" s="332"/>
      <c r="BM64" s="333"/>
      <c r="BN64" s="213"/>
      <c r="BO64" s="332"/>
      <c r="BP64" s="333"/>
      <c r="BQ64" s="333"/>
      <c r="BR64" s="331"/>
      <c r="BS64" s="260"/>
      <c r="BT64" s="332"/>
      <c r="BU64" s="333"/>
    </row>
    <row r="65" spans="1:73" ht="14.4">
      <c r="A65" s="1239"/>
      <c r="B65" s="567" t="s">
        <v>540</v>
      </c>
      <c r="C65" s="690"/>
      <c r="D65" s="691"/>
      <c r="E65" s="567">
        <v>1</v>
      </c>
      <c r="F65" s="697">
        <v>1</v>
      </c>
      <c r="G65" s="700"/>
      <c r="H65" s="699"/>
      <c r="I65" s="797" t="s">
        <v>341</v>
      </c>
      <c r="J65" s="693"/>
      <c r="K65" s="694"/>
      <c r="L65" s="691"/>
      <c r="M65" s="692"/>
      <c r="N65" s="212"/>
      <c r="O65" s="213"/>
      <c r="P65" s="332"/>
      <c r="Q65" s="333"/>
      <c r="R65" s="213"/>
      <c r="S65" s="332"/>
      <c r="T65" s="333"/>
      <c r="U65" s="333"/>
      <c r="V65" s="331"/>
      <c r="W65" s="260"/>
      <c r="X65" s="332"/>
      <c r="Y65" s="333"/>
      <c r="Z65" s="212"/>
      <c r="AA65" s="213"/>
      <c r="AB65" s="332"/>
      <c r="AC65" s="333"/>
      <c r="AD65" s="213"/>
      <c r="AE65" s="332"/>
      <c r="AF65" s="333"/>
      <c r="AG65" s="333"/>
      <c r="AH65" s="331"/>
      <c r="AI65" s="260"/>
      <c r="AJ65" s="332"/>
      <c r="AK65" s="333"/>
      <c r="AL65" s="212"/>
      <c r="AM65" s="213"/>
      <c r="AN65" s="332"/>
      <c r="AO65" s="333"/>
      <c r="AP65" s="213"/>
      <c r="AQ65" s="332"/>
      <c r="AR65" s="333"/>
      <c r="AS65" s="333"/>
      <c r="AT65" s="331"/>
      <c r="AU65" s="260"/>
      <c r="AV65" s="332"/>
      <c r="AW65" s="333"/>
      <c r="AX65" s="307"/>
      <c r="AY65" s="204"/>
      <c r="AZ65" s="695"/>
      <c r="BA65" s="696"/>
      <c r="BB65" s="204"/>
      <c r="BC65" s="695"/>
      <c r="BD65" s="696"/>
      <c r="BE65" s="696"/>
      <c r="BF65" s="356"/>
      <c r="BG65" s="205"/>
      <c r="BH65" s="695"/>
      <c r="BI65" s="696"/>
      <c r="BJ65" s="212"/>
      <c r="BK65" s="213"/>
      <c r="BL65" s="332"/>
      <c r="BM65" s="333"/>
      <c r="BN65" s="213"/>
      <c r="BO65" s="332"/>
      <c r="BP65" s="333"/>
      <c r="BQ65" s="333"/>
      <c r="BR65" s="331"/>
      <c r="BS65" s="260"/>
      <c r="BT65" s="332"/>
      <c r="BU65" s="333"/>
    </row>
    <row r="66" spans="1:73" ht="14.4">
      <c r="A66" s="1239"/>
      <c r="B66" s="567" t="s">
        <v>541</v>
      </c>
      <c r="C66" s="690"/>
      <c r="D66" s="691"/>
      <c r="E66" s="567">
        <v>1</v>
      </c>
      <c r="F66" s="697"/>
      <c r="G66" s="700">
        <v>1</v>
      </c>
      <c r="H66" s="699"/>
      <c r="I66" s="797" t="s">
        <v>341</v>
      </c>
      <c r="J66" s="693"/>
      <c r="K66" s="694"/>
      <c r="L66" s="691"/>
      <c r="M66" s="692"/>
      <c r="N66" s="212"/>
      <c r="O66" s="213"/>
      <c r="P66" s="332"/>
      <c r="Q66" s="333"/>
      <c r="R66" s="213"/>
      <c r="S66" s="332"/>
      <c r="T66" s="333"/>
      <c r="U66" s="333"/>
      <c r="V66" s="331"/>
      <c r="W66" s="260"/>
      <c r="X66" s="332"/>
      <c r="Y66" s="333"/>
      <c r="Z66" s="212"/>
      <c r="AA66" s="213"/>
      <c r="AB66" s="332"/>
      <c r="AC66" s="333"/>
      <c r="AD66" s="213"/>
      <c r="AE66" s="332"/>
      <c r="AF66" s="333"/>
      <c r="AG66" s="333"/>
      <c r="AH66" s="331"/>
      <c r="AI66" s="260"/>
      <c r="AJ66" s="332"/>
      <c r="AK66" s="333"/>
      <c r="AL66" s="212"/>
      <c r="AM66" s="213"/>
      <c r="AN66" s="332"/>
      <c r="AO66" s="333"/>
      <c r="AP66" s="213"/>
      <c r="AQ66" s="332"/>
      <c r="AR66" s="333"/>
      <c r="AS66" s="333"/>
      <c r="AT66" s="331"/>
      <c r="AU66" s="260"/>
      <c r="AV66" s="332"/>
      <c r="AW66" s="333"/>
      <c r="AX66" s="307"/>
      <c r="AY66" s="204"/>
      <c r="AZ66" s="695"/>
      <c r="BA66" s="696"/>
      <c r="BB66" s="204"/>
      <c r="BC66" s="695"/>
      <c r="BD66" s="696"/>
      <c r="BE66" s="696"/>
      <c r="BF66" s="356"/>
      <c r="BG66" s="205"/>
      <c r="BH66" s="695"/>
      <c r="BI66" s="696"/>
      <c r="BJ66" s="212"/>
      <c r="BK66" s="213"/>
      <c r="BL66" s="332"/>
      <c r="BM66" s="333"/>
      <c r="BN66" s="213"/>
      <c r="BO66" s="332"/>
      <c r="BP66" s="333"/>
      <c r="BQ66" s="333"/>
      <c r="BR66" s="331"/>
      <c r="BS66" s="260"/>
      <c r="BT66" s="332"/>
      <c r="BU66" s="333"/>
    </row>
    <row r="67" spans="1:73" ht="14.4">
      <c r="A67" s="1232"/>
      <c r="B67" s="567" t="s">
        <v>542</v>
      </c>
      <c r="C67" s="491"/>
      <c r="D67" s="566"/>
      <c r="E67" s="567">
        <v>1</v>
      </c>
      <c r="F67" s="697"/>
      <c r="G67" s="700">
        <v>1</v>
      </c>
      <c r="H67" s="699"/>
      <c r="I67" s="731" t="s">
        <v>341</v>
      </c>
      <c r="J67" s="568"/>
      <c r="K67" s="492"/>
      <c r="L67" s="566"/>
      <c r="M67" s="567"/>
      <c r="N67" s="212"/>
      <c r="O67" s="221"/>
      <c r="P67" s="214"/>
      <c r="Q67" s="217"/>
      <c r="R67" s="216"/>
      <c r="S67" s="214"/>
      <c r="T67" s="215"/>
      <c r="U67" s="217"/>
      <c r="V67" s="218"/>
      <c r="W67" s="219"/>
      <c r="X67" s="220"/>
      <c r="Y67" s="217"/>
      <c r="Z67" s="212"/>
      <c r="AA67" s="221"/>
      <c r="AB67" s="214"/>
      <c r="AC67" s="217"/>
      <c r="AD67" s="216"/>
      <c r="AE67" s="214"/>
      <c r="AF67" s="215"/>
      <c r="AG67" s="217"/>
      <c r="AH67" s="218"/>
      <c r="AI67" s="219"/>
      <c r="AJ67" s="220"/>
      <c r="AK67" s="217"/>
      <c r="AL67" s="212"/>
      <c r="AM67" s="221"/>
      <c r="AN67" s="214"/>
      <c r="AO67" s="217"/>
      <c r="AP67" s="216"/>
      <c r="AQ67" s="214"/>
      <c r="AR67" s="215"/>
      <c r="AS67" s="217"/>
      <c r="AT67" s="218"/>
      <c r="AU67" s="219"/>
      <c r="AV67" s="220"/>
      <c r="AW67" s="217"/>
      <c r="AX67" s="307"/>
      <c r="AY67" s="315"/>
      <c r="AZ67" s="308"/>
      <c r="BA67" s="311"/>
      <c r="BB67" s="334"/>
      <c r="BC67" s="308"/>
      <c r="BD67" s="309"/>
      <c r="BE67" s="311"/>
      <c r="BF67" s="312"/>
      <c r="BG67" s="313"/>
      <c r="BH67" s="314"/>
      <c r="BI67" s="311"/>
      <c r="BJ67" s="212"/>
      <c r="BK67" s="221"/>
      <c r="BL67" s="214"/>
      <c r="BM67" s="217"/>
      <c r="BN67" s="216"/>
      <c r="BO67" s="214"/>
      <c r="BP67" s="215"/>
      <c r="BQ67" s="217"/>
      <c r="BR67" s="218"/>
      <c r="BS67" s="219"/>
      <c r="BT67" s="220"/>
      <c r="BU67" s="217"/>
    </row>
    <row r="68" spans="1:73" ht="14.4">
      <c r="A68" s="1232"/>
      <c r="B68" s="567" t="s">
        <v>544</v>
      </c>
      <c r="C68" s="491">
        <v>1</v>
      </c>
      <c r="D68" s="566"/>
      <c r="E68" s="567"/>
      <c r="F68" s="697">
        <v>1</v>
      </c>
      <c r="G68" s="700"/>
      <c r="H68" s="699"/>
      <c r="I68" s="731" t="s">
        <v>238</v>
      </c>
      <c r="J68" s="729" t="s">
        <v>543</v>
      </c>
      <c r="K68" s="492" t="s">
        <v>545</v>
      </c>
      <c r="L68" s="566" t="s">
        <v>546</v>
      </c>
      <c r="M68" s="567" t="s">
        <v>547</v>
      </c>
      <c r="N68" s="212"/>
      <c r="O68" s="221"/>
      <c r="P68" s="214"/>
      <c r="Q68" s="217"/>
      <c r="R68" s="216"/>
      <c r="S68" s="214"/>
      <c r="T68" s="217"/>
      <c r="U68" s="217"/>
      <c r="V68" s="218"/>
      <c r="W68" s="219"/>
      <c r="X68" s="220"/>
      <c r="Y68" s="217"/>
      <c r="Z68" s="212"/>
      <c r="AA68" s="221"/>
      <c r="AB68" s="214"/>
      <c r="AC68" s="217"/>
      <c r="AD68" s="216"/>
      <c r="AE68" s="214"/>
      <c r="AF68" s="217"/>
      <c r="AG68" s="217"/>
      <c r="AH68" s="218"/>
      <c r="AI68" s="219"/>
      <c r="AJ68" s="220"/>
      <c r="AK68" s="217"/>
      <c r="AL68" s="212"/>
      <c r="AM68" s="221"/>
      <c r="AN68" s="214"/>
      <c r="AO68" s="217"/>
      <c r="AP68" s="216"/>
      <c r="AQ68" s="214"/>
      <c r="AR68" s="217"/>
      <c r="AS68" s="217"/>
      <c r="AT68" s="218"/>
      <c r="AU68" s="219"/>
      <c r="AV68" s="220"/>
      <c r="AW68" s="217"/>
      <c r="AX68" s="307"/>
      <c r="AY68" s="315"/>
      <c r="AZ68" s="308"/>
      <c r="BA68" s="311"/>
      <c r="BB68" s="334"/>
      <c r="BC68" s="308"/>
      <c r="BD68" s="311"/>
      <c r="BE68" s="311"/>
      <c r="BF68" s="312"/>
      <c r="BG68" s="313"/>
      <c r="BH68" s="314"/>
      <c r="BI68" s="311"/>
      <c r="BJ68" s="212"/>
      <c r="BK68" s="221"/>
      <c r="BL68" s="214"/>
      <c r="BM68" s="217"/>
      <c r="BN68" s="216"/>
      <c r="BO68" s="214"/>
      <c r="BP68" s="217"/>
      <c r="BQ68" s="217"/>
      <c r="BR68" s="218"/>
      <c r="BS68" s="219"/>
      <c r="BT68" s="220"/>
      <c r="BU68" s="217"/>
    </row>
    <row r="69" spans="1:73" ht="15" thickBot="1">
      <c r="A69" s="1233"/>
      <c r="B69" s="569"/>
      <c r="C69" s="500"/>
      <c r="D69" s="570"/>
      <c r="E69" s="571"/>
      <c r="F69" s="500"/>
      <c r="G69" s="570"/>
      <c r="H69" s="571"/>
      <c r="I69" s="791"/>
      <c r="J69" s="572"/>
      <c r="K69" s="501"/>
      <c r="L69" s="570"/>
      <c r="M69" s="571"/>
      <c r="N69" s="327"/>
      <c r="O69" s="242"/>
      <c r="P69" s="243"/>
      <c r="Q69" s="246"/>
      <c r="R69" s="325"/>
      <c r="S69" s="243"/>
      <c r="T69" s="246"/>
      <c r="U69" s="326"/>
      <c r="V69" s="247"/>
      <c r="W69" s="248"/>
      <c r="X69" s="243"/>
      <c r="Y69" s="246"/>
      <c r="Z69" s="327"/>
      <c r="AA69" s="242"/>
      <c r="AB69" s="243"/>
      <c r="AC69" s="246"/>
      <c r="AD69" s="325"/>
      <c r="AE69" s="243"/>
      <c r="AF69" s="246"/>
      <c r="AG69" s="326"/>
      <c r="AH69" s="247"/>
      <c r="AI69" s="248"/>
      <c r="AJ69" s="243"/>
      <c r="AK69" s="246"/>
      <c r="AL69" s="327"/>
      <c r="AM69" s="242"/>
      <c r="AN69" s="243"/>
      <c r="AO69" s="246"/>
      <c r="AP69" s="325"/>
      <c r="AQ69" s="243"/>
      <c r="AR69" s="246"/>
      <c r="AS69" s="326"/>
      <c r="AT69" s="247"/>
      <c r="AU69" s="248"/>
      <c r="AV69" s="243"/>
      <c r="AW69" s="246"/>
      <c r="AX69" s="335"/>
      <c r="AY69" s="317"/>
      <c r="AZ69" s="318"/>
      <c r="BA69" s="321"/>
      <c r="BB69" s="336"/>
      <c r="BC69" s="318"/>
      <c r="BD69" s="321"/>
      <c r="BE69" s="337"/>
      <c r="BF69" s="322"/>
      <c r="BG69" s="323"/>
      <c r="BH69" s="318"/>
      <c r="BI69" s="321"/>
      <c r="BJ69" s="327"/>
      <c r="BK69" s="242"/>
      <c r="BL69" s="243"/>
      <c r="BM69" s="246"/>
      <c r="BN69" s="325"/>
      <c r="BO69" s="243"/>
      <c r="BP69" s="246"/>
      <c r="BQ69" s="326"/>
      <c r="BR69" s="247"/>
      <c r="BS69" s="248"/>
      <c r="BT69" s="243"/>
      <c r="BU69" s="246"/>
    </row>
    <row r="70" spans="1:73" ht="14.4">
      <c r="A70" s="1231">
        <v>12</v>
      </c>
      <c r="B70" s="573"/>
      <c r="C70" s="616"/>
      <c r="D70" s="617"/>
      <c r="E70" s="618"/>
      <c r="F70" s="616"/>
      <c r="G70" s="617"/>
      <c r="H70" s="618"/>
      <c r="I70" s="798"/>
      <c r="J70" s="619"/>
      <c r="K70" s="620"/>
      <c r="L70" s="617"/>
      <c r="M70" s="618"/>
      <c r="N70" s="171"/>
      <c r="O70" s="338"/>
      <c r="P70" s="339"/>
      <c r="Q70" s="340"/>
      <c r="R70" s="338"/>
      <c r="S70" s="339"/>
      <c r="T70" s="340"/>
      <c r="U70" s="341"/>
      <c r="V70" s="342"/>
      <c r="W70" s="343"/>
      <c r="X70" s="339"/>
      <c r="Y70" s="340"/>
      <c r="Z70" s="189" t="s">
        <v>46</v>
      </c>
      <c r="AA70" s="190">
        <v>1</v>
      </c>
      <c r="AB70" s="191"/>
      <c r="AC70" s="192"/>
      <c r="AD70" s="190">
        <v>1</v>
      </c>
      <c r="AE70" s="191"/>
      <c r="AF70" s="192"/>
      <c r="AG70" s="192" t="s">
        <v>357</v>
      </c>
      <c r="AH70" s="193" t="s">
        <v>88</v>
      </c>
      <c r="AI70" s="194" t="s">
        <v>358</v>
      </c>
      <c r="AJ70" s="191" t="s">
        <v>359</v>
      </c>
      <c r="AK70" s="192" t="s">
        <v>241</v>
      </c>
      <c r="AL70" s="301"/>
      <c r="AM70" s="302"/>
      <c r="AN70" s="303"/>
      <c r="AO70" s="304"/>
      <c r="AP70" s="302"/>
      <c r="AQ70" s="303"/>
      <c r="AR70" s="304"/>
      <c r="AS70" s="304"/>
      <c r="AT70" s="305"/>
      <c r="AU70" s="306"/>
      <c r="AV70" s="303"/>
      <c r="AW70" s="304"/>
      <c r="AX70" s="301"/>
      <c r="AY70" s="302"/>
      <c r="AZ70" s="303"/>
      <c r="BA70" s="304"/>
      <c r="BB70" s="302"/>
      <c r="BC70" s="303"/>
      <c r="BD70" s="304"/>
      <c r="BE70" s="304"/>
      <c r="BF70" s="305"/>
      <c r="BG70" s="306"/>
      <c r="BH70" s="303"/>
      <c r="BI70" s="304"/>
      <c r="BJ70" s="189"/>
      <c r="BK70" s="190"/>
      <c r="BL70" s="191"/>
      <c r="BM70" s="192"/>
      <c r="BN70" s="190"/>
      <c r="BO70" s="191"/>
      <c r="BP70" s="192"/>
      <c r="BQ70" s="192"/>
      <c r="BR70" s="193"/>
      <c r="BS70" s="194"/>
      <c r="BT70" s="191"/>
      <c r="BU70" s="192"/>
    </row>
    <row r="71" spans="1:73" ht="14.4">
      <c r="A71" s="1232"/>
      <c r="B71" s="621"/>
      <c r="C71" s="582"/>
      <c r="D71" s="622"/>
      <c r="E71" s="623"/>
      <c r="F71" s="582"/>
      <c r="G71" s="622"/>
      <c r="H71" s="623"/>
      <c r="I71" s="793"/>
      <c r="J71" s="624"/>
      <c r="K71" s="583"/>
      <c r="L71" s="622"/>
      <c r="M71" s="623"/>
      <c r="N71" s="344"/>
      <c r="O71" s="196"/>
      <c r="P71" s="345"/>
      <c r="Q71" s="346"/>
      <c r="R71" s="196"/>
      <c r="S71" s="345"/>
      <c r="T71" s="346"/>
      <c r="U71" s="198"/>
      <c r="V71" s="347"/>
      <c r="W71" s="197"/>
      <c r="X71" s="345"/>
      <c r="Y71" s="346"/>
      <c r="Z71" s="212" t="s">
        <v>72</v>
      </c>
      <c r="AA71" s="221"/>
      <c r="AB71" s="214">
        <v>1</v>
      </c>
      <c r="AC71" s="217"/>
      <c r="AD71" s="222">
        <v>1</v>
      </c>
      <c r="AE71" s="214"/>
      <c r="AF71" s="215"/>
      <c r="AG71" s="217" t="s">
        <v>251</v>
      </c>
      <c r="AH71" s="218" t="s">
        <v>93</v>
      </c>
      <c r="AI71" s="219" t="s">
        <v>360</v>
      </c>
      <c r="AJ71" s="220" t="s">
        <v>329</v>
      </c>
      <c r="AK71" s="217" t="s">
        <v>257</v>
      </c>
      <c r="AL71" s="307"/>
      <c r="AM71" s="315"/>
      <c r="AN71" s="308"/>
      <c r="AO71" s="311"/>
      <c r="AP71" s="310"/>
      <c r="AQ71" s="308"/>
      <c r="AR71" s="309"/>
      <c r="AS71" s="311"/>
      <c r="AT71" s="312"/>
      <c r="AU71" s="313"/>
      <c r="AV71" s="314"/>
      <c r="AW71" s="311"/>
      <c r="AX71" s="307"/>
      <c r="AY71" s="315"/>
      <c r="AZ71" s="308"/>
      <c r="BA71" s="311"/>
      <c r="BB71" s="310"/>
      <c r="BC71" s="308"/>
      <c r="BD71" s="309"/>
      <c r="BE71" s="311"/>
      <c r="BF71" s="312"/>
      <c r="BG71" s="313"/>
      <c r="BH71" s="314"/>
      <c r="BI71" s="311"/>
      <c r="BJ71" s="212"/>
      <c r="BK71" s="221"/>
      <c r="BL71" s="214"/>
      <c r="BM71" s="217"/>
      <c r="BN71" s="222"/>
      <c r="BO71" s="214"/>
      <c r="BP71" s="215"/>
      <c r="BQ71" s="217"/>
      <c r="BR71" s="218"/>
      <c r="BS71" s="219"/>
      <c r="BT71" s="220"/>
      <c r="BU71" s="217"/>
    </row>
    <row r="72" spans="1:73" ht="14.4">
      <c r="A72" s="1232"/>
      <c r="B72" s="621"/>
      <c r="C72" s="582"/>
      <c r="D72" s="622"/>
      <c r="E72" s="623"/>
      <c r="F72" s="582"/>
      <c r="G72" s="622"/>
      <c r="H72" s="623"/>
      <c r="I72" s="793"/>
      <c r="J72" s="624"/>
      <c r="K72" s="583"/>
      <c r="L72" s="622"/>
      <c r="M72" s="623"/>
      <c r="N72" s="344"/>
      <c r="O72" s="196"/>
      <c r="P72" s="345"/>
      <c r="Q72" s="346"/>
      <c r="R72" s="196"/>
      <c r="S72" s="345"/>
      <c r="T72" s="346"/>
      <c r="U72" s="198"/>
      <c r="V72" s="347"/>
      <c r="W72" s="197"/>
      <c r="X72" s="345"/>
      <c r="Y72" s="346"/>
      <c r="Z72" s="212"/>
      <c r="AA72" s="221"/>
      <c r="AB72" s="214"/>
      <c r="AC72" s="217"/>
      <c r="AD72" s="216"/>
      <c r="AE72" s="214"/>
      <c r="AF72" s="217"/>
      <c r="AG72" s="217"/>
      <c r="AH72" s="218"/>
      <c r="AI72" s="219"/>
      <c r="AJ72" s="220"/>
      <c r="AK72" s="217"/>
      <c r="AL72" s="307"/>
      <c r="AM72" s="315"/>
      <c r="AN72" s="308"/>
      <c r="AO72" s="311"/>
      <c r="AP72" s="334"/>
      <c r="AQ72" s="308"/>
      <c r="AR72" s="311"/>
      <c r="AS72" s="311"/>
      <c r="AT72" s="312"/>
      <c r="AU72" s="313"/>
      <c r="AV72" s="314"/>
      <c r="AW72" s="311"/>
      <c r="AX72" s="307"/>
      <c r="AY72" s="315"/>
      <c r="AZ72" s="308"/>
      <c r="BA72" s="311"/>
      <c r="BB72" s="334"/>
      <c r="BC72" s="308"/>
      <c r="BD72" s="311"/>
      <c r="BE72" s="311"/>
      <c r="BF72" s="312"/>
      <c r="BG72" s="313"/>
      <c r="BH72" s="314"/>
      <c r="BI72" s="311"/>
      <c r="BJ72" s="212"/>
      <c r="BK72" s="221"/>
      <c r="BL72" s="214"/>
      <c r="BM72" s="217"/>
      <c r="BN72" s="216"/>
      <c r="BO72" s="214"/>
      <c r="BP72" s="217"/>
      <c r="BQ72" s="217"/>
      <c r="BR72" s="218"/>
      <c r="BS72" s="219"/>
      <c r="BT72" s="220"/>
      <c r="BU72" s="217"/>
    </row>
    <row r="73" spans="1:73" ht="14.4">
      <c r="A73" s="1233"/>
      <c r="B73" s="625"/>
      <c r="C73" s="590"/>
      <c r="D73" s="626"/>
      <c r="E73" s="627"/>
      <c r="F73" s="590"/>
      <c r="G73" s="626"/>
      <c r="H73" s="627"/>
      <c r="I73" s="794"/>
      <c r="J73" s="628"/>
      <c r="K73" s="591"/>
      <c r="L73" s="626"/>
      <c r="M73" s="627"/>
      <c r="N73" s="348"/>
      <c r="O73" s="224"/>
      <c r="P73" s="349"/>
      <c r="Q73" s="350"/>
      <c r="R73" s="224"/>
      <c r="S73" s="349"/>
      <c r="T73" s="350"/>
      <c r="U73" s="226"/>
      <c r="V73" s="351"/>
      <c r="W73" s="225"/>
      <c r="X73" s="349"/>
      <c r="Y73" s="350"/>
      <c r="Z73" s="327"/>
      <c r="AA73" s="242"/>
      <c r="AB73" s="243"/>
      <c r="AC73" s="246"/>
      <c r="AD73" s="325"/>
      <c r="AE73" s="243"/>
      <c r="AF73" s="246"/>
      <c r="AG73" s="326"/>
      <c r="AH73" s="247"/>
      <c r="AI73" s="248"/>
      <c r="AJ73" s="243"/>
      <c r="AK73" s="246"/>
      <c r="AL73" s="335"/>
      <c r="AM73" s="317"/>
      <c r="AN73" s="318"/>
      <c r="AO73" s="321"/>
      <c r="AP73" s="336"/>
      <c r="AQ73" s="318"/>
      <c r="AR73" s="321"/>
      <c r="AS73" s="337"/>
      <c r="AT73" s="322"/>
      <c r="AU73" s="323"/>
      <c r="AV73" s="318"/>
      <c r="AW73" s="321"/>
      <c r="AX73" s="335"/>
      <c r="AY73" s="317"/>
      <c r="AZ73" s="318"/>
      <c r="BA73" s="321"/>
      <c r="BB73" s="336"/>
      <c r="BC73" s="318"/>
      <c r="BD73" s="321"/>
      <c r="BE73" s="337"/>
      <c r="BF73" s="322"/>
      <c r="BG73" s="323"/>
      <c r="BH73" s="318"/>
      <c r="BI73" s="321"/>
      <c r="BJ73" s="327"/>
      <c r="BK73" s="242"/>
      <c r="BL73" s="243"/>
      <c r="BM73" s="246"/>
      <c r="BN73" s="325"/>
      <c r="BO73" s="243"/>
      <c r="BP73" s="246"/>
      <c r="BQ73" s="326"/>
      <c r="BR73" s="247"/>
      <c r="BS73" s="248"/>
      <c r="BT73" s="243"/>
      <c r="BU73" s="246"/>
    </row>
    <row r="74" spans="1:73" ht="14.4">
      <c r="A74" s="1231">
        <v>13</v>
      </c>
      <c r="B74" s="597"/>
      <c r="C74" s="629"/>
      <c r="D74" s="630"/>
      <c r="E74" s="631"/>
      <c r="F74" s="629"/>
      <c r="G74" s="630"/>
      <c r="H74" s="631"/>
      <c r="I74" s="778"/>
      <c r="J74" s="597"/>
      <c r="K74" s="632"/>
      <c r="L74" s="630"/>
      <c r="M74" s="631"/>
      <c r="N74" s="193" t="s">
        <v>46</v>
      </c>
      <c r="O74" s="190">
        <v>1</v>
      </c>
      <c r="P74" s="191"/>
      <c r="Q74" s="192"/>
      <c r="R74" s="190"/>
      <c r="S74" s="191"/>
      <c r="T74" s="192">
        <v>1</v>
      </c>
      <c r="U74" s="192" t="s">
        <v>238</v>
      </c>
      <c r="V74" s="193" t="s">
        <v>92</v>
      </c>
      <c r="W74" s="194" t="s">
        <v>361</v>
      </c>
      <c r="X74" s="191" t="s">
        <v>333</v>
      </c>
      <c r="Y74" s="192" t="s">
        <v>334</v>
      </c>
      <c r="Z74" s="193" t="s">
        <v>314</v>
      </c>
      <c r="AA74" s="190">
        <v>1</v>
      </c>
      <c r="AB74" s="191"/>
      <c r="AC74" s="192"/>
      <c r="AD74" s="190">
        <v>1</v>
      </c>
      <c r="AE74" s="191"/>
      <c r="AF74" s="192"/>
      <c r="AG74" s="192" t="s">
        <v>238</v>
      </c>
      <c r="AH74" s="193" t="s">
        <v>362</v>
      </c>
      <c r="AI74" s="194" t="s">
        <v>363</v>
      </c>
      <c r="AJ74" s="191" t="s">
        <v>364</v>
      </c>
      <c r="AK74" s="192" t="s">
        <v>365</v>
      </c>
      <c r="AL74" s="305"/>
      <c r="AM74" s="302"/>
      <c r="AN74" s="303"/>
      <c r="AO74" s="304"/>
      <c r="AP74" s="302"/>
      <c r="AQ74" s="303"/>
      <c r="AR74" s="304"/>
      <c r="AS74" s="304"/>
      <c r="AT74" s="305"/>
      <c r="AU74" s="306"/>
      <c r="AV74" s="303"/>
      <c r="AW74" s="304"/>
      <c r="AX74" s="352" t="s">
        <v>366</v>
      </c>
      <c r="AY74" s="190"/>
      <c r="AZ74" s="191"/>
      <c r="BA74" s="192"/>
      <c r="BB74" s="190"/>
      <c r="BC74" s="191"/>
      <c r="BD74" s="192"/>
      <c r="BE74" s="192"/>
      <c r="BF74" s="193"/>
      <c r="BG74" s="194"/>
      <c r="BH74" s="191"/>
      <c r="BI74" s="192"/>
      <c r="BJ74" s="352"/>
      <c r="BK74" s="190"/>
      <c r="BL74" s="191"/>
      <c r="BM74" s="192"/>
      <c r="BN74" s="190"/>
      <c r="BO74" s="191"/>
      <c r="BP74" s="192"/>
      <c r="BQ74" s="192"/>
      <c r="BR74" s="193"/>
      <c r="BS74" s="194"/>
      <c r="BT74" s="191"/>
      <c r="BU74" s="192"/>
    </row>
    <row r="75" spans="1:73" ht="14.4">
      <c r="A75" s="1232"/>
      <c r="B75" s="633"/>
      <c r="C75" s="634"/>
      <c r="D75" s="635"/>
      <c r="E75" s="636"/>
      <c r="F75" s="637"/>
      <c r="G75" s="635"/>
      <c r="H75" s="636"/>
      <c r="I75" s="779"/>
      <c r="J75" s="607"/>
      <c r="K75" s="608"/>
      <c r="L75" s="605"/>
      <c r="M75" s="606"/>
      <c r="N75" s="212"/>
      <c r="O75" s="213"/>
      <c r="P75" s="214"/>
      <c r="Q75" s="215"/>
      <c r="R75" s="222"/>
      <c r="S75" s="214"/>
      <c r="T75" s="215"/>
      <c r="U75" s="217"/>
      <c r="V75" s="218"/>
      <c r="W75" s="219"/>
      <c r="X75" s="220"/>
      <c r="Y75" s="217"/>
      <c r="Z75" s="212" t="s">
        <v>67</v>
      </c>
      <c r="AA75" s="213">
        <v>1</v>
      </c>
      <c r="AB75" s="214"/>
      <c r="AC75" s="215"/>
      <c r="AD75" s="222">
        <v>1</v>
      </c>
      <c r="AE75" s="214"/>
      <c r="AF75" s="215"/>
      <c r="AG75" s="217" t="s">
        <v>238</v>
      </c>
      <c r="AH75" s="218" t="s">
        <v>367</v>
      </c>
      <c r="AI75" s="219" t="s">
        <v>368</v>
      </c>
      <c r="AJ75" s="220" t="s">
        <v>369</v>
      </c>
      <c r="AK75" s="217" t="s">
        <v>340</v>
      </c>
      <c r="AL75" s="307"/>
      <c r="AM75" s="204"/>
      <c r="AN75" s="308"/>
      <c r="AO75" s="309"/>
      <c r="AP75" s="310"/>
      <c r="AQ75" s="308"/>
      <c r="AR75" s="309"/>
      <c r="AS75" s="311"/>
      <c r="AT75" s="312"/>
      <c r="AU75" s="313"/>
      <c r="AV75" s="314"/>
      <c r="AW75" s="311"/>
      <c r="AX75" s="212" t="s">
        <v>46</v>
      </c>
      <c r="AY75" s="213"/>
      <c r="AZ75" s="214">
        <v>1</v>
      </c>
      <c r="BA75" s="215"/>
      <c r="BB75" s="222"/>
      <c r="BC75" s="214"/>
      <c r="BD75" s="215">
        <v>1</v>
      </c>
      <c r="BE75" s="217" t="s">
        <v>251</v>
      </c>
      <c r="BF75" s="218" t="s">
        <v>107</v>
      </c>
      <c r="BG75" s="219" t="s">
        <v>370</v>
      </c>
      <c r="BH75" s="220" t="s">
        <v>371</v>
      </c>
      <c r="BI75" s="217" t="s">
        <v>372</v>
      </c>
      <c r="BJ75" s="212"/>
      <c r="BK75" s="213"/>
      <c r="BL75" s="214"/>
      <c r="BM75" s="215"/>
      <c r="BN75" s="222"/>
      <c r="BO75" s="214"/>
      <c r="BP75" s="215"/>
      <c r="BQ75" s="217"/>
      <c r="BR75" s="218"/>
      <c r="BS75" s="219"/>
      <c r="BT75" s="220"/>
      <c r="BU75" s="217"/>
    </row>
    <row r="76" spans="1:73" ht="14.4">
      <c r="A76" s="1232"/>
      <c r="B76" s="633"/>
      <c r="C76" s="638"/>
      <c r="D76" s="635"/>
      <c r="E76" s="636"/>
      <c r="F76" s="637"/>
      <c r="G76" s="635"/>
      <c r="H76" s="606"/>
      <c r="I76" s="779"/>
      <c r="J76" s="607"/>
      <c r="K76" s="608"/>
      <c r="L76" s="605"/>
      <c r="M76" s="606"/>
      <c r="N76" s="212"/>
      <c r="O76" s="221"/>
      <c r="P76" s="214"/>
      <c r="Q76" s="215"/>
      <c r="R76" s="222"/>
      <c r="S76" s="214"/>
      <c r="T76" s="217"/>
      <c r="U76" s="217"/>
      <c r="V76" s="218"/>
      <c r="W76" s="219"/>
      <c r="X76" s="220"/>
      <c r="Y76" s="217"/>
      <c r="Z76" s="212"/>
      <c r="AA76" s="221"/>
      <c r="AB76" s="214"/>
      <c r="AC76" s="215"/>
      <c r="AD76" s="222"/>
      <c r="AE76" s="214"/>
      <c r="AF76" s="217"/>
      <c r="AG76" s="217"/>
      <c r="AH76" s="218"/>
      <c r="AI76" s="219"/>
      <c r="AJ76" s="220"/>
      <c r="AK76" s="217"/>
      <c r="AL76" s="307"/>
      <c r="AM76" s="315"/>
      <c r="AN76" s="308"/>
      <c r="AO76" s="309"/>
      <c r="AP76" s="310"/>
      <c r="AQ76" s="308"/>
      <c r="AR76" s="311"/>
      <c r="AS76" s="311"/>
      <c r="AT76" s="312"/>
      <c r="AU76" s="313"/>
      <c r="AV76" s="314"/>
      <c r="AW76" s="311"/>
      <c r="AX76" s="212"/>
      <c r="AY76" s="221"/>
      <c r="AZ76" s="214"/>
      <c r="BA76" s="215"/>
      <c r="BB76" s="222"/>
      <c r="BC76" s="214"/>
      <c r="BD76" s="217"/>
      <c r="BE76" s="217"/>
      <c r="BF76" s="218"/>
      <c r="BG76" s="219"/>
      <c r="BH76" s="220"/>
      <c r="BI76" s="217"/>
      <c r="BJ76" s="212"/>
      <c r="BK76" s="221"/>
      <c r="BL76" s="214"/>
      <c r="BM76" s="215"/>
      <c r="BN76" s="222"/>
      <c r="BO76" s="214"/>
      <c r="BP76" s="217"/>
      <c r="BQ76" s="217"/>
      <c r="BR76" s="218"/>
      <c r="BS76" s="219"/>
      <c r="BT76" s="220"/>
      <c r="BU76" s="217"/>
    </row>
    <row r="77" spans="1:73" ht="15" thickBot="1">
      <c r="A77" s="1233"/>
      <c r="B77" s="639"/>
      <c r="C77" s="640"/>
      <c r="D77" s="611"/>
      <c r="E77" s="641"/>
      <c r="F77" s="642"/>
      <c r="G77" s="611"/>
      <c r="H77" s="612"/>
      <c r="I77" s="780"/>
      <c r="J77" s="614"/>
      <c r="K77" s="615"/>
      <c r="L77" s="611"/>
      <c r="M77" s="612"/>
      <c r="N77" s="241"/>
      <c r="O77" s="242"/>
      <c r="P77" s="243"/>
      <c r="Q77" s="244"/>
      <c r="R77" s="245"/>
      <c r="S77" s="243"/>
      <c r="T77" s="246"/>
      <c r="U77" s="246"/>
      <c r="V77" s="247"/>
      <c r="W77" s="248"/>
      <c r="X77" s="243"/>
      <c r="Y77" s="246"/>
      <c r="Z77" s="241"/>
      <c r="AA77" s="242"/>
      <c r="AB77" s="243"/>
      <c r="AC77" s="244"/>
      <c r="AD77" s="245"/>
      <c r="AE77" s="243"/>
      <c r="AF77" s="246"/>
      <c r="AG77" s="246"/>
      <c r="AH77" s="247"/>
      <c r="AI77" s="248"/>
      <c r="AJ77" s="243"/>
      <c r="AK77" s="246"/>
      <c r="AL77" s="316"/>
      <c r="AM77" s="317"/>
      <c r="AN77" s="318"/>
      <c r="AO77" s="319"/>
      <c r="AP77" s="320"/>
      <c r="AQ77" s="318"/>
      <c r="AR77" s="321"/>
      <c r="AS77" s="321"/>
      <c r="AT77" s="322"/>
      <c r="AU77" s="323"/>
      <c r="AV77" s="318"/>
      <c r="AW77" s="321"/>
      <c r="AX77" s="241"/>
      <c r="AY77" s="242"/>
      <c r="AZ77" s="243"/>
      <c r="BA77" s="244"/>
      <c r="BB77" s="245"/>
      <c r="BC77" s="243"/>
      <c r="BD77" s="246"/>
      <c r="BE77" s="246"/>
      <c r="BF77" s="247"/>
      <c r="BG77" s="248"/>
      <c r="BH77" s="243"/>
      <c r="BI77" s="246"/>
      <c r="BJ77" s="241"/>
      <c r="BK77" s="242"/>
      <c r="BL77" s="243"/>
      <c r="BM77" s="244"/>
      <c r="BN77" s="245"/>
      <c r="BO77" s="243"/>
      <c r="BP77" s="246"/>
      <c r="BQ77" s="246"/>
      <c r="BR77" s="247"/>
      <c r="BS77" s="248"/>
      <c r="BT77" s="243"/>
      <c r="BU77" s="246"/>
    </row>
    <row r="78" spans="1:73" ht="14.4">
      <c r="A78" s="1231">
        <v>14</v>
      </c>
      <c r="B78" s="533" t="s">
        <v>539</v>
      </c>
      <c r="C78" s="545">
        <v>1</v>
      </c>
      <c r="D78" s="546"/>
      <c r="E78" s="547"/>
      <c r="F78" s="545"/>
      <c r="G78" s="546">
        <v>1</v>
      </c>
      <c r="H78" s="547"/>
      <c r="I78" s="774" t="s">
        <v>238</v>
      </c>
      <c r="J78" s="730" t="s">
        <v>552</v>
      </c>
      <c r="K78" s="548"/>
      <c r="L78" s="546" t="s">
        <v>554</v>
      </c>
      <c r="M78" s="547" t="s">
        <v>553</v>
      </c>
      <c r="N78" s="193" t="s">
        <v>46</v>
      </c>
      <c r="O78" s="190">
        <v>1</v>
      </c>
      <c r="P78" s="191"/>
      <c r="Q78" s="192"/>
      <c r="R78" s="190">
        <v>1</v>
      </c>
      <c r="S78" s="191"/>
      <c r="T78" s="192"/>
      <c r="U78" s="192" t="s">
        <v>357</v>
      </c>
      <c r="V78" s="193" t="s">
        <v>88</v>
      </c>
      <c r="W78" s="194" t="s">
        <v>373</v>
      </c>
      <c r="X78" s="191" t="s">
        <v>374</v>
      </c>
      <c r="Y78" s="192" t="s">
        <v>375</v>
      </c>
      <c r="Z78" s="193" t="s">
        <v>79</v>
      </c>
      <c r="AA78" s="190"/>
      <c r="AB78" s="191">
        <v>1</v>
      </c>
      <c r="AC78" s="192"/>
      <c r="AD78" s="190"/>
      <c r="AE78" s="191"/>
      <c r="AF78" s="192">
        <v>1</v>
      </c>
      <c r="AG78" s="192" t="s">
        <v>251</v>
      </c>
      <c r="AH78" s="193" t="s">
        <v>78</v>
      </c>
      <c r="AI78" s="194" t="s">
        <v>376</v>
      </c>
      <c r="AJ78" s="191" t="s">
        <v>377</v>
      </c>
      <c r="AK78" s="192" t="s">
        <v>378</v>
      </c>
      <c r="AL78" s="305"/>
      <c r="AM78" s="302"/>
      <c r="AN78" s="303"/>
      <c r="AO78" s="304"/>
      <c r="AP78" s="302"/>
      <c r="AQ78" s="303"/>
      <c r="AR78" s="304"/>
      <c r="AS78" s="304"/>
      <c r="AT78" s="305"/>
      <c r="AU78" s="306"/>
      <c r="AV78" s="303"/>
      <c r="AW78" s="304"/>
      <c r="AX78" s="193" t="s">
        <v>46</v>
      </c>
      <c r="AY78" s="190"/>
      <c r="AZ78" s="191">
        <v>1</v>
      </c>
      <c r="BA78" s="192"/>
      <c r="BB78" s="190">
        <v>1</v>
      </c>
      <c r="BC78" s="191"/>
      <c r="BD78" s="192"/>
      <c r="BE78" s="192" t="s">
        <v>251</v>
      </c>
      <c r="BF78" s="193" t="s">
        <v>31</v>
      </c>
      <c r="BG78" s="194" t="s">
        <v>379</v>
      </c>
      <c r="BH78" s="191" t="s">
        <v>259</v>
      </c>
      <c r="BI78" s="192" t="s">
        <v>275</v>
      </c>
      <c r="BJ78" s="280"/>
      <c r="BK78" s="277"/>
      <c r="BL78" s="278"/>
      <c r="BM78" s="279"/>
      <c r="BN78" s="277"/>
      <c r="BO78" s="278"/>
      <c r="BP78" s="279"/>
      <c r="BQ78" s="279"/>
      <c r="BR78" s="280"/>
      <c r="BS78" s="281"/>
      <c r="BT78" s="278"/>
      <c r="BU78" s="279"/>
    </row>
    <row r="79" spans="1:73" ht="14.4">
      <c r="A79" s="1239"/>
      <c r="B79" s="549" t="s">
        <v>555</v>
      </c>
      <c r="C79" s="554"/>
      <c r="D79" s="686"/>
      <c r="E79" s="687">
        <v>1</v>
      </c>
      <c r="F79" s="554"/>
      <c r="G79" s="686">
        <v>1</v>
      </c>
      <c r="H79" s="687"/>
      <c r="I79" s="775" t="s">
        <v>341</v>
      </c>
      <c r="J79" s="688"/>
      <c r="K79" s="689"/>
      <c r="L79" s="686" t="s">
        <v>556</v>
      </c>
      <c r="M79" s="687" t="s">
        <v>557</v>
      </c>
      <c r="N79" s="212"/>
      <c r="O79" s="213"/>
      <c r="P79" s="332"/>
      <c r="Q79" s="333"/>
      <c r="R79" s="213"/>
      <c r="S79" s="332"/>
      <c r="T79" s="333"/>
      <c r="U79" s="333"/>
      <c r="V79" s="331"/>
      <c r="W79" s="260"/>
      <c r="X79" s="332"/>
      <c r="Y79" s="333"/>
      <c r="Z79" s="212"/>
      <c r="AA79" s="213"/>
      <c r="AB79" s="332"/>
      <c r="AC79" s="333"/>
      <c r="AD79" s="213"/>
      <c r="AE79" s="332"/>
      <c r="AF79" s="333"/>
      <c r="AG79" s="333"/>
      <c r="AH79" s="331"/>
      <c r="AI79" s="260"/>
      <c r="AJ79" s="332"/>
      <c r="AK79" s="333"/>
      <c r="AL79" s="307"/>
      <c r="AM79" s="204"/>
      <c r="AN79" s="695"/>
      <c r="AO79" s="696"/>
      <c r="AP79" s="204"/>
      <c r="AQ79" s="695"/>
      <c r="AR79" s="696"/>
      <c r="AS79" s="696"/>
      <c r="AT79" s="356"/>
      <c r="AU79" s="205"/>
      <c r="AV79" s="695"/>
      <c r="AW79" s="696"/>
      <c r="AX79" s="212"/>
      <c r="AY79" s="213"/>
      <c r="AZ79" s="332"/>
      <c r="BA79" s="333"/>
      <c r="BB79" s="213"/>
      <c r="BC79" s="332"/>
      <c r="BD79" s="333"/>
      <c r="BE79" s="333"/>
      <c r="BF79" s="331"/>
      <c r="BG79" s="260"/>
      <c r="BH79" s="332"/>
      <c r="BI79" s="333"/>
      <c r="BJ79" s="283"/>
      <c r="BK79" s="196"/>
      <c r="BL79" s="345"/>
      <c r="BM79" s="346"/>
      <c r="BN79" s="196"/>
      <c r="BO79" s="345"/>
      <c r="BP79" s="346"/>
      <c r="BQ79" s="346"/>
      <c r="BR79" s="347"/>
      <c r="BS79" s="197"/>
      <c r="BT79" s="345"/>
      <c r="BU79" s="346"/>
    </row>
    <row r="80" spans="1:73" ht="14.4">
      <c r="A80" s="1239"/>
      <c r="B80" s="549" t="s">
        <v>558</v>
      </c>
      <c r="C80" s="554"/>
      <c r="D80" s="686"/>
      <c r="E80" s="687">
        <v>1</v>
      </c>
      <c r="F80" s="554"/>
      <c r="G80" s="686">
        <v>1</v>
      </c>
      <c r="H80" s="687"/>
      <c r="I80" s="775" t="s">
        <v>341</v>
      </c>
      <c r="J80" s="688"/>
      <c r="K80" s="689"/>
      <c r="L80" s="686" t="s">
        <v>559</v>
      </c>
      <c r="M80" s="687" t="s">
        <v>560</v>
      </c>
      <c r="N80" s="212"/>
      <c r="O80" s="213"/>
      <c r="P80" s="332"/>
      <c r="Q80" s="333"/>
      <c r="R80" s="213"/>
      <c r="S80" s="332"/>
      <c r="T80" s="333"/>
      <c r="U80" s="333"/>
      <c r="V80" s="331"/>
      <c r="W80" s="260"/>
      <c r="X80" s="332"/>
      <c r="Y80" s="333"/>
      <c r="Z80" s="212"/>
      <c r="AA80" s="213"/>
      <c r="AB80" s="332"/>
      <c r="AC80" s="333"/>
      <c r="AD80" s="213"/>
      <c r="AE80" s="332"/>
      <c r="AF80" s="333"/>
      <c r="AG80" s="333"/>
      <c r="AH80" s="331"/>
      <c r="AI80" s="260"/>
      <c r="AJ80" s="332"/>
      <c r="AK80" s="333"/>
      <c r="AL80" s="307"/>
      <c r="AM80" s="204"/>
      <c r="AN80" s="695"/>
      <c r="AO80" s="696"/>
      <c r="AP80" s="204"/>
      <c r="AQ80" s="695"/>
      <c r="AR80" s="696"/>
      <c r="AS80" s="696"/>
      <c r="AT80" s="356"/>
      <c r="AU80" s="205"/>
      <c r="AV80" s="695"/>
      <c r="AW80" s="696"/>
      <c r="AX80" s="212"/>
      <c r="AY80" s="213"/>
      <c r="AZ80" s="332"/>
      <c r="BA80" s="333"/>
      <c r="BB80" s="213"/>
      <c r="BC80" s="332"/>
      <c r="BD80" s="333"/>
      <c r="BE80" s="333"/>
      <c r="BF80" s="331"/>
      <c r="BG80" s="260"/>
      <c r="BH80" s="332"/>
      <c r="BI80" s="333"/>
      <c r="BJ80" s="283"/>
      <c r="BK80" s="196"/>
      <c r="BL80" s="345"/>
      <c r="BM80" s="346"/>
      <c r="BN80" s="196"/>
      <c r="BO80" s="345"/>
      <c r="BP80" s="346"/>
      <c r="BQ80" s="346"/>
      <c r="BR80" s="347"/>
      <c r="BS80" s="197"/>
      <c r="BT80" s="345"/>
      <c r="BU80" s="346"/>
    </row>
    <row r="81" spans="1:73" ht="14.4">
      <c r="A81" s="1239"/>
      <c r="B81" s="549" t="s">
        <v>561</v>
      </c>
      <c r="C81" s="554"/>
      <c r="D81" s="686"/>
      <c r="E81" s="687">
        <v>1</v>
      </c>
      <c r="F81" s="554"/>
      <c r="G81" s="686">
        <v>1</v>
      </c>
      <c r="H81" s="687"/>
      <c r="I81" s="775" t="s">
        <v>341</v>
      </c>
      <c r="J81" s="688"/>
      <c r="K81" s="689"/>
      <c r="L81" s="686" t="s">
        <v>562</v>
      </c>
      <c r="M81" s="687" t="s">
        <v>563</v>
      </c>
      <c r="N81" s="212"/>
      <c r="O81" s="213"/>
      <c r="P81" s="332"/>
      <c r="Q81" s="333"/>
      <c r="R81" s="213"/>
      <c r="S81" s="332"/>
      <c r="T81" s="333"/>
      <c r="U81" s="333"/>
      <c r="V81" s="331"/>
      <c r="W81" s="260"/>
      <c r="X81" s="332"/>
      <c r="Y81" s="333"/>
      <c r="Z81" s="212"/>
      <c r="AA81" s="213"/>
      <c r="AB81" s="332"/>
      <c r="AC81" s="333"/>
      <c r="AD81" s="213"/>
      <c r="AE81" s="332"/>
      <c r="AF81" s="333"/>
      <c r="AG81" s="333"/>
      <c r="AH81" s="331"/>
      <c r="AI81" s="260"/>
      <c r="AJ81" s="332"/>
      <c r="AK81" s="333"/>
      <c r="AL81" s="307"/>
      <c r="AM81" s="204"/>
      <c r="AN81" s="695"/>
      <c r="AO81" s="696"/>
      <c r="AP81" s="204"/>
      <c r="AQ81" s="695"/>
      <c r="AR81" s="696"/>
      <c r="AS81" s="696"/>
      <c r="AT81" s="356"/>
      <c r="AU81" s="205"/>
      <c r="AV81" s="695"/>
      <c r="AW81" s="696"/>
      <c r="AX81" s="212"/>
      <c r="AY81" s="213"/>
      <c r="AZ81" s="332"/>
      <c r="BA81" s="333"/>
      <c r="BB81" s="213"/>
      <c r="BC81" s="332"/>
      <c r="BD81" s="333"/>
      <c r="BE81" s="333"/>
      <c r="BF81" s="331"/>
      <c r="BG81" s="260"/>
      <c r="BH81" s="332"/>
      <c r="BI81" s="333"/>
      <c r="BJ81" s="283"/>
      <c r="BK81" s="196"/>
      <c r="BL81" s="345"/>
      <c r="BM81" s="346"/>
      <c r="BN81" s="196"/>
      <c r="BO81" s="345"/>
      <c r="BP81" s="346"/>
      <c r="BQ81" s="346"/>
      <c r="BR81" s="347"/>
      <c r="BS81" s="197"/>
      <c r="BT81" s="345"/>
      <c r="BU81" s="346"/>
    </row>
    <row r="82" spans="1:73" ht="14.4">
      <c r="A82" s="1232"/>
      <c r="B82" s="549"/>
      <c r="C82" s="554"/>
      <c r="D82" s="551"/>
      <c r="E82" s="555"/>
      <c r="F82" s="534"/>
      <c r="G82" s="551"/>
      <c r="H82" s="555"/>
      <c r="I82" s="776"/>
      <c r="J82" s="537"/>
      <c r="K82" s="538"/>
      <c r="L82" s="535"/>
      <c r="M82" s="536"/>
      <c r="N82" s="212" t="s">
        <v>46</v>
      </c>
      <c r="O82" s="213">
        <v>1</v>
      </c>
      <c r="P82" s="214"/>
      <c r="Q82" s="215"/>
      <c r="R82" s="216"/>
      <c r="S82" s="214"/>
      <c r="T82" s="215">
        <v>1</v>
      </c>
      <c r="U82" s="217" t="s">
        <v>244</v>
      </c>
      <c r="V82" s="218" t="s">
        <v>31</v>
      </c>
      <c r="W82" s="219" t="s">
        <v>380</v>
      </c>
      <c r="X82" s="220" t="s">
        <v>381</v>
      </c>
      <c r="Y82" s="217" t="s">
        <v>268</v>
      </c>
      <c r="Z82" s="212"/>
      <c r="AA82" s="213"/>
      <c r="AB82" s="214"/>
      <c r="AC82" s="215"/>
      <c r="AD82" s="216"/>
      <c r="AE82" s="214"/>
      <c r="AF82" s="215"/>
      <c r="AG82" s="217"/>
      <c r="AH82" s="218"/>
      <c r="AI82" s="219"/>
      <c r="AJ82" s="220"/>
      <c r="AK82" s="217"/>
      <c r="AL82" s="307"/>
      <c r="AM82" s="204"/>
      <c r="AN82" s="308"/>
      <c r="AO82" s="309"/>
      <c r="AP82" s="334"/>
      <c r="AQ82" s="308"/>
      <c r="AR82" s="309"/>
      <c r="AS82" s="311"/>
      <c r="AT82" s="312"/>
      <c r="AU82" s="313"/>
      <c r="AV82" s="314"/>
      <c r="AW82" s="311"/>
      <c r="AX82" s="212"/>
      <c r="AY82" s="213"/>
      <c r="AZ82" s="214"/>
      <c r="BA82" s="215"/>
      <c r="BB82" s="216"/>
      <c r="BC82" s="214"/>
      <c r="BD82" s="215"/>
      <c r="BE82" s="217"/>
      <c r="BF82" s="218"/>
      <c r="BG82" s="219"/>
      <c r="BH82" s="220"/>
      <c r="BI82" s="217"/>
      <c r="BJ82" s="283"/>
      <c r="BK82" s="196"/>
      <c r="BL82" s="284"/>
      <c r="BM82" s="285"/>
      <c r="BN82" s="286"/>
      <c r="BO82" s="284"/>
      <c r="BP82" s="285"/>
      <c r="BQ82" s="287"/>
      <c r="BR82" s="288"/>
      <c r="BS82" s="289"/>
      <c r="BT82" s="290"/>
      <c r="BU82" s="287"/>
    </row>
    <row r="83" spans="1:73" ht="14.4">
      <c r="A83" s="1232"/>
      <c r="B83" s="549"/>
      <c r="C83" s="550"/>
      <c r="D83" s="551"/>
      <c r="E83" s="555"/>
      <c r="F83" s="556"/>
      <c r="G83" s="551"/>
      <c r="H83" s="536"/>
      <c r="I83" s="776"/>
      <c r="J83" s="537"/>
      <c r="K83" s="538"/>
      <c r="L83" s="535"/>
      <c r="M83" s="536"/>
      <c r="N83" s="212" t="s">
        <v>86</v>
      </c>
      <c r="O83" s="221"/>
      <c r="P83" s="214">
        <v>1</v>
      </c>
      <c r="Q83" s="215"/>
      <c r="R83" s="222"/>
      <c r="S83" s="214"/>
      <c r="T83" s="215">
        <v>1</v>
      </c>
      <c r="U83" s="217" t="s">
        <v>251</v>
      </c>
      <c r="V83" s="218" t="s">
        <v>31</v>
      </c>
      <c r="W83" s="219" t="s">
        <v>382</v>
      </c>
      <c r="X83" s="220" t="s">
        <v>383</v>
      </c>
      <c r="Y83" s="217" t="s">
        <v>384</v>
      </c>
      <c r="Z83" s="212"/>
      <c r="AA83" s="221"/>
      <c r="AB83" s="214"/>
      <c r="AC83" s="215"/>
      <c r="AD83" s="222"/>
      <c r="AE83" s="214"/>
      <c r="AF83" s="215"/>
      <c r="AG83" s="217"/>
      <c r="AH83" s="218"/>
      <c r="AI83" s="219"/>
      <c r="AJ83" s="220"/>
      <c r="AK83" s="217"/>
      <c r="AL83" s="307"/>
      <c r="AM83" s="315"/>
      <c r="AN83" s="308"/>
      <c r="AO83" s="309"/>
      <c r="AP83" s="310"/>
      <c r="AQ83" s="308"/>
      <c r="AR83" s="309"/>
      <c r="AS83" s="311"/>
      <c r="AT83" s="312"/>
      <c r="AU83" s="313"/>
      <c r="AV83" s="314"/>
      <c r="AW83" s="311"/>
      <c r="AX83" s="212"/>
      <c r="AY83" s="221"/>
      <c r="AZ83" s="214"/>
      <c r="BA83" s="215"/>
      <c r="BB83" s="222"/>
      <c r="BC83" s="214"/>
      <c r="BD83" s="215"/>
      <c r="BE83" s="217"/>
      <c r="BF83" s="218"/>
      <c r="BG83" s="219"/>
      <c r="BH83" s="220"/>
      <c r="BI83" s="217"/>
      <c r="BJ83" s="283"/>
      <c r="BK83" s="291"/>
      <c r="BL83" s="284"/>
      <c r="BM83" s="285"/>
      <c r="BN83" s="292"/>
      <c r="BO83" s="284"/>
      <c r="BP83" s="285"/>
      <c r="BQ83" s="287"/>
      <c r="BR83" s="288"/>
      <c r="BS83" s="289"/>
      <c r="BT83" s="290"/>
      <c r="BU83" s="287"/>
    </row>
    <row r="84" spans="1:73" ht="14.4">
      <c r="A84" s="1233"/>
      <c r="B84" s="557"/>
      <c r="C84" s="553"/>
      <c r="D84" s="539"/>
      <c r="E84" s="558"/>
      <c r="F84" s="559"/>
      <c r="G84" s="539"/>
      <c r="H84" s="540"/>
      <c r="I84" s="777"/>
      <c r="J84" s="542"/>
      <c r="K84" s="543"/>
      <c r="L84" s="539"/>
      <c r="M84" s="540"/>
      <c r="N84" s="241"/>
      <c r="O84" s="242"/>
      <c r="P84" s="243"/>
      <c r="Q84" s="244"/>
      <c r="R84" s="245"/>
      <c r="S84" s="243"/>
      <c r="T84" s="246"/>
      <c r="U84" s="246"/>
      <c r="V84" s="247"/>
      <c r="W84" s="248"/>
      <c r="X84" s="243"/>
      <c r="Y84" s="246"/>
      <c r="Z84" s="241"/>
      <c r="AA84" s="242"/>
      <c r="AB84" s="243"/>
      <c r="AC84" s="244"/>
      <c r="AD84" s="245"/>
      <c r="AE84" s="243"/>
      <c r="AF84" s="246"/>
      <c r="AG84" s="246"/>
      <c r="AH84" s="247"/>
      <c r="AI84" s="248"/>
      <c r="AJ84" s="243"/>
      <c r="AK84" s="246"/>
      <c r="AL84" s="316"/>
      <c r="AM84" s="317"/>
      <c r="AN84" s="318"/>
      <c r="AO84" s="319"/>
      <c r="AP84" s="320"/>
      <c r="AQ84" s="318"/>
      <c r="AR84" s="321"/>
      <c r="AS84" s="321"/>
      <c r="AT84" s="322"/>
      <c r="AU84" s="323"/>
      <c r="AV84" s="318"/>
      <c r="AW84" s="321"/>
      <c r="AX84" s="241"/>
      <c r="AY84" s="242"/>
      <c r="AZ84" s="243"/>
      <c r="BA84" s="244"/>
      <c r="BB84" s="245"/>
      <c r="BC84" s="243"/>
      <c r="BD84" s="246"/>
      <c r="BE84" s="246"/>
      <c r="BF84" s="247"/>
      <c r="BG84" s="248"/>
      <c r="BH84" s="243"/>
      <c r="BI84" s="246"/>
      <c r="BJ84" s="293"/>
      <c r="BK84" s="294"/>
      <c r="BL84" s="295"/>
      <c r="BM84" s="296"/>
      <c r="BN84" s="297"/>
      <c r="BO84" s="295"/>
      <c r="BP84" s="298"/>
      <c r="BQ84" s="298"/>
      <c r="BR84" s="299"/>
      <c r="BS84" s="300"/>
      <c r="BT84" s="295"/>
      <c r="BU84" s="298"/>
    </row>
    <row r="85" spans="1:73" ht="14.4">
      <c r="A85" s="1231">
        <v>15</v>
      </c>
      <c r="B85" s="533" t="s">
        <v>564</v>
      </c>
      <c r="C85" s="545">
        <v>1</v>
      </c>
      <c r="D85" s="546"/>
      <c r="E85" s="547"/>
      <c r="F85" s="545"/>
      <c r="G85" s="546">
        <v>1</v>
      </c>
      <c r="H85" s="547"/>
      <c r="I85" s="774" t="s">
        <v>341</v>
      </c>
      <c r="J85" s="533"/>
      <c r="K85" s="548"/>
      <c r="L85" s="546"/>
      <c r="M85" s="547"/>
      <c r="N85" s="280"/>
      <c r="O85" s="277"/>
      <c r="P85" s="278"/>
      <c r="Q85" s="279"/>
      <c r="R85" s="277"/>
      <c r="S85" s="278"/>
      <c r="T85" s="279"/>
      <c r="U85" s="279"/>
      <c r="V85" s="280"/>
      <c r="W85" s="281"/>
      <c r="X85" s="278"/>
      <c r="Y85" s="279"/>
      <c r="Z85" s="280"/>
      <c r="AA85" s="277"/>
      <c r="AB85" s="278"/>
      <c r="AC85" s="279"/>
      <c r="AD85" s="277"/>
      <c r="AE85" s="278"/>
      <c r="AF85" s="279"/>
      <c r="AG85" s="279"/>
      <c r="AH85" s="280"/>
      <c r="AI85" s="281"/>
      <c r="AJ85" s="278"/>
      <c r="AK85" s="279"/>
      <c r="AL85" s="305"/>
      <c r="AM85" s="302"/>
      <c r="AN85" s="303"/>
      <c r="AO85" s="304"/>
      <c r="AP85" s="302"/>
      <c r="AQ85" s="303"/>
      <c r="AR85" s="304"/>
      <c r="AS85" s="304"/>
      <c r="AT85" s="305"/>
      <c r="AU85" s="306"/>
      <c r="AV85" s="303"/>
      <c r="AW85" s="304"/>
      <c r="AX85" s="193" t="s">
        <v>385</v>
      </c>
      <c r="AY85" s="190"/>
      <c r="AZ85" s="191"/>
      <c r="BA85" s="192"/>
      <c r="BB85" s="190"/>
      <c r="BC85" s="191"/>
      <c r="BD85" s="192"/>
      <c r="BE85" s="192"/>
      <c r="BF85" s="193"/>
      <c r="BG85" s="194"/>
      <c r="BH85" s="191"/>
      <c r="BI85" s="192"/>
      <c r="BJ85" s="280"/>
      <c r="BK85" s="277"/>
      <c r="BL85" s="278"/>
      <c r="BM85" s="279"/>
      <c r="BN85" s="277"/>
      <c r="BO85" s="278"/>
      <c r="BP85" s="279"/>
      <c r="BQ85" s="279"/>
      <c r="BR85" s="280"/>
      <c r="BS85" s="281"/>
      <c r="BT85" s="278"/>
      <c r="BU85" s="279"/>
    </row>
    <row r="86" spans="1:73" ht="14.4">
      <c r="A86" s="1239"/>
      <c r="B86" s="549" t="s">
        <v>565</v>
      </c>
      <c r="C86" s="554"/>
      <c r="D86" s="686"/>
      <c r="E86" s="687">
        <v>1</v>
      </c>
      <c r="F86" s="554"/>
      <c r="G86" s="686">
        <v>1</v>
      </c>
      <c r="H86" s="687"/>
      <c r="I86" s="775" t="s">
        <v>341</v>
      </c>
      <c r="J86" s="688"/>
      <c r="K86" s="689"/>
      <c r="L86" s="686"/>
      <c r="M86" s="687"/>
      <c r="N86" s="283"/>
      <c r="O86" s="196"/>
      <c r="P86" s="345"/>
      <c r="Q86" s="346"/>
      <c r="R86" s="196"/>
      <c r="S86" s="345"/>
      <c r="T86" s="346"/>
      <c r="U86" s="346"/>
      <c r="V86" s="347"/>
      <c r="W86" s="197"/>
      <c r="X86" s="345"/>
      <c r="Y86" s="346"/>
      <c r="Z86" s="283"/>
      <c r="AA86" s="196"/>
      <c r="AB86" s="345"/>
      <c r="AC86" s="346"/>
      <c r="AD86" s="196"/>
      <c r="AE86" s="345"/>
      <c r="AF86" s="346"/>
      <c r="AG86" s="346"/>
      <c r="AH86" s="347"/>
      <c r="AI86" s="197"/>
      <c r="AJ86" s="345"/>
      <c r="AK86" s="346"/>
      <c r="AL86" s="307"/>
      <c r="AM86" s="204"/>
      <c r="AN86" s="695"/>
      <c r="AO86" s="696"/>
      <c r="AP86" s="204"/>
      <c r="AQ86" s="695"/>
      <c r="AR86" s="696"/>
      <c r="AS86" s="696"/>
      <c r="AT86" s="356"/>
      <c r="AU86" s="205"/>
      <c r="AV86" s="695"/>
      <c r="AW86" s="696"/>
      <c r="AX86" s="212"/>
      <c r="AY86" s="213"/>
      <c r="AZ86" s="332"/>
      <c r="BA86" s="333"/>
      <c r="BB86" s="213"/>
      <c r="BC86" s="332"/>
      <c r="BD86" s="333"/>
      <c r="BE86" s="333"/>
      <c r="BF86" s="331"/>
      <c r="BG86" s="260"/>
      <c r="BH86" s="332"/>
      <c r="BI86" s="333"/>
      <c r="BJ86" s="283"/>
      <c r="BK86" s="196"/>
      <c r="BL86" s="345"/>
      <c r="BM86" s="346"/>
      <c r="BN86" s="196"/>
      <c r="BO86" s="345"/>
      <c r="BP86" s="346"/>
      <c r="BQ86" s="346"/>
      <c r="BR86" s="347"/>
      <c r="BS86" s="197"/>
      <c r="BT86" s="345"/>
      <c r="BU86" s="346"/>
    </row>
    <row r="87" spans="1:73" ht="14.4">
      <c r="A87" s="1239"/>
      <c r="B87" s="549" t="s">
        <v>566</v>
      </c>
      <c r="C87" s="554"/>
      <c r="D87" s="686"/>
      <c r="E87" s="687">
        <v>1</v>
      </c>
      <c r="F87" s="554"/>
      <c r="G87" s="686">
        <v>1</v>
      </c>
      <c r="H87" s="687"/>
      <c r="I87" s="775" t="s">
        <v>341</v>
      </c>
      <c r="J87" s="688"/>
      <c r="K87" s="689"/>
      <c r="L87" s="686"/>
      <c r="M87" s="687"/>
      <c r="N87" s="283"/>
      <c r="O87" s="196"/>
      <c r="P87" s="345"/>
      <c r="Q87" s="346"/>
      <c r="R87" s="196"/>
      <c r="S87" s="345"/>
      <c r="T87" s="346"/>
      <c r="U87" s="346"/>
      <c r="V87" s="347"/>
      <c r="W87" s="197"/>
      <c r="X87" s="345"/>
      <c r="Y87" s="346"/>
      <c r="Z87" s="283"/>
      <c r="AA87" s="196"/>
      <c r="AB87" s="345"/>
      <c r="AC87" s="346"/>
      <c r="AD87" s="196"/>
      <c r="AE87" s="345"/>
      <c r="AF87" s="346"/>
      <c r="AG87" s="346"/>
      <c r="AH87" s="347"/>
      <c r="AI87" s="197"/>
      <c r="AJ87" s="345"/>
      <c r="AK87" s="346"/>
      <c r="AL87" s="307"/>
      <c r="AM87" s="204"/>
      <c r="AN87" s="695"/>
      <c r="AO87" s="696"/>
      <c r="AP87" s="204"/>
      <c r="AQ87" s="695"/>
      <c r="AR87" s="696"/>
      <c r="AS87" s="696"/>
      <c r="AT87" s="356"/>
      <c r="AU87" s="205"/>
      <c r="AV87" s="695"/>
      <c r="AW87" s="696"/>
      <c r="AX87" s="212"/>
      <c r="AY87" s="213"/>
      <c r="AZ87" s="332"/>
      <c r="BA87" s="333"/>
      <c r="BB87" s="213"/>
      <c r="BC87" s="332"/>
      <c r="BD87" s="333"/>
      <c r="BE87" s="333"/>
      <c r="BF87" s="331"/>
      <c r="BG87" s="260"/>
      <c r="BH87" s="332"/>
      <c r="BI87" s="333"/>
      <c r="BJ87" s="283"/>
      <c r="BK87" s="196"/>
      <c r="BL87" s="345"/>
      <c r="BM87" s="346"/>
      <c r="BN87" s="196"/>
      <c r="BO87" s="345"/>
      <c r="BP87" s="346"/>
      <c r="BQ87" s="346"/>
      <c r="BR87" s="347"/>
      <c r="BS87" s="197"/>
      <c r="BT87" s="345"/>
      <c r="BU87" s="346"/>
    </row>
    <row r="88" spans="1:73" ht="14.4">
      <c r="A88" s="1239"/>
      <c r="B88" s="549" t="s">
        <v>567</v>
      </c>
      <c r="C88" s="554"/>
      <c r="D88" s="686"/>
      <c r="E88" s="687">
        <v>1</v>
      </c>
      <c r="F88" s="554"/>
      <c r="G88" s="686">
        <v>1</v>
      </c>
      <c r="H88" s="687"/>
      <c r="I88" s="775" t="s">
        <v>341</v>
      </c>
      <c r="J88" s="688"/>
      <c r="K88" s="689"/>
      <c r="L88" s="686" t="s">
        <v>568</v>
      </c>
      <c r="M88" s="687"/>
      <c r="N88" s="283"/>
      <c r="O88" s="196"/>
      <c r="P88" s="345"/>
      <c r="Q88" s="346"/>
      <c r="R88" s="196"/>
      <c r="S88" s="345"/>
      <c r="T88" s="346"/>
      <c r="U88" s="346"/>
      <c r="V88" s="347"/>
      <c r="W88" s="197"/>
      <c r="X88" s="345"/>
      <c r="Y88" s="346"/>
      <c r="Z88" s="283"/>
      <c r="AA88" s="196"/>
      <c r="AB88" s="345"/>
      <c r="AC88" s="346"/>
      <c r="AD88" s="196"/>
      <c r="AE88" s="345"/>
      <c r="AF88" s="346"/>
      <c r="AG88" s="346"/>
      <c r="AH88" s="347"/>
      <c r="AI88" s="197"/>
      <c r="AJ88" s="345"/>
      <c r="AK88" s="346"/>
      <c r="AL88" s="307"/>
      <c r="AM88" s="204"/>
      <c r="AN88" s="695"/>
      <c r="AO88" s="696"/>
      <c r="AP88" s="204"/>
      <c r="AQ88" s="695"/>
      <c r="AR88" s="696"/>
      <c r="AS88" s="696"/>
      <c r="AT88" s="356"/>
      <c r="AU88" s="205"/>
      <c r="AV88" s="695"/>
      <c r="AW88" s="696"/>
      <c r="AX88" s="212"/>
      <c r="AY88" s="213"/>
      <c r="AZ88" s="332"/>
      <c r="BA88" s="333"/>
      <c r="BB88" s="213"/>
      <c r="BC88" s="332"/>
      <c r="BD88" s="333"/>
      <c r="BE88" s="333"/>
      <c r="BF88" s="331"/>
      <c r="BG88" s="260"/>
      <c r="BH88" s="332"/>
      <c r="BI88" s="333"/>
      <c r="BJ88" s="283"/>
      <c r="BK88" s="196"/>
      <c r="BL88" s="345"/>
      <c r="BM88" s="346"/>
      <c r="BN88" s="196"/>
      <c r="BO88" s="345"/>
      <c r="BP88" s="346"/>
      <c r="BQ88" s="346"/>
      <c r="BR88" s="347"/>
      <c r="BS88" s="197"/>
      <c r="BT88" s="345"/>
      <c r="BU88" s="346"/>
    </row>
    <row r="89" spans="1:73" ht="14.4">
      <c r="A89" s="1232"/>
      <c r="B89" s="549"/>
      <c r="C89" s="554"/>
      <c r="D89" s="551"/>
      <c r="E89" s="555"/>
      <c r="F89" s="534"/>
      <c r="G89" s="551"/>
      <c r="H89" s="555"/>
      <c r="I89" s="776"/>
      <c r="J89" s="537"/>
      <c r="K89" s="538"/>
      <c r="L89" s="535"/>
      <c r="M89" s="536"/>
      <c r="N89" s="283"/>
      <c r="O89" s="196"/>
      <c r="P89" s="284"/>
      <c r="Q89" s="285"/>
      <c r="R89" s="286"/>
      <c r="S89" s="284"/>
      <c r="T89" s="285"/>
      <c r="U89" s="287"/>
      <c r="V89" s="288"/>
      <c r="W89" s="289"/>
      <c r="X89" s="290"/>
      <c r="Y89" s="287"/>
      <c r="Z89" s="283"/>
      <c r="AA89" s="196"/>
      <c r="AB89" s="284"/>
      <c r="AC89" s="285"/>
      <c r="AD89" s="286"/>
      <c r="AE89" s="284"/>
      <c r="AF89" s="285"/>
      <c r="AG89" s="287"/>
      <c r="AH89" s="288"/>
      <c r="AI89" s="289"/>
      <c r="AJ89" s="290"/>
      <c r="AK89" s="287"/>
      <c r="AL89" s="307"/>
      <c r="AM89" s="204"/>
      <c r="AN89" s="308"/>
      <c r="AO89" s="309"/>
      <c r="AP89" s="334"/>
      <c r="AQ89" s="308"/>
      <c r="AR89" s="309"/>
      <c r="AS89" s="311"/>
      <c r="AT89" s="312"/>
      <c r="AU89" s="313"/>
      <c r="AV89" s="314"/>
      <c r="AW89" s="311"/>
      <c r="AX89" s="212"/>
      <c r="AY89" s="213"/>
      <c r="AZ89" s="214"/>
      <c r="BA89" s="215"/>
      <c r="BB89" s="216"/>
      <c r="BC89" s="214"/>
      <c r="BD89" s="215"/>
      <c r="BE89" s="217"/>
      <c r="BF89" s="218"/>
      <c r="BG89" s="219"/>
      <c r="BH89" s="220"/>
      <c r="BI89" s="217"/>
      <c r="BJ89" s="283"/>
      <c r="BK89" s="196"/>
      <c r="BL89" s="284"/>
      <c r="BM89" s="285"/>
      <c r="BN89" s="286"/>
      <c r="BO89" s="284"/>
      <c r="BP89" s="285"/>
      <c r="BQ89" s="287"/>
      <c r="BR89" s="288"/>
      <c r="BS89" s="289"/>
      <c r="BT89" s="290"/>
      <c r="BU89" s="287"/>
    </row>
    <row r="90" spans="1:73" ht="14.4">
      <c r="A90" s="1232"/>
      <c r="B90" s="549"/>
      <c r="C90" s="550"/>
      <c r="D90" s="551"/>
      <c r="E90" s="555"/>
      <c r="F90" s="556"/>
      <c r="G90" s="551"/>
      <c r="H90" s="536"/>
      <c r="I90" s="776"/>
      <c r="J90" s="537"/>
      <c r="K90" s="538"/>
      <c r="L90" s="535"/>
      <c r="M90" s="536"/>
      <c r="N90" s="283"/>
      <c r="O90" s="291"/>
      <c r="P90" s="284"/>
      <c r="Q90" s="285"/>
      <c r="R90" s="292"/>
      <c r="S90" s="284"/>
      <c r="T90" s="287"/>
      <c r="U90" s="287"/>
      <c r="V90" s="288"/>
      <c r="W90" s="289"/>
      <c r="X90" s="290"/>
      <c r="Y90" s="287"/>
      <c r="Z90" s="283"/>
      <c r="AA90" s="291"/>
      <c r="AB90" s="284"/>
      <c r="AC90" s="285"/>
      <c r="AD90" s="292"/>
      <c r="AE90" s="284"/>
      <c r="AF90" s="287"/>
      <c r="AG90" s="287"/>
      <c r="AH90" s="288"/>
      <c r="AI90" s="289"/>
      <c r="AJ90" s="290"/>
      <c r="AK90" s="287"/>
      <c r="AL90" s="307"/>
      <c r="AM90" s="315"/>
      <c r="AN90" s="308"/>
      <c r="AO90" s="309"/>
      <c r="AP90" s="310"/>
      <c r="AQ90" s="308"/>
      <c r="AR90" s="311"/>
      <c r="AS90" s="311"/>
      <c r="AT90" s="312"/>
      <c r="AU90" s="313"/>
      <c r="AV90" s="314"/>
      <c r="AW90" s="311"/>
      <c r="AX90" s="212"/>
      <c r="AY90" s="221"/>
      <c r="AZ90" s="214"/>
      <c r="BA90" s="215"/>
      <c r="BB90" s="222"/>
      <c r="BC90" s="214"/>
      <c r="BD90" s="217"/>
      <c r="BE90" s="217"/>
      <c r="BF90" s="218"/>
      <c r="BG90" s="219"/>
      <c r="BH90" s="220"/>
      <c r="BI90" s="217"/>
      <c r="BJ90" s="283"/>
      <c r="BK90" s="291"/>
      <c r="BL90" s="284"/>
      <c r="BM90" s="285"/>
      <c r="BN90" s="292"/>
      <c r="BO90" s="284"/>
      <c r="BP90" s="287"/>
      <c r="BQ90" s="287"/>
      <c r="BR90" s="288"/>
      <c r="BS90" s="289"/>
      <c r="BT90" s="290"/>
      <c r="BU90" s="287"/>
    </row>
    <row r="91" spans="1:73" ht="14.4">
      <c r="A91" s="1233"/>
      <c r="B91" s="557"/>
      <c r="C91" s="553"/>
      <c r="D91" s="539"/>
      <c r="E91" s="558"/>
      <c r="F91" s="559"/>
      <c r="G91" s="539"/>
      <c r="H91" s="540"/>
      <c r="I91" s="777"/>
      <c r="J91" s="542"/>
      <c r="K91" s="543"/>
      <c r="L91" s="539"/>
      <c r="M91" s="540"/>
      <c r="N91" s="293"/>
      <c r="O91" s="294"/>
      <c r="P91" s="295"/>
      <c r="Q91" s="296"/>
      <c r="R91" s="297"/>
      <c r="S91" s="295"/>
      <c r="T91" s="298"/>
      <c r="U91" s="298"/>
      <c r="V91" s="299"/>
      <c r="W91" s="300"/>
      <c r="X91" s="295"/>
      <c r="Y91" s="298"/>
      <c r="Z91" s="293"/>
      <c r="AA91" s="294"/>
      <c r="AB91" s="295"/>
      <c r="AC91" s="296"/>
      <c r="AD91" s="297"/>
      <c r="AE91" s="295"/>
      <c r="AF91" s="298"/>
      <c r="AG91" s="298"/>
      <c r="AH91" s="299"/>
      <c r="AI91" s="300"/>
      <c r="AJ91" s="295"/>
      <c r="AK91" s="298"/>
      <c r="AL91" s="316"/>
      <c r="AM91" s="317"/>
      <c r="AN91" s="318"/>
      <c r="AO91" s="319"/>
      <c r="AP91" s="320"/>
      <c r="AQ91" s="318"/>
      <c r="AR91" s="321"/>
      <c r="AS91" s="321"/>
      <c r="AT91" s="322"/>
      <c r="AU91" s="323"/>
      <c r="AV91" s="318"/>
      <c r="AW91" s="321"/>
      <c r="AX91" s="353"/>
      <c r="AY91" s="242"/>
      <c r="AZ91" s="243"/>
      <c r="BA91" s="244"/>
      <c r="BB91" s="245"/>
      <c r="BC91" s="243"/>
      <c r="BD91" s="246"/>
      <c r="BE91" s="246"/>
      <c r="BF91" s="247"/>
      <c r="BG91" s="248"/>
      <c r="BH91" s="243"/>
      <c r="BI91" s="246"/>
      <c r="BJ91" s="354"/>
      <c r="BK91" s="294"/>
      <c r="BL91" s="295"/>
      <c r="BM91" s="296"/>
      <c r="BN91" s="297"/>
      <c r="BO91" s="295"/>
      <c r="BP91" s="298"/>
      <c r="BQ91" s="298"/>
      <c r="BR91" s="299"/>
      <c r="BS91" s="300"/>
      <c r="BT91" s="295"/>
      <c r="BU91" s="298"/>
    </row>
    <row r="92" spans="1:73" ht="14.4">
      <c r="A92" s="1231">
        <v>16</v>
      </c>
      <c r="B92" s="533" t="s">
        <v>569</v>
      </c>
      <c r="C92" s="545">
        <v>1</v>
      </c>
      <c r="D92" s="546"/>
      <c r="E92" s="547"/>
      <c r="F92" s="545"/>
      <c r="G92" s="546">
        <v>1</v>
      </c>
      <c r="H92" s="547"/>
      <c r="I92" s="774" t="s">
        <v>341</v>
      </c>
      <c r="J92" s="533"/>
      <c r="K92" s="548"/>
      <c r="L92" s="546"/>
      <c r="M92" s="547"/>
      <c r="N92" s="280"/>
      <c r="O92" s="277"/>
      <c r="P92" s="278"/>
      <c r="Q92" s="279"/>
      <c r="R92" s="277"/>
      <c r="S92" s="278"/>
      <c r="T92" s="279"/>
      <c r="U92" s="279"/>
      <c r="V92" s="280"/>
      <c r="W92" s="281"/>
      <c r="X92" s="278"/>
      <c r="Y92" s="279"/>
      <c r="Z92" s="280"/>
      <c r="AA92" s="277"/>
      <c r="AB92" s="278"/>
      <c r="AC92" s="279"/>
      <c r="AD92" s="277"/>
      <c r="AE92" s="278"/>
      <c r="AF92" s="279"/>
      <c r="AG92" s="279"/>
      <c r="AH92" s="280"/>
      <c r="AI92" s="281"/>
      <c r="AJ92" s="278"/>
      <c r="AK92" s="279"/>
      <c r="AL92" s="193" t="s">
        <v>261</v>
      </c>
      <c r="AM92" s="190"/>
      <c r="AN92" s="191"/>
      <c r="AO92" s="192"/>
      <c r="AP92" s="190"/>
      <c r="AQ92" s="191"/>
      <c r="AR92" s="192"/>
      <c r="AS92" s="192"/>
      <c r="AT92" s="193"/>
      <c r="AU92" s="194"/>
      <c r="AV92" s="191"/>
      <c r="AW92" s="192"/>
      <c r="AX92" s="352" t="s">
        <v>386</v>
      </c>
      <c r="AY92" s="190"/>
      <c r="AZ92" s="191"/>
      <c r="BA92" s="192"/>
      <c r="BB92" s="190"/>
      <c r="BC92" s="191"/>
      <c r="BD92" s="192"/>
      <c r="BE92" s="192"/>
      <c r="BF92" s="193"/>
      <c r="BG92" s="194"/>
      <c r="BH92" s="191"/>
      <c r="BI92" s="192"/>
      <c r="BJ92" s="352"/>
      <c r="BK92" s="190"/>
      <c r="BL92" s="191"/>
      <c r="BM92" s="192"/>
      <c r="BN92" s="190"/>
      <c r="BO92" s="191"/>
      <c r="BP92" s="192"/>
      <c r="BQ92" s="192"/>
      <c r="BR92" s="193"/>
      <c r="BS92" s="194"/>
      <c r="BT92" s="191"/>
      <c r="BU92" s="192"/>
    </row>
    <row r="93" spans="1:73" ht="14.4">
      <c r="A93" s="1239"/>
      <c r="B93" s="549" t="s">
        <v>570</v>
      </c>
      <c r="C93" s="554">
        <v>1</v>
      </c>
      <c r="D93" s="686"/>
      <c r="E93" s="687"/>
      <c r="F93" s="554"/>
      <c r="G93" s="686">
        <v>1</v>
      </c>
      <c r="H93" s="687"/>
      <c r="I93" s="775" t="s">
        <v>341</v>
      </c>
      <c r="J93" s="688"/>
      <c r="K93" s="689"/>
      <c r="L93" s="686"/>
      <c r="M93" s="687"/>
      <c r="N93" s="283"/>
      <c r="O93" s="196"/>
      <c r="P93" s="345"/>
      <c r="Q93" s="346"/>
      <c r="R93" s="196"/>
      <c r="S93" s="345"/>
      <c r="T93" s="346"/>
      <c r="U93" s="346"/>
      <c r="V93" s="347"/>
      <c r="W93" s="197"/>
      <c r="X93" s="345"/>
      <c r="Y93" s="346"/>
      <c r="Z93" s="283"/>
      <c r="AA93" s="196"/>
      <c r="AB93" s="345"/>
      <c r="AC93" s="346"/>
      <c r="AD93" s="196"/>
      <c r="AE93" s="345"/>
      <c r="AF93" s="346"/>
      <c r="AG93" s="346"/>
      <c r="AH93" s="347"/>
      <c r="AI93" s="197"/>
      <c r="AJ93" s="345"/>
      <c r="AK93" s="346"/>
      <c r="AL93" s="212"/>
      <c r="AM93" s="213"/>
      <c r="AN93" s="332"/>
      <c r="AO93" s="333"/>
      <c r="AP93" s="213"/>
      <c r="AQ93" s="332"/>
      <c r="AR93" s="333"/>
      <c r="AS93" s="333"/>
      <c r="AT93" s="331"/>
      <c r="AU93" s="260"/>
      <c r="AV93" s="332"/>
      <c r="AW93" s="333"/>
      <c r="AX93" s="711"/>
      <c r="AY93" s="213"/>
      <c r="AZ93" s="332"/>
      <c r="BA93" s="333"/>
      <c r="BB93" s="213"/>
      <c r="BC93" s="332"/>
      <c r="BD93" s="333"/>
      <c r="BE93" s="333"/>
      <c r="BF93" s="331"/>
      <c r="BG93" s="260"/>
      <c r="BH93" s="332"/>
      <c r="BI93" s="333"/>
      <c r="BJ93" s="711"/>
      <c r="BK93" s="213"/>
      <c r="BL93" s="332"/>
      <c r="BM93" s="333"/>
      <c r="BN93" s="213"/>
      <c r="BO93" s="332"/>
      <c r="BP93" s="333"/>
      <c r="BQ93" s="333"/>
      <c r="BR93" s="331"/>
      <c r="BS93" s="260"/>
      <c r="BT93" s="332"/>
      <c r="BU93" s="333"/>
    </row>
    <row r="94" spans="1:73" ht="14.4">
      <c r="A94" s="1239"/>
      <c r="B94" s="549" t="s">
        <v>574</v>
      </c>
      <c r="C94" s="554">
        <v>1</v>
      </c>
      <c r="D94" s="686"/>
      <c r="E94" s="687"/>
      <c r="F94" s="554"/>
      <c r="G94" s="686">
        <v>1</v>
      </c>
      <c r="H94" s="687"/>
      <c r="I94" s="775" t="s">
        <v>238</v>
      </c>
      <c r="J94" s="688" t="s">
        <v>572</v>
      </c>
      <c r="K94" s="689" t="s">
        <v>575</v>
      </c>
      <c r="L94" s="686"/>
      <c r="M94" s="687"/>
      <c r="N94" s="283"/>
      <c r="O94" s="196"/>
      <c r="P94" s="345"/>
      <c r="Q94" s="346"/>
      <c r="R94" s="196"/>
      <c r="S94" s="345"/>
      <c r="T94" s="346"/>
      <c r="U94" s="346"/>
      <c r="V94" s="347"/>
      <c r="W94" s="197"/>
      <c r="X94" s="345"/>
      <c r="Y94" s="346"/>
      <c r="Z94" s="283"/>
      <c r="AA94" s="196"/>
      <c r="AB94" s="345"/>
      <c r="AC94" s="346"/>
      <c r="AD94" s="196"/>
      <c r="AE94" s="345"/>
      <c r="AF94" s="346"/>
      <c r="AG94" s="346"/>
      <c r="AH94" s="347"/>
      <c r="AI94" s="197"/>
      <c r="AJ94" s="345"/>
      <c r="AK94" s="346"/>
      <c r="AL94" s="212"/>
      <c r="AM94" s="213"/>
      <c r="AN94" s="332"/>
      <c r="AO94" s="333"/>
      <c r="AP94" s="213"/>
      <c r="AQ94" s="332"/>
      <c r="AR94" s="333"/>
      <c r="AS94" s="333"/>
      <c r="AT94" s="331"/>
      <c r="AU94" s="260"/>
      <c r="AV94" s="332"/>
      <c r="AW94" s="333"/>
      <c r="AX94" s="711"/>
      <c r="AY94" s="213"/>
      <c r="AZ94" s="332"/>
      <c r="BA94" s="333"/>
      <c r="BB94" s="213"/>
      <c r="BC94" s="332"/>
      <c r="BD94" s="333"/>
      <c r="BE94" s="333"/>
      <c r="BF94" s="331"/>
      <c r="BG94" s="260"/>
      <c r="BH94" s="332"/>
      <c r="BI94" s="333"/>
      <c r="BJ94" s="711"/>
      <c r="BK94" s="213"/>
      <c r="BL94" s="332"/>
      <c r="BM94" s="333"/>
      <c r="BN94" s="213"/>
      <c r="BO94" s="332"/>
      <c r="BP94" s="333"/>
      <c r="BQ94" s="333"/>
      <c r="BR94" s="331"/>
      <c r="BS94" s="260"/>
      <c r="BT94" s="332"/>
      <c r="BU94" s="333"/>
    </row>
    <row r="95" spans="1:73" ht="14.4">
      <c r="A95" s="1239"/>
      <c r="B95" s="549" t="s">
        <v>577</v>
      </c>
      <c r="C95" s="554">
        <v>1</v>
      </c>
      <c r="D95" s="686"/>
      <c r="E95" s="687"/>
      <c r="F95" s="554"/>
      <c r="G95" s="686">
        <v>1</v>
      </c>
      <c r="H95" s="687"/>
      <c r="I95" s="775" t="s">
        <v>341</v>
      </c>
      <c r="J95" s="688"/>
      <c r="K95" s="689"/>
      <c r="L95" s="686" t="s">
        <v>576</v>
      </c>
      <c r="M95" s="687"/>
      <c r="N95" s="283"/>
      <c r="O95" s="196"/>
      <c r="P95" s="345"/>
      <c r="Q95" s="346"/>
      <c r="R95" s="196"/>
      <c r="S95" s="345"/>
      <c r="T95" s="346"/>
      <c r="U95" s="346"/>
      <c r="V95" s="347"/>
      <c r="W95" s="197"/>
      <c r="X95" s="345"/>
      <c r="Y95" s="346"/>
      <c r="Z95" s="283"/>
      <c r="AA95" s="196"/>
      <c r="AB95" s="345"/>
      <c r="AC95" s="346"/>
      <c r="AD95" s="196"/>
      <c r="AE95" s="345"/>
      <c r="AF95" s="346"/>
      <c r="AG95" s="346"/>
      <c r="AH95" s="347"/>
      <c r="AI95" s="197"/>
      <c r="AJ95" s="345"/>
      <c r="AK95" s="346"/>
      <c r="AL95" s="212"/>
      <c r="AM95" s="213"/>
      <c r="AN95" s="332"/>
      <c r="AO95" s="333"/>
      <c r="AP95" s="213"/>
      <c r="AQ95" s="332"/>
      <c r="AR95" s="333"/>
      <c r="AS95" s="333"/>
      <c r="AT95" s="331"/>
      <c r="AU95" s="260"/>
      <c r="AV95" s="332"/>
      <c r="AW95" s="333"/>
      <c r="AX95" s="711"/>
      <c r="AY95" s="213"/>
      <c r="AZ95" s="332"/>
      <c r="BA95" s="333"/>
      <c r="BB95" s="213"/>
      <c r="BC95" s="332"/>
      <c r="BD95" s="333"/>
      <c r="BE95" s="333"/>
      <c r="BF95" s="331"/>
      <c r="BG95" s="260"/>
      <c r="BH95" s="332"/>
      <c r="BI95" s="333"/>
      <c r="BJ95" s="711"/>
      <c r="BK95" s="213"/>
      <c r="BL95" s="332"/>
      <c r="BM95" s="333"/>
      <c r="BN95" s="213"/>
      <c r="BO95" s="332"/>
      <c r="BP95" s="333"/>
      <c r="BQ95" s="333"/>
      <c r="BR95" s="331"/>
      <c r="BS95" s="260"/>
      <c r="BT95" s="332"/>
      <c r="BU95" s="333"/>
    </row>
    <row r="96" spans="1:73" ht="14.4">
      <c r="A96" s="1232"/>
      <c r="B96" s="549"/>
      <c r="C96" s="554"/>
      <c r="D96" s="551"/>
      <c r="E96" s="555"/>
      <c r="F96" s="556"/>
      <c r="G96" s="551"/>
      <c r="H96" s="555"/>
      <c r="I96" s="776"/>
      <c r="J96" s="537"/>
      <c r="K96" s="538"/>
      <c r="L96" s="535"/>
      <c r="M96" s="536"/>
      <c r="N96" s="283"/>
      <c r="O96" s="196"/>
      <c r="P96" s="284"/>
      <c r="Q96" s="285"/>
      <c r="R96" s="292"/>
      <c r="S96" s="284"/>
      <c r="T96" s="285"/>
      <c r="U96" s="287"/>
      <c r="V96" s="288"/>
      <c r="W96" s="289"/>
      <c r="X96" s="290"/>
      <c r="Y96" s="287"/>
      <c r="Z96" s="283"/>
      <c r="AA96" s="196"/>
      <c r="AB96" s="284"/>
      <c r="AC96" s="285"/>
      <c r="AD96" s="292"/>
      <c r="AE96" s="284"/>
      <c r="AF96" s="285"/>
      <c r="AG96" s="287"/>
      <c r="AH96" s="288"/>
      <c r="AI96" s="289"/>
      <c r="AJ96" s="290"/>
      <c r="AK96" s="287"/>
      <c r="AL96" s="212"/>
      <c r="AM96" s="213"/>
      <c r="AN96" s="214"/>
      <c r="AO96" s="215"/>
      <c r="AP96" s="222"/>
      <c r="AQ96" s="214"/>
      <c r="AR96" s="215"/>
      <c r="AS96" s="217"/>
      <c r="AT96" s="218"/>
      <c r="AU96" s="219"/>
      <c r="AV96" s="220"/>
      <c r="AW96" s="217"/>
      <c r="AX96" s="212" t="s">
        <v>46</v>
      </c>
      <c r="AY96" s="213"/>
      <c r="AZ96" s="214">
        <v>1</v>
      </c>
      <c r="BA96" s="215"/>
      <c r="BB96" s="222"/>
      <c r="BC96" s="214"/>
      <c r="BD96" s="215">
        <v>1</v>
      </c>
      <c r="BE96" s="217" t="s">
        <v>251</v>
      </c>
      <c r="BF96" s="218" t="s">
        <v>31</v>
      </c>
      <c r="BG96" s="219" t="s">
        <v>389</v>
      </c>
      <c r="BH96" s="220" t="s">
        <v>390</v>
      </c>
      <c r="BI96" s="217" t="s">
        <v>264</v>
      </c>
      <c r="BJ96" s="212"/>
      <c r="BK96" s="213"/>
      <c r="BL96" s="214"/>
      <c r="BM96" s="215"/>
      <c r="BN96" s="222"/>
      <c r="BO96" s="214"/>
      <c r="BP96" s="215"/>
      <c r="BQ96" s="217"/>
      <c r="BR96" s="218"/>
      <c r="BS96" s="219"/>
      <c r="BT96" s="220"/>
      <c r="BU96" s="217"/>
    </row>
    <row r="97" spans="1:73" ht="14.4">
      <c r="A97" s="1232"/>
      <c r="B97" s="549"/>
      <c r="C97" s="550"/>
      <c r="D97" s="551"/>
      <c r="E97" s="555"/>
      <c r="F97" s="556"/>
      <c r="G97" s="551"/>
      <c r="H97" s="555"/>
      <c r="I97" s="776"/>
      <c r="J97" s="537"/>
      <c r="K97" s="538"/>
      <c r="L97" s="535"/>
      <c r="M97" s="536"/>
      <c r="N97" s="283"/>
      <c r="O97" s="291"/>
      <c r="P97" s="284"/>
      <c r="Q97" s="285"/>
      <c r="R97" s="292"/>
      <c r="S97" s="284"/>
      <c r="T97" s="285"/>
      <c r="U97" s="287"/>
      <c r="V97" s="288"/>
      <c r="W97" s="289"/>
      <c r="X97" s="290"/>
      <c r="Y97" s="287"/>
      <c r="Z97" s="283"/>
      <c r="AA97" s="291"/>
      <c r="AB97" s="284"/>
      <c r="AC97" s="285"/>
      <c r="AD97" s="292"/>
      <c r="AE97" s="284"/>
      <c r="AF97" s="285"/>
      <c r="AG97" s="287"/>
      <c r="AH97" s="288"/>
      <c r="AI97" s="289"/>
      <c r="AJ97" s="290"/>
      <c r="AK97" s="287"/>
      <c r="AL97" s="212"/>
      <c r="AM97" s="221"/>
      <c r="AN97" s="214"/>
      <c r="AO97" s="215"/>
      <c r="AP97" s="222"/>
      <c r="AQ97" s="214"/>
      <c r="AR97" s="215"/>
      <c r="AS97" s="217"/>
      <c r="AT97" s="218"/>
      <c r="AU97" s="219"/>
      <c r="AV97" s="220"/>
      <c r="AW97" s="217"/>
      <c r="AX97" s="212"/>
      <c r="AY97" s="221"/>
      <c r="AZ97" s="214"/>
      <c r="BA97" s="215"/>
      <c r="BB97" s="222"/>
      <c r="BC97" s="214"/>
      <c r="BD97" s="215"/>
      <c r="BE97" s="217"/>
      <c r="BF97" s="218"/>
      <c r="BG97" s="219"/>
      <c r="BH97" s="220"/>
      <c r="BI97" s="217"/>
      <c r="BJ97" s="212"/>
      <c r="BK97" s="221"/>
      <c r="BL97" s="214"/>
      <c r="BM97" s="215"/>
      <c r="BN97" s="222"/>
      <c r="BO97" s="214"/>
      <c r="BP97" s="215"/>
      <c r="BQ97" s="217"/>
      <c r="BR97" s="218"/>
      <c r="BS97" s="219"/>
      <c r="BT97" s="220"/>
      <c r="BU97" s="217"/>
    </row>
    <row r="98" spans="1:73" ht="15" thickBot="1">
      <c r="A98" s="1233"/>
      <c r="B98" s="557"/>
      <c r="C98" s="553"/>
      <c r="D98" s="539"/>
      <c r="E98" s="558"/>
      <c r="F98" s="559"/>
      <c r="G98" s="539"/>
      <c r="H98" s="540"/>
      <c r="I98" s="777"/>
      <c r="J98" s="542"/>
      <c r="K98" s="543"/>
      <c r="L98" s="539"/>
      <c r="M98" s="540"/>
      <c r="N98" s="293"/>
      <c r="O98" s="294"/>
      <c r="P98" s="295"/>
      <c r="Q98" s="296"/>
      <c r="R98" s="297"/>
      <c r="S98" s="295"/>
      <c r="T98" s="298"/>
      <c r="U98" s="298"/>
      <c r="V98" s="299"/>
      <c r="W98" s="300"/>
      <c r="X98" s="295"/>
      <c r="Y98" s="298"/>
      <c r="Z98" s="293"/>
      <c r="AA98" s="294"/>
      <c r="AB98" s="295"/>
      <c r="AC98" s="296"/>
      <c r="AD98" s="297"/>
      <c r="AE98" s="295"/>
      <c r="AF98" s="298"/>
      <c r="AG98" s="298"/>
      <c r="AH98" s="299"/>
      <c r="AI98" s="300"/>
      <c r="AJ98" s="295"/>
      <c r="AK98" s="298"/>
      <c r="AL98" s="241"/>
      <c r="AM98" s="242"/>
      <c r="AN98" s="243"/>
      <c r="AO98" s="244"/>
      <c r="AP98" s="245"/>
      <c r="AQ98" s="243"/>
      <c r="AR98" s="246"/>
      <c r="AS98" s="246"/>
      <c r="AT98" s="247"/>
      <c r="AU98" s="248"/>
      <c r="AV98" s="243"/>
      <c r="AW98" s="246"/>
      <c r="AX98" s="241"/>
      <c r="AY98" s="242"/>
      <c r="AZ98" s="243"/>
      <c r="BA98" s="244"/>
      <c r="BB98" s="245"/>
      <c r="BC98" s="243"/>
      <c r="BD98" s="246"/>
      <c r="BE98" s="246"/>
      <c r="BF98" s="247"/>
      <c r="BG98" s="248"/>
      <c r="BH98" s="243"/>
      <c r="BI98" s="246"/>
      <c r="BJ98" s="241"/>
      <c r="BK98" s="242"/>
      <c r="BL98" s="243"/>
      <c r="BM98" s="244"/>
      <c r="BN98" s="245"/>
      <c r="BO98" s="243"/>
      <c r="BP98" s="246"/>
      <c r="BQ98" s="246"/>
      <c r="BR98" s="247"/>
      <c r="BS98" s="248"/>
      <c r="BT98" s="243"/>
      <c r="BU98" s="246"/>
    </row>
    <row r="99" spans="1:73" ht="14.4">
      <c r="A99" s="1231">
        <v>17</v>
      </c>
      <c r="B99" s="533" t="s">
        <v>571</v>
      </c>
      <c r="C99" s="545">
        <v>1</v>
      </c>
      <c r="D99" s="546"/>
      <c r="E99" s="547"/>
      <c r="F99" s="545"/>
      <c r="G99" s="546">
        <v>1</v>
      </c>
      <c r="H99" s="547"/>
      <c r="I99" s="774" t="s">
        <v>238</v>
      </c>
      <c r="J99" s="688" t="s">
        <v>572</v>
      </c>
      <c r="K99" s="548"/>
      <c r="L99" s="546" t="s">
        <v>573</v>
      </c>
      <c r="M99" s="547"/>
      <c r="N99" s="193" t="s">
        <v>72</v>
      </c>
      <c r="O99" s="190">
        <v>1</v>
      </c>
      <c r="P99" s="191"/>
      <c r="Q99" s="192"/>
      <c r="R99" s="190"/>
      <c r="S99" s="191"/>
      <c r="T99" s="192">
        <v>1</v>
      </c>
      <c r="U99" s="192" t="s">
        <v>244</v>
      </c>
      <c r="V99" s="193" t="s">
        <v>93</v>
      </c>
      <c r="W99" s="194" t="s">
        <v>392</v>
      </c>
      <c r="X99" s="191" t="s">
        <v>256</v>
      </c>
      <c r="Y99" s="192" t="s">
        <v>257</v>
      </c>
      <c r="Z99" s="193" t="s">
        <v>72</v>
      </c>
      <c r="AA99" s="190"/>
      <c r="AB99" s="191">
        <v>1</v>
      </c>
      <c r="AC99" s="192"/>
      <c r="AD99" s="190">
        <v>1</v>
      </c>
      <c r="AE99" s="191"/>
      <c r="AF99" s="192"/>
      <c r="AG99" s="192" t="s">
        <v>251</v>
      </c>
      <c r="AH99" s="193" t="s">
        <v>93</v>
      </c>
      <c r="AI99" s="194" t="s">
        <v>393</v>
      </c>
      <c r="AJ99" s="191" t="s">
        <v>329</v>
      </c>
      <c r="AK99" s="192" t="s">
        <v>257</v>
      </c>
      <c r="AL99" s="193" t="s">
        <v>46</v>
      </c>
      <c r="AM99" s="190"/>
      <c r="AN99" s="191">
        <v>1</v>
      </c>
      <c r="AO99" s="192"/>
      <c r="AP99" s="190">
        <v>1</v>
      </c>
      <c r="AQ99" s="191"/>
      <c r="AR99" s="192"/>
      <c r="AS99" s="192" t="s">
        <v>251</v>
      </c>
      <c r="AT99" s="193" t="s">
        <v>88</v>
      </c>
      <c r="AU99" s="194" t="s">
        <v>394</v>
      </c>
      <c r="AV99" s="191" t="s">
        <v>240</v>
      </c>
      <c r="AW99" s="192" t="s">
        <v>241</v>
      </c>
      <c r="AX99" s="305"/>
      <c r="AY99" s="302"/>
      <c r="AZ99" s="303"/>
      <c r="BA99" s="304"/>
      <c r="BB99" s="302"/>
      <c r="BC99" s="303"/>
      <c r="BD99" s="304"/>
      <c r="BE99" s="304"/>
      <c r="BF99" s="305"/>
      <c r="BG99" s="306"/>
      <c r="BH99" s="303"/>
      <c r="BI99" s="304"/>
      <c r="BJ99" s="193"/>
      <c r="BK99" s="190"/>
      <c r="BL99" s="191"/>
      <c r="BM99" s="192"/>
      <c r="BN99" s="190"/>
      <c r="BO99" s="191"/>
      <c r="BP99" s="192"/>
      <c r="BQ99" s="192"/>
      <c r="BR99" s="193"/>
      <c r="BS99" s="194"/>
      <c r="BT99" s="191"/>
      <c r="BU99" s="192"/>
    </row>
    <row r="100" spans="1:73" ht="14.4">
      <c r="A100" s="1239"/>
      <c r="B100" s="549" t="s">
        <v>578</v>
      </c>
      <c r="C100" s="554">
        <v>1</v>
      </c>
      <c r="D100" s="686"/>
      <c r="E100" s="687"/>
      <c r="F100" s="554"/>
      <c r="G100" s="686">
        <v>1</v>
      </c>
      <c r="H100" s="687"/>
      <c r="I100" s="775" t="s">
        <v>238</v>
      </c>
      <c r="J100" s="688" t="s">
        <v>580</v>
      </c>
      <c r="K100" s="689"/>
      <c r="L100" s="686" t="s">
        <v>581</v>
      </c>
      <c r="M100" s="687"/>
      <c r="N100" s="212"/>
      <c r="O100" s="213"/>
      <c r="P100" s="332"/>
      <c r="Q100" s="333"/>
      <c r="R100" s="213"/>
      <c r="S100" s="332"/>
      <c r="T100" s="333"/>
      <c r="U100" s="333"/>
      <c r="V100" s="331"/>
      <c r="W100" s="260"/>
      <c r="X100" s="332"/>
      <c r="Y100" s="333"/>
      <c r="Z100" s="212"/>
      <c r="AA100" s="213"/>
      <c r="AB100" s="332"/>
      <c r="AC100" s="333"/>
      <c r="AD100" s="213"/>
      <c r="AE100" s="332"/>
      <c r="AF100" s="333"/>
      <c r="AG100" s="333"/>
      <c r="AH100" s="331"/>
      <c r="AI100" s="260"/>
      <c r="AJ100" s="332"/>
      <c r="AK100" s="333"/>
      <c r="AL100" s="212"/>
      <c r="AM100" s="213"/>
      <c r="AN100" s="332"/>
      <c r="AO100" s="333"/>
      <c r="AP100" s="213"/>
      <c r="AQ100" s="332"/>
      <c r="AR100" s="333"/>
      <c r="AS100" s="333"/>
      <c r="AT100" s="331"/>
      <c r="AU100" s="260"/>
      <c r="AV100" s="332"/>
      <c r="AW100" s="333"/>
      <c r="AX100" s="307"/>
      <c r="AY100" s="204"/>
      <c r="AZ100" s="695"/>
      <c r="BA100" s="696"/>
      <c r="BB100" s="204"/>
      <c r="BC100" s="695"/>
      <c r="BD100" s="696"/>
      <c r="BE100" s="696"/>
      <c r="BF100" s="356"/>
      <c r="BG100" s="205"/>
      <c r="BH100" s="695"/>
      <c r="BI100" s="696"/>
      <c r="BJ100" s="212"/>
      <c r="BK100" s="213"/>
      <c r="BL100" s="332"/>
      <c r="BM100" s="333"/>
      <c r="BN100" s="213"/>
      <c r="BO100" s="332"/>
      <c r="BP100" s="333"/>
      <c r="BQ100" s="333"/>
      <c r="BR100" s="331"/>
      <c r="BS100" s="260"/>
      <c r="BT100" s="332"/>
      <c r="BU100" s="333"/>
    </row>
    <row r="101" spans="1:73" ht="14.4">
      <c r="A101" s="1239"/>
      <c r="B101" s="549" t="s">
        <v>579</v>
      </c>
      <c r="C101" s="554">
        <v>1</v>
      </c>
      <c r="D101" s="686"/>
      <c r="E101" s="687"/>
      <c r="F101" s="554"/>
      <c r="G101" s="686">
        <v>1</v>
      </c>
      <c r="H101" s="687"/>
      <c r="I101" s="775" t="s">
        <v>341</v>
      </c>
      <c r="J101" s="688"/>
      <c r="K101" s="689"/>
      <c r="L101" s="686" t="s">
        <v>582</v>
      </c>
      <c r="M101" s="687"/>
      <c r="N101" s="212"/>
      <c r="O101" s="213"/>
      <c r="P101" s="332"/>
      <c r="Q101" s="333"/>
      <c r="R101" s="213"/>
      <c r="S101" s="332"/>
      <c r="T101" s="333"/>
      <c r="U101" s="333"/>
      <c r="V101" s="331"/>
      <c r="W101" s="260"/>
      <c r="X101" s="332"/>
      <c r="Y101" s="333"/>
      <c r="Z101" s="212"/>
      <c r="AA101" s="213"/>
      <c r="AB101" s="332"/>
      <c r="AC101" s="333"/>
      <c r="AD101" s="213"/>
      <c r="AE101" s="332"/>
      <c r="AF101" s="333"/>
      <c r="AG101" s="333"/>
      <c r="AH101" s="331"/>
      <c r="AI101" s="260"/>
      <c r="AJ101" s="332"/>
      <c r="AK101" s="333"/>
      <c r="AL101" s="212"/>
      <c r="AM101" s="213"/>
      <c r="AN101" s="332"/>
      <c r="AO101" s="333"/>
      <c r="AP101" s="213"/>
      <c r="AQ101" s="332"/>
      <c r="AR101" s="333"/>
      <c r="AS101" s="333"/>
      <c r="AT101" s="331"/>
      <c r="AU101" s="260"/>
      <c r="AV101" s="332"/>
      <c r="AW101" s="333"/>
      <c r="AX101" s="307"/>
      <c r="AY101" s="204"/>
      <c r="AZ101" s="695"/>
      <c r="BA101" s="696"/>
      <c r="BB101" s="204"/>
      <c r="BC101" s="695"/>
      <c r="BD101" s="696"/>
      <c r="BE101" s="696"/>
      <c r="BF101" s="356"/>
      <c r="BG101" s="205"/>
      <c r="BH101" s="695"/>
      <c r="BI101" s="696"/>
      <c r="BJ101" s="212"/>
      <c r="BK101" s="213"/>
      <c r="BL101" s="332"/>
      <c r="BM101" s="333"/>
      <c r="BN101" s="213"/>
      <c r="BO101" s="332"/>
      <c r="BP101" s="333"/>
      <c r="BQ101" s="333"/>
      <c r="BR101" s="331"/>
      <c r="BS101" s="260"/>
      <c r="BT101" s="332"/>
      <c r="BU101" s="333"/>
    </row>
    <row r="102" spans="1:73" ht="14.4">
      <c r="A102" s="1239"/>
      <c r="B102" s="549"/>
      <c r="C102" s="554"/>
      <c r="D102" s="686"/>
      <c r="E102" s="687"/>
      <c r="F102" s="554"/>
      <c r="G102" s="686"/>
      <c r="H102" s="687"/>
      <c r="I102" s="775"/>
      <c r="J102" s="688"/>
      <c r="K102" s="689"/>
      <c r="L102" s="686"/>
      <c r="M102" s="687"/>
      <c r="N102" s="212"/>
      <c r="O102" s="213"/>
      <c r="P102" s="332"/>
      <c r="Q102" s="333"/>
      <c r="R102" s="213"/>
      <c r="S102" s="332"/>
      <c r="T102" s="333"/>
      <c r="U102" s="333"/>
      <c r="V102" s="331"/>
      <c r="W102" s="260"/>
      <c r="X102" s="332"/>
      <c r="Y102" s="333"/>
      <c r="Z102" s="212"/>
      <c r="AA102" s="213"/>
      <c r="AB102" s="332"/>
      <c r="AC102" s="333"/>
      <c r="AD102" s="213"/>
      <c r="AE102" s="332"/>
      <c r="AF102" s="333"/>
      <c r="AG102" s="333"/>
      <c r="AH102" s="331"/>
      <c r="AI102" s="260"/>
      <c r="AJ102" s="332"/>
      <c r="AK102" s="333"/>
      <c r="AL102" s="212"/>
      <c r="AM102" s="213"/>
      <c r="AN102" s="332"/>
      <c r="AO102" s="333"/>
      <c r="AP102" s="213"/>
      <c r="AQ102" s="332"/>
      <c r="AR102" s="333"/>
      <c r="AS102" s="333"/>
      <c r="AT102" s="331"/>
      <c r="AU102" s="260"/>
      <c r="AV102" s="332"/>
      <c r="AW102" s="333"/>
      <c r="AX102" s="307"/>
      <c r="AY102" s="204"/>
      <c r="AZ102" s="695"/>
      <c r="BA102" s="696"/>
      <c r="BB102" s="204"/>
      <c r="BC102" s="695"/>
      <c r="BD102" s="696"/>
      <c r="BE102" s="696"/>
      <c r="BF102" s="356"/>
      <c r="BG102" s="205"/>
      <c r="BH102" s="695"/>
      <c r="BI102" s="696"/>
      <c r="BJ102" s="212"/>
      <c r="BK102" s="213"/>
      <c r="BL102" s="332"/>
      <c r="BM102" s="333"/>
      <c r="BN102" s="213"/>
      <c r="BO102" s="332"/>
      <c r="BP102" s="333"/>
      <c r="BQ102" s="333"/>
      <c r="BR102" s="331"/>
      <c r="BS102" s="260"/>
      <c r="BT102" s="332"/>
      <c r="BU102" s="333"/>
    </row>
    <row r="103" spans="1:73" ht="14.4">
      <c r="A103" s="1232"/>
      <c r="B103" s="549"/>
      <c r="C103" s="554"/>
      <c r="D103" s="551"/>
      <c r="E103" s="555"/>
      <c r="F103" s="556"/>
      <c r="G103" s="551"/>
      <c r="H103" s="555"/>
      <c r="I103" s="776"/>
      <c r="J103" s="537"/>
      <c r="K103" s="538"/>
      <c r="L103" s="535"/>
      <c r="M103" s="536"/>
      <c r="N103" s="212" t="s">
        <v>86</v>
      </c>
      <c r="O103" s="213">
        <v>1</v>
      </c>
      <c r="P103" s="214"/>
      <c r="Q103" s="215"/>
      <c r="R103" s="222"/>
      <c r="S103" s="214"/>
      <c r="T103" s="215">
        <v>1</v>
      </c>
      <c r="U103" s="217" t="s">
        <v>244</v>
      </c>
      <c r="V103" s="218" t="s">
        <v>94</v>
      </c>
      <c r="W103" s="219" t="s">
        <v>395</v>
      </c>
      <c r="X103" s="220" t="s">
        <v>396</v>
      </c>
      <c r="Y103" s="217" t="s">
        <v>397</v>
      </c>
      <c r="Z103" s="212"/>
      <c r="AA103" s="213"/>
      <c r="AB103" s="214"/>
      <c r="AC103" s="215"/>
      <c r="AD103" s="222"/>
      <c r="AE103" s="214"/>
      <c r="AF103" s="215"/>
      <c r="AG103" s="217"/>
      <c r="AH103" s="218"/>
      <c r="AI103" s="219"/>
      <c r="AJ103" s="220"/>
      <c r="AK103" s="217"/>
      <c r="AL103" s="212"/>
      <c r="AM103" s="213"/>
      <c r="AN103" s="214"/>
      <c r="AO103" s="215"/>
      <c r="AP103" s="222"/>
      <c r="AQ103" s="214"/>
      <c r="AR103" s="215"/>
      <c r="AS103" s="217"/>
      <c r="AT103" s="218"/>
      <c r="AU103" s="219"/>
      <c r="AV103" s="220"/>
      <c r="AW103" s="217"/>
      <c r="AX103" s="307"/>
      <c r="AY103" s="204"/>
      <c r="AZ103" s="308"/>
      <c r="BA103" s="309"/>
      <c r="BB103" s="310"/>
      <c r="BC103" s="308"/>
      <c r="BD103" s="309"/>
      <c r="BE103" s="311"/>
      <c r="BF103" s="312"/>
      <c r="BG103" s="313"/>
      <c r="BH103" s="314"/>
      <c r="BI103" s="311"/>
      <c r="BJ103" s="212"/>
      <c r="BK103" s="213"/>
      <c r="BL103" s="214"/>
      <c r="BM103" s="215"/>
      <c r="BN103" s="222"/>
      <c r="BO103" s="214"/>
      <c r="BP103" s="215"/>
      <c r="BQ103" s="217"/>
      <c r="BR103" s="218"/>
      <c r="BS103" s="219"/>
      <c r="BT103" s="220"/>
      <c r="BU103" s="217"/>
    </row>
    <row r="104" spans="1:73" ht="14.4">
      <c r="A104" s="1232"/>
      <c r="B104" s="549"/>
      <c r="C104" s="550"/>
      <c r="D104" s="551"/>
      <c r="E104" s="555"/>
      <c r="F104" s="556"/>
      <c r="G104" s="551"/>
      <c r="H104" s="555"/>
      <c r="I104" s="776"/>
      <c r="J104" s="537"/>
      <c r="K104" s="538"/>
      <c r="L104" s="535"/>
      <c r="M104" s="536"/>
      <c r="N104" s="212"/>
      <c r="O104" s="221"/>
      <c r="P104" s="214"/>
      <c r="Q104" s="215"/>
      <c r="R104" s="222"/>
      <c r="S104" s="214"/>
      <c r="T104" s="215"/>
      <c r="U104" s="217"/>
      <c r="V104" s="218"/>
      <c r="W104" s="219"/>
      <c r="X104" s="220"/>
      <c r="Y104" s="217"/>
      <c r="Z104" s="212"/>
      <c r="AA104" s="221"/>
      <c r="AB104" s="214"/>
      <c r="AC104" s="215"/>
      <c r="AD104" s="222"/>
      <c r="AE104" s="214"/>
      <c r="AF104" s="215"/>
      <c r="AG104" s="217"/>
      <c r="AH104" s="218"/>
      <c r="AI104" s="219"/>
      <c r="AJ104" s="220"/>
      <c r="AK104" s="217"/>
      <c r="AL104" s="212"/>
      <c r="AM104" s="221"/>
      <c r="AN104" s="214"/>
      <c r="AO104" s="215"/>
      <c r="AP104" s="222"/>
      <c r="AQ104" s="214"/>
      <c r="AR104" s="215"/>
      <c r="AS104" s="217"/>
      <c r="AT104" s="218"/>
      <c r="AU104" s="219"/>
      <c r="AV104" s="220"/>
      <c r="AW104" s="217"/>
      <c r="AX104" s="307"/>
      <c r="AY104" s="315"/>
      <c r="AZ104" s="308"/>
      <c r="BA104" s="309"/>
      <c r="BB104" s="310"/>
      <c r="BC104" s="308"/>
      <c r="BD104" s="309"/>
      <c r="BE104" s="311"/>
      <c r="BF104" s="312"/>
      <c r="BG104" s="313"/>
      <c r="BH104" s="314"/>
      <c r="BI104" s="311"/>
      <c r="BJ104" s="212"/>
      <c r="BK104" s="221"/>
      <c r="BL104" s="214"/>
      <c r="BM104" s="215"/>
      <c r="BN104" s="222"/>
      <c r="BO104" s="214"/>
      <c r="BP104" s="215"/>
      <c r="BQ104" s="217"/>
      <c r="BR104" s="218"/>
      <c r="BS104" s="219"/>
      <c r="BT104" s="220"/>
      <c r="BU104" s="217"/>
    </row>
    <row r="105" spans="1:73" ht="15" thickBot="1">
      <c r="A105" s="1233"/>
      <c r="B105" s="557"/>
      <c r="C105" s="553"/>
      <c r="D105" s="539"/>
      <c r="E105" s="558"/>
      <c r="F105" s="559"/>
      <c r="G105" s="539"/>
      <c r="H105" s="540"/>
      <c r="I105" s="777"/>
      <c r="J105" s="542"/>
      <c r="K105" s="543"/>
      <c r="L105" s="539"/>
      <c r="M105" s="540"/>
      <c r="N105" s="241"/>
      <c r="O105" s="242"/>
      <c r="P105" s="243"/>
      <c r="Q105" s="244"/>
      <c r="R105" s="245"/>
      <c r="S105" s="243"/>
      <c r="T105" s="246"/>
      <c r="U105" s="246"/>
      <c r="V105" s="247"/>
      <c r="W105" s="248"/>
      <c r="X105" s="243"/>
      <c r="Y105" s="246"/>
      <c r="Z105" s="241"/>
      <c r="AA105" s="242"/>
      <c r="AB105" s="243"/>
      <c r="AC105" s="244"/>
      <c r="AD105" s="245"/>
      <c r="AE105" s="243"/>
      <c r="AF105" s="246"/>
      <c r="AG105" s="246"/>
      <c r="AH105" s="247"/>
      <c r="AI105" s="248"/>
      <c r="AJ105" s="243"/>
      <c r="AK105" s="246"/>
      <c r="AL105" s="241"/>
      <c r="AM105" s="242"/>
      <c r="AN105" s="243"/>
      <c r="AO105" s="244"/>
      <c r="AP105" s="245"/>
      <c r="AQ105" s="243"/>
      <c r="AR105" s="246"/>
      <c r="AS105" s="246"/>
      <c r="AT105" s="247"/>
      <c r="AU105" s="248"/>
      <c r="AV105" s="243"/>
      <c r="AW105" s="246"/>
      <c r="AX105" s="316"/>
      <c r="AY105" s="317"/>
      <c r="AZ105" s="318"/>
      <c r="BA105" s="319"/>
      <c r="BB105" s="320"/>
      <c r="BC105" s="318"/>
      <c r="BD105" s="321"/>
      <c r="BE105" s="321"/>
      <c r="BF105" s="322"/>
      <c r="BG105" s="323"/>
      <c r="BH105" s="318"/>
      <c r="BI105" s="321"/>
      <c r="BJ105" s="241"/>
      <c r="BK105" s="242"/>
      <c r="BL105" s="243"/>
      <c r="BM105" s="244"/>
      <c r="BN105" s="245"/>
      <c r="BO105" s="243"/>
      <c r="BP105" s="246"/>
      <c r="BQ105" s="246"/>
      <c r="BR105" s="247"/>
      <c r="BS105" s="248"/>
      <c r="BT105" s="243"/>
      <c r="BU105" s="246"/>
    </row>
    <row r="106" spans="1:73" ht="14.4">
      <c r="A106" s="1240">
        <v>18</v>
      </c>
      <c r="B106" s="549" t="s">
        <v>583</v>
      </c>
      <c r="C106" s="560">
        <v>1</v>
      </c>
      <c r="D106" s="561"/>
      <c r="E106" s="562"/>
      <c r="F106" s="560"/>
      <c r="G106" s="561">
        <v>1</v>
      </c>
      <c r="H106" s="562"/>
      <c r="I106" s="796" t="s">
        <v>341</v>
      </c>
      <c r="J106" s="563"/>
      <c r="K106" s="564"/>
      <c r="L106" s="561"/>
      <c r="M106" s="562"/>
      <c r="N106" s="193" t="s">
        <v>261</v>
      </c>
      <c r="O106" s="190"/>
      <c r="P106" s="191"/>
      <c r="Q106" s="192"/>
      <c r="R106" s="190"/>
      <c r="S106" s="191"/>
      <c r="T106" s="192"/>
      <c r="U106" s="192"/>
      <c r="V106" s="193"/>
      <c r="W106" s="194"/>
      <c r="X106" s="191"/>
      <c r="Y106" s="192"/>
      <c r="Z106" s="193" t="s">
        <v>67</v>
      </c>
      <c r="AA106" s="190">
        <v>1</v>
      </c>
      <c r="AB106" s="191"/>
      <c r="AC106" s="192"/>
      <c r="AD106" s="190"/>
      <c r="AE106" s="191"/>
      <c r="AF106" s="192">
        <v>1</v>
      </c>
      <c r="AG106" s="192" t="s">
        <v>341</v>
      </c>
      <c r="AH106" s="193" t="s">
        <v>31</v>
      </c>
      <c r="AI106" s="194" t="s">
        <v>398</v>
      </c>
      <c r="AJ106" s="191" t="s">
        <v>369</v>
      </c>
      <c r="AK106" s="192" t="s">
        <v>340</v>
      </c>
      <c r="AL106" s="193" t="s">
        <v>46</v>
      </c>
      <c r="AM106" s="190">
        <v>1</v>
      </c>
      <c r="AN106" s="191"/>
      <c r="AO106" s="192"/>
      <c r="AP106" s="190">
        <v>1</v>
      </c>
      <c r="AQ106" s="191"/>
      <c r="AR106" s="192"/>
      <c r="AS106" s="192" t="s">
        <v>238</v>
      </c>
      <c r="AT106" s="193" t="s">
        <v>31</v>
      </c>
      <c r="AU106" s="194" t="s">
        <v>399</v>
      </c>
      <c r="AV106" s="191" t="s">
        <v>274</v>
      </c>
      <c r="AW106" s="192" t="s">
        <v>275</v>
      </c>
      <c r="AX106" s="305"/>
      <c r="AY106" s="302"/>
      <c r="AZ106" s="303"/>
      <c r="BA106" s="304"/>
      <c r="BB106" s="302"/>
      <c r="BC106" s="303"/>
      <c r="BD106" s="304"/>
      <c r="BE106" s="304"/>
      <c r="BF106" s="305"/>
      <c r="BG106" s="306"/>
      <c r="BH106" s="303"/>
      <c r="BI106" s="304"/>
      <c r="BJ106" s="193"/>
      <c r="BK106" s="190"/>
      <c r="BL106" s="191"/>
      <c r="BM106" s="192"/>
      <c r="BN106" s="190"/>
      <c r="BO106" s="191"/>
      <c r="BP106" s="192"/>
      <c r="BQ106" s="192"/>
      <c r="BR106" s="193"/>
      <c r="BS106" s="194"/>
      <c r="BT106" s="191"/>
      <c r="BU106" s="192"/>
    </row>
    <row r="107" spans="1:73" ht="14.4">
      <c r="A107" s="1241"/>
      <c r="B107" s="565"/>
      <c r="C107" s="690"/>
      <c r="D107" s="691"/>
      <c r="E107" s="692"/>
      <c r="F107" s="690"/>
      <c r="G107" s="691"/>
      <c r="H107" s="692"/>
      <c r="I107" s="797"/>
      <c r="J107" s="693"/>
      <c r="K107" s="694"/>
      <c r="L107" s="691"/>
      <c r="M107" s="692"/>
      <c r="N107" s="212"/>
      <c r="O107" s="213"/>
      <c r="P107" s="332"/>
      <c r="Q107" s="333"/>
      <c r="R107" s="213"/>
      <c r="S107" s="332"/>
      <c r="T107" s="333"/>
      <c r="U107" s="333"/>
      <c r="V107" s="331"/>
      <c r="W107" s="260"/>
      <c r="X107" s="332"/>
      <c r="Y107" s="333"/>
      <c r="Z107" s="212"/>
      <c r="AA107" s="213"/>
      <c r="AB107" s="332"/>
      <c r="AC107" s="333"/>
      <c r="AD107" s="213"/>
      <c r="AE107" s="332"/>
      <c r="AF107" s="333"/>
      <c r="AG107" s="333"/>
      <c r="AH107" s="331"/>
      <c r="AI107" s="260"/>
      <c r="AJ107" s="332"/>
      <c r="AK107" s="333"/>
      <c r="AL107" s="212"/>
      <c r="AM107" s="213"/>
      <c r="AN107" s="332"/>
      <c r="AO107" s="333"/>
      <c r="AP107" s="213"/>
      <c r="AQ107" s="332"/>
      <c r="AR107" s="333"/>
      <c r="AS107" s="333"/>
      <c r="AT107" s="331"/>
      <c r="AU107" s="260"/>
      <c r="AV107" s="332"/>
      <c r="AW107" s="333"/>
      <c r="AX107" s="307"/>
      <c r="AY107" s="204"/>
      <c r="AZ107" s="695"/>
      <c r="BA107" s="696"/>
      <c r="BB107" s="204"/>
      <c r="BC107" s="695"/>
      <c r="BD107" s="696"/>
      <c r="BE107" s="696"/>
      <c r="BF107" s="356"/>
      <c r="BG107" s="205"/>
      <c r="BH107" s="695"/>
      <c r="BI107" s="696"/>
      <c r="BJ107" s="212"/>
      <c r="BK107" s="213"/>
      <c r="BL107" s="332"/>
      <c r="BM107" s="333"/>
      <c r="BN107" s="213"/>
      <c r="BO107" s="332"/>
      <c r="BP107" s="333"/>
      <c r="BQ107" s="333"/>
      <c r="BR107" s="331"/>
      <c r="BS107" s="260"/>
      <c r="BT107" s="332"/>
      <c r="BU107" s="333"/>
    </row>
    <row r="108" spans="1:73" ht="14.4">
      <c r="A108" s="1241"/>
      <c r="B108" s="565"/>
      <c r="C108" s="690"/>
      <c r="D108" s="691"/>
      <c r="E108" s="692"/>
      <c r="F108" s="690"/>
      <c r="G108" s="691"/>
      <c r="H108" s="692"/>
      <c r="I108" s="797"/>
      <c r="J108" s="693"/>
      <c r="K108" s="694"/>
      <c r="L108" s="691"/>
      <c r="M108" s="692"/>
      <c r="N108" s="212"/>
      <c r="O108" s="213"/>
      <c r="P108" s="332"/>
      <c r="Q108" s="333"/>
      <c r="R108" s="213"/>
      <c r="S108" s="332"/>
      <c r="T108" s="333"/>
      <c r="U108" s="333"/>
      <c r="V108" s="331"/>
      <c r="W108" s="260"/>
      <c r="X108" s="332"/>
      <c r="Y108" s="333"/>
      <c r="Z108" s="212"/>
      <c r="AA108" s="213"/>
      <c r="AB108" s="332"/>
      <c r="AC108" s="333"/>
      <c r="AD108" s="213"/>
      <c r="AE108" s="332"/>
      <c r="AF108" s="333"/>
      <c r="AG108" s="333"/>
      <c r="AH108" s="331"/>
      <c r="AI108" s="260"/>
      <c r="AJ108" s="332"/>
      <c r="AK108" s="333"/>
      <c r="AL108" s="212"/>
      <c r="AM108" s="213"/>
      <c r="AN108" s="332"/>
      <c r="AO108" s="333"/>
      <c r="AP108" s="213"/>
      <c r="AQ108" s="332"/>
      <c r="AR108" s="333"/>
      <c r="AS108" s="333"/>
      <c r="AT108" s="331"/>
      <c r="AU108" s="260"/>
      <c r="AV108" s="332"/>
      <c r="AW108" s="333"/>
      <c r="AX108" s="307"/>
      <c r="AY108" s="204"/>
      <c r="AZ108" s="695"/>
      <c r="BA108" s="696"/>
      <c r="BB108" s="204"/>
      <c r="BC108" s="695"/>
      <c r="BD108" s="696"/>
      <c r="BE108" s="696"/>
      <c r="BF108" s="356"/>
      <c r="BG108" s="205"/>
      <c r="BH108" s="695"/>
      <c r="BI108" s="696"/>
      <c r="BJ108" s="212"/>
      <c r="BK108" s="213"/>
      <c r="BL108" s="332"/>
      <c r="BM108" s="333"/>
      <c r="BN108" s="213"/>
      <c r="BO108" s="332"/>
      <c r="BP108" s="333"/>
      <c r="BQ108" s="333"/>
      <c r="BR108" s="331"/>
      <c r="BS108" s="260"/>
      <c r="BT108" s="332"/>
      <c r="BU108" s="333"/>
    </row>
    <row r="109" spans="1:73" ht="14.4">
      <c r="A109" s="1241"/>
      <c r="B109" s="565"/>
      <c r="C109" s="690"/>
      <c r="D109" s="691"/>
      <c r="E109" s="692"/>
      <c r="F109" s="690"/>
      <c r="G109" s="691"/>
      <c r="H109" s="692"/>
      <c r="I109" s="797"/>
      <c r="J109" s="693"/>
      <c r="K109" s="694"/>
      <c r="L109" s="691"/>
      <c r="M109" s="692"/>
      <c r="N109" s="212"/>
      <c r="O109" s="213"/>
      <c r="P109" s="332"/>
      <c r="Q109" s="333"/>
      <c r="R109" s="213"/>
      <c r="S109" s="332"/>
      <c r="T109" s="333"/>
      <c r="U109" s="333"/>
      <c r="V109" s="331"/>
      <c r="W109" s="260"/>
      <c r="X109" s="332"/>
      <c r="Y109" s="333"/>
      <c r="Z109" s="212"/>
      <c r="AA109" s="213"/>
      <c r="AB109" s="332"/>
      <c r="AC109" s="333"/>
      <c r="AD109" s="213"/>
      <c r="AE109" s="332"/>
      <c r="AF109" s="333"/>
      <c r="AG109" s="333"/>
      <c r="AH109" s="331"/>
      <c r="AI109" s="260"/>
      <c r="AJ109" s="332"/>
      <c r="AK109" s="333"/>
      <c r="AL109" s="212"/>
      <c r="AM109" s="213"/>
      <c r="AN109" s="332"/>
      <c r="AO109" s="333"/>
      <c r="AP109" s="213"/>
      <c r="AQ109" s="332"/>
      <c r="AR109" s="333"/>
      <c r="AS109" s="333"/>
      <c r="AT109" s="331"/>
      <c r="AU109" s="260"/>
      <c r="AV109" s="332"/>
      <c r="AW109" s="333"/>
      <c r="AX109" s="307"/>
      <c r="AY109" s="204"/>
      <c r="AZ109" s="695"/>
      <c r="BA109" s="696"/>
      <c r="BB109" s="204"/>
      <c r="BC109" s="695"/>
      <c r="BD109" s="696"/>
      <c r="BE109" s="696"/>
      <c r="BF109" s="356"/>
      <c r="BG109" s="205"/>
      <c r="BH109" s="695"/>
      <c r="BI109" s="696"/>
      <c r="BJ109" s="212"/>
      <c r="BK109" s="213"/>
      <c r="BL109" s="332"/>
      <c r="BM109" s="333"/>
      <c r="BN109" s="213"/>
      <c r="BO109" s="332"/>
      <c r="BP109" s="333"/>
      <c r="BQ109" s="333"/>
      <c r="BR109" s="331"/>
      <c r="BS109" s="260"/>
      <c r="BT109" s="332"/>
      <c r="BU109" s="333"/>
    </row>
    <row r="110" spans="1:73" ht="14.4">
      <c r="A110" s="1242"/>
      <c r="B110" s="565"/>
      <c r="C110" s="491"/>
      <c r="D110" s="566"/>
      <c r="E110" s="567"/>
      <c r="F110" s="491"/>
      <c r="G110" s="566"/>
      <c r="H110" s="567"/>
      <c r="I110" s="731"/>
      <c r="J110" s="568"/>
      <c r="K110" s="492"/>
      <c r="L110" s="566"/>
      <c r="M110" s="567"/>
      <c r="N110" s="212"/>
      <c r="O110" s="213"/>
      <c r="P110" s="214"/>
      <c r="Q110" s="215"/>
      <c r="R110" s="222"/>
      <c r="S110" s="214"/>
      <c r="T110" s="215"/>
      <c r="U110" s="217"/>
      <c r="V110" s="218"/>
      <c r="W110" s="219"/>
      <c r="X110" s="220"/>
      <c r="Y110" s="217"/>
      <c r="Z110" s="212"/>
      <c r="AA110" s="213"/>
      <c r="AB110" s="214"/>
      <c r="AC110" s="215"/>
      <c r="AD110" s="222"/>
      <c r="AE110" s="214"/>
      <c r="AF110" s="215"/>
      <c r="AG110" s="217"/>
      <c r="AH110" s="218"/>
      <c r="AI110" s="219"/>
      <c r="AJ110" s="220"/>
      <c r="AK110" s="217"/>
      <c r="AL110" s="212" t="s">
        <v>46</v>
      </c>
      <c r="AM110" s="213">
        <v>1</v>
      </c>
      <c r="AN110" s="214"/>
      <c r="AO110" s="215"/>
      <c r="AP110" s="222">
        <v>1</v>
      </c>
      <c r="AQ110" s="214"/>
      <c r="AR110" s="215"/>
      <c r="AS110" s="217" t="s">
        <v>238</v>
      </c>
      <c r="AT110" s="218" t="s">
        <v>73</v>
      </c>
      <c r="AU110" s="219" t="s">
        <v>400</v>
      </c>
      <c r="AV110" s="220" t="s">
        <v>401</v>
      </c>
      <c r="AW110" s="217" t="s">
        <v>402</v>
      </c>
      <c r="AX110" s="307"/>
      <c r="AY110" s="204"/>
      <c r="AZ110" s="308"/>
      <c r="BA110" s="309"/>
      <c r="BB110" s="310"/>
      <c r="BC110" s="308"/>
      <c r="BD110" s="309"/>
      <c r="BE110" s="311"/>
      <c r="BF110" s="312"/>
      <c r="BG110" s="313"/>
      <c r="BH110" s="314"/>
      <c r="BI110" s="311"/>
      <c r="BJ110" s="212"/>
      <c r="BK110" s="213"/>
      <c r="BL110" s="214"/>
      <c r="BM110" s="215"/>
      <c r="BN110" s="222"/>
      <c r="BO110" s="214"/>
      <c r="BP110" s="215"/>
      <c r="BQ110" s="217"/>
      <c r="BR110" s="218"/>
      <c r="BS110" s="219"/>
      <c r="BT110" s="220"/>
      <c r="BU110" s="217"/>
    </row>
    <row r="111" spans="1:73" ht="14.4">
      <c r="A111" s="1242"/>
      <c r="B111" s="565"/>
      <c r="C111" s="491"/>
      <c r="D111" s="566"/>
      <c r="E111" s="567"/>
      <c r="F111" s="491"/>
      <c r="G111" s="566"/>
      <c r="H111" s="567"/>
      <c r="I111" s="731"/>
      <c r="J111" s="568"/>
      <c r="K111" s="492"/>
      <c r="L111" s="566"/>
      <c r="M111" s="567"/>
      <c r="N111" s="212"/>
      <c r="O111" s="221"/>
      <c r="P111" s="214"/>
      <c r="Q111" s="215"/>
      <c r="R111" s="222"/>
      <c r="S111" s="214"/>
      <c r="T111" s="215"/>
      <c r="U111" s="217"/>
      <c r="V111" s="218"/>
      <c r="W111" s="219"/>
      <c r="X111" s="220"/>
      <c r="Y111" s="217"/>
      <c r="Z111" s="212"/>
      <c r="AA111" s="221"/>
      <c r="AB111" s="214"/>
      <c r="AC111" s="215"/>
      <c r="AD111" s="222"/>
      <c r="AE111" s="214"/>
      <c r="AF111" s="215"/>
      <c r="AG111" s="217"/>
      <c r="AH111" s="218"/>
      <c r="AI111" s="219"/>
      <c r="AJ111" s="220"/>
      <c r="AK111" s="217"/>
      <c r="AL111" s="212" t="s">
        <v>46</v>
      </c>
      <c r="AM111" s="221">
        <v>1</v>
      </c>
      <c r="AN111" s="214"/>
      <c r="AO111" s="215"/>
      <c r="AP111" s="222"/>
      <c r="AQ111" s="214"/>
      <c r="AR111" s="215">
        <v>1</v>
      </c>
      <c r="AS111" s="217" t="s">
        <v>238</v>
      </c>
      <c r="AT111" s="218" t="s">
        <v>103</v>
      </c>
      <c r="AU111" s="219" t="s">
        <v>403</v>
      </c>
      <c r="AV111" s="220" t="s">
        <v>253</v>
      </c>
      <c r="AW111" s="217" t="s">
        <v>254</v>
      </c>
      <c r="AX111" s="307"/>
      <c r="AY111" s="315"/>
      <c r="AZ111" s="308"/>
      <c r="BA111" s="309"/>
      <c r="BB111" s="310"/>
      <c r="BC111" s="308"/>
      <c r="BD111" s="309"/>
      <c r="BE111" s="311"/>
      <c r="BF111" s="312"/>
      <c r="BG111" s="313"/>
      <c r="BH111" s="314"/>
      <c r="BI111" s="311"/>
      <c r="BJ111" s="212"/>
      <c r="BK111" s="221"/>
      <c r="BL111" s="214"/>
      <c r="BM111" s="215"/>
      <c r="BN111" s="222"/>
      <c r="BO111" s="214"/>
      <c r="BP111" s="215"/>
      <c r="BQ111" s="217"/>
      <c r="BR111" s="218"/>
      <c r="BS111" s="219"/>
      <c r="BT111" s="220"/>
      <c r="BU111" s="217"/>
    </row>
    <row r="112" spans="1:73" ht="14.4">
      <c r="A112" s="1243"/>
      <c r="B112" s="569"/>
      <c r="C112" s="500"/>
      <c r="D112" s="570"/>
      <c r="E112" s="571"/>
      <c r="F112" s="500"/>
      <c r="G112" s="570"/>
      <c r="H112" s="571"/>
      <c r="I112" s="791"/>
      <c r="J112" s="572"/>
      <c r="K112" s="501"/>
      <c r="L112" s="570"/>
      <c r="M112" s="571"/>
      <c r="N112" s="241"/>
      <c r="O112" s="242"/>
      <c r="P112" s="243"/>
      <c r="Q112" s="244"/>
      <c r="R112" s="245"/>
      <c r="S112" s="243"/>
      <c r="T112" s="246"/>
      <c r="U112" s="246"/>
      <c r="V112" s="247"/>
      <c r="W112" s="248"/>
      <c r="X112" s="243"/>
      <c r="Y112" s="246"/>
      <c r="Z112" s="241"/>
      <c r="AA112" s="242"/>
      <c r="AB112" s="243"/>
      <c r="AC112" s="244"/>
      <c r="AD112" s="245"/>
      <c r="AE112" s="243"/>
      <c r="AF112" s="246"/>
      <c r="AG112" s="246"/>
      <c r="AH112" s="247"/>
      <c r="AI112" s="248"/>
      <c r="AJ112" s="243"/>
      <c r="AK112" s="246"/>
      <c r="AL112" s="241"/>
      <c r="AM112" s="242"/>
      <c r="AN112" s="243"/>
      <c r="AO112" s="244"/>
      <c r="AP112" s="245"/>
      <c r="AQ112" s="243"/>
      <c r="AR112" s="246"/>
      <c r="AS112" s="246"/>
      <c r="AT112" s="247"/>
      <c r="AU112" s="248"/>
      <c r="AV112" s="243"/>
      <c r="AW112" s="246"/>
      <c r="AX112" s="316"/>
      <c r="AY112" s="317"/>
      <c r="AZ112" s="318"/>
      <c r="BA112" s="319"/>
      <c r="BB112" s="320"/>
      <c r="BC112" s="318"/>
      <c r="BD112" s="321"/>
      <c r="BE112" s="321"/>
      <c r="BF112" s="322"/>
      <c r="BG112" s="323"/>
      <c r="BH112" s="318"/>
      <c r="BI112" s="321"/>
      <c r="BJ112" s="241"/>
      <c r="BK112" s="242"/>
      <c r="BL112" s="243"/>
      <c r="BM112" s="244"/>
      <c r="BN112" s="245"/>
      <c r="BO112" s="243"/>
      <c r="BP112" s="246"/>
      <c r="BQ112" s="246"/>
      <c r="BR112" s="247"/>
      <c r="BS112" s="248"/>
      <c r="BT112" s="243"/>
      <c r="BU112" s="246"/>
    </row>
    <row r="113" spans="1:73" ht="14.4">
      <c r="A113" s="1240">
        <v>19</v>
      </c>
      <c r="B113" s="573"/>
      <c r="C113" s="616"/>
      <c r="D113" s="617"/>
      <c r="E113" s="618"/>
      <c r="F113" s="616"/>
      <c r="G113" s="617"/>
      <c r="H113" s="618"/>
      <c r="I113" s="798"/>
      <c r="J113" s="619"/>
      <c r="K113" s="620"/>
      <c r="L113" s="617"/>
      <c r="M113" s="618"/>
      <c r="N113" s="193" t="s">
        <v>404</v>
      </c>
      <c r="O113" s="190">
        <v>1</v>
      </c>
      <c r="P113" s="191"/>
      <c r="Q113" s="192"/>
      <c r="R113" s="190"/>
      <c r="S113" s="191"/>
      <c r="T113" s="192">
        <v>1</v>
      </c>
      <c r="U113" s="192" t="s">
        <v>244</v>
      </c>
      <c r="V113" s="193" t="s">
        <v>31</v>
      </c>
      <c r="W113" s="194" t="s">
        <v>405</v>
      </c>
      <c r="X113" s="191" t="s">
        <v>406</v>
      </c>
      <c r="Y113" s="192" t="s">
        <v>407</v>
      </c>
      <c r="Z113" s="193" t="s">
        <v>46</v>
      </c>
      <c r="AA113" s="190">
        <v>1</v>
      </c>
      <c r="AB113" s="191"/>
      <c r="AC113" s="192"/>
      <c r="AD113" s="190">
        <v>1</v>
      </c>
      <c r="AE113" s="191"/>
      <c r="AF113" s="192"/>
      <c r="AG113" s="192" t="s">
        <v>238</v>
      </c>
      <c r="AH113" s="193" t="s">
        <v>60</v>
      </c>
      <c r="AI113" s="194" t="s">
        <v>408</v>
      </c>
      <c r="AJ113" s="191" t="s">
        <v>409</v>
      </c>
      <c r="AK113" s="192" t="s">
        <v>410</v>
      </c>
      <c r="AL113" s="305"/>
      <c r="AM113" s="302"/>
      <c r="AN113" s="303"/>
      <c r="AO113" s="304"/>
      <c r="AP113" s="302"/>
      <c r="AQ113" s="303"/>
      <c r="AR113" s="304"/>
      <c r="AS113" s="304"/>
      <c r="AT113" s="305"/>
      <c r="AU113" s="306"/>
      <c r="AV113" s="303"/>
      <c r="AW113" s="304"/>
      <c r="AX113" s="193" t="s">
        <v>411</v>
      </c>
      <c r="AY113" s="190">
        <v>1</v>
      </c>
      <c r="AZ113" s="191"/>
      <c r="BA113" s="192"/>
      <c r="BB113" s="190"/>
      <c r="BC113" s="191">
        <v>1</v>
      </c>
      <c r="BD113" s="192"/>
      <c r="BE113" s="192" t="s">
        <v>244</v>
      </c>
      <c r="BF113" s="193" t="s">
        <v>108</v>
      </c>
      <c r="BG113" s="194" t="s">
        <v>412</v>
      </c>
      <c r="BH113" s="191" t="s">
        <v>413</v>
      </c>
      <c r="BI113" s="192" t="s">
        <v>414</v>
      </c>
      <c r="BJ113" s="193"/>
      <c r="BK113" s="190"/>
      <c r="BL113" s="191"/>
      <c r="BM113" s="192"/>
      <c r="BN113" s="190"/>
      <c r="BO113" s="191"/>
      <c r="BP113" s="192"/>
      <c r="BQ113" s="192"/>
      <c r="BR113" s="193"/>
      <c r="BS113" s="194"/>
      <c r="BT113" s="191"/>
      <c r="BU113" s="192"/>
    </row>
    <row r="114" spans="1:73" ht="14.4">
      <c r="A114" s="1241"/>
      <c r="B114" s="621"/>
      <c r="C114" s="712"/>
      <c r="D114" s="713"/>
      <c r="E114" s="714"/>
      <c r="F114" s="712"/>
      <c r="G114" s="713"/>
      <c r="H114" s="714"/>
      <c r="I114" s="799"/>
      <c r="J114" s="715"/>
      <c r="K114" s="716"/>
      <c r="L114" s="713"/>
      <c r="M114" s="714"/>
      <c r="N114" s="212"/>
      <c r="O114" s="213"/>
      <c r="P114" s="332"/>
      <c r="Q114" s="333"/>
      <c r="R114" s="213"/>
      <c r="S114" s="332"/>
      <c r="T114" s="333"/>
      <c r="U114" s="333"/>
      <c r="V114" s="331"/>
      <c r="W114" s="260"/>
      <c r="X114" s="332"/>
      <c r="Y114" s="333"/>
      <c r="Z114" s="212"/>
      <c r="AA114" s="213"/>
      <c r="AB114" s="332"/>
      <c r="AC114" s="333"/>
      <c r="AD114" s="213"/>
      <c r="AE114" s="332"/>
      <c r="AF114" s="333"/>
      <c r="AG114" s="333"/>
      <c r="AH114" s="331"/>
      <c r="AI114" s="260"/>
      <c r="AJ114" s="332"/>
      <c r="AK114" s="333"/>
      <c r="AL114" s="307"/>
      <c r="AM114" s="204"/>
      <c r="AN114" s="695"/>
      <c r="AO114" s="696"/>
      <c r="AP114" s="204"/>
      <c r="AQ114" s="695"/>
      <c r="AR114" s="696"/>
      <c r="AS114" s="696"/>
      <c r="AT114" s="356"/>
      <c r="AU114" s="205"/>
      <c r="AV114" s="695"/>
      <c r="AW114" s="696"/>
      <c r="AX114" s="212"/>
      <c r="AY114" s="213"/>
      <c r="AZ114" s="332"/>
      <c r="BA114" s="333"/>
      <c r="BB114" s="213"/>
      <c r="BC114" s="332"/>
      <c r="BD114" s="333"/>
      <c r="BE114" s="333"/>
      <c r="BF114" s="331"/>
      <c r="BG114" s="260"/>
      <c r="BH114" s="332"/>
      <c r="BI114" s="333"/>
      <c r="BJ114" s="212"/>
      <c r="BK114" s="213"/>
      <c r="BL114" s="332"/>
      <c r="BM114" s="333"/>
      <c r="BN114" s="213"/>
      <c r="BO114" s="332"/>
      <c r="BP114" s="333"/>
      <c r="BQ114" s="333"/>
      <c r="BR114" s="331"/>
      <c r="BS114" s="260"/>
      <c r="BT114" s="332"/>
      <c r="BU114" s="333"/>
    </row>
    <row r="115" spans="1:73" ht="14.4">
      <c r="A115" s="1241"/>
      <c r="B115" s="621"/>
      <c r="C115" s="712"/>
      <c r="D115" s="713"/>
      <c r="E115" s="714"/>
      <c r="F115" s="712"/>
      <c r="G115" s="713"/>
      <c r="H115" s="714"/>
      <c r="I115" s="799"/>
      <c r="J115" s="715"/>
      <c r="K115" s="716"/>
      <c r="L115" s="713"/>
      <c r="M115" s="714"/>
      <c r="N115" s="212"/>
      <c r="O115" s="213"/>
      <c r="P115" s="332"/>
      <c r="Q115" s="333"/>
      <c r="R115" s="213"/>
      <c r="S115" s="332"/>
      <c r="T115" s="333"/>
      <c r="U115" s="333"/>
      <c r="V115" s="331"/>
      <c r="W115" s="260"/>
      <c r="X115" s="332"/>
      <c r="Y115" s="333"/>
      <c r="Z115" s="212"/>
      <c r="AA115" s="213"/>
      <c r="AB115" s="332"/>
      <c r="AC115" s="333"/>
      <c r="AD115" s="213"/>
      <c r="AE115" s="332"/>
      <c r="AF115" s="333"/>
      <c r="AG115" s="333"/>
      <c r="AH115" s="331"/>
      <c r="AI115" s="260"/>
      <c r="AJ115" s="332"/>
      <c r="AK115" s="333"/>
      <c r="AL115" s="307"/>
      <c r="AM115" s="204"/>
      <c r="AN115" s="695"/>
      <c r="AO115" s="696"/>
      <c r="AP115" s="204"/>
      <c r="AQ115" s="695"/>
      <c r="AR115" s="696"/>
      <c r="AS115" s="696"/>
      <c r="AT115" s="356"/>
      <c r="AU115" s="205"/>
      <c r="AV115" s="695"/>
      <c r="AW115" s="696"/>
      <c r="AX115" s="212"/>
      <c r="AY115" s="213"/>
      <c r="AZ115" s="332"/>
      <c r="BA115" s="333"/>
      <c r="BB115" s="213"/>
      <c r="BC115" s="332"/>
      <c r="BD115" s="333"/>
      <c r="BE115" s="333"/>
      <c r="BF115" s="331"/>
      <c r="BG115" s="260"/>
      <c r="BH115" s="332"/>
      <c r="BI115" s="333"/>
      <c r="BJ115" s="212"/>
      <c r="BK115" s="213"/>
      <c r="BL115" s="332"/>
      <c r="BM115" s="333"/>
      <c r="BN115" s="213"/>
      <c r="BO115" s="332"/>
      <c r="BP115" s="333"/>
      <c r="BQ115" s="333"/>
      <c r="BR115" s="331"/>
      <c r="BS115" s="260"/>
      <c r="BT115" s="332"/>
      <c r="BU115" s="333"/>
    </row>
    <row r="116" spans="1:73" ht="14.4">
      <c r="A116" s="1241"/>
      <c r="B116" s="621"/>
      <c r="C116" s="712"/>
      <c r="D116" s="713"/>
      <c r="E116" s="714"/>
      <c r="F116" s="712"/>
      <c r="G116" s="713"/>
      <c r="H116" s="714"/>
      <c r="I116" s="799"/>
      <c r="J116" s="715"/>
      <c r="K116" s="716"/>
      <c r="L116" s="713"/>
      <c r="M116" s="714"/>
      <c r="N116" s="212"/>
      <c r="O116" s="213"/>
      <c r="P116" s="332"/>
      <c r="Q116" s="333"/>
      <c r="R116" s="213"/>
      <c r="S116" s="332"/>
      <c r="T116" s="333"/>
      <c r="U116" s="333"/>
      <c r="V116" s="331"/>
      <c r="W116" s="260"/>
      <c r="X116" s="332"/>
      <c r="Y116" s="333"/>
      <c r="Z116" s="212"/>
      <c r="AA116" s="213"/>
      <c r="AB116" s="332"/>
      <c r="AC116" s="333"/>
      <c r="AD116" s="213"/>
      <c r="AE116" s="332"/>
      <c r="AF116" s="333"/>
      <c r="AG116" s="333"/>
      <c r="AH116" s="331"/>
      <c r="AI116" s="260"/>
      <c r="AJ116" s="332"/>
      <c r="AK116" s="333"/>
      <c r="AL116" s="307"/>
      <c r="AM116" s="204"/>
      <c r="AN116" s="695"/>
      <c r="AO116" s="696"/>
      <c r="AP116" s="204"/>
      <c r="AQ116" s="695"/>
      <c r="AR116" s="696"/>
      <c r="AS116" s="696"/>
      <c r="AT116" s="356"/>
      <c r="AU116" s="205"/>
      <c r="AV116" s="695"/>
      <c r="AW116" s="696"/>
      <c r="AX116" s="212"/>
      <c r="AY116" s="213"/>
      <c r="AZ116" s="332"/>
      <c r="BA116" s="333"/>
      <c r="BB116" s="213"/>
      <c r="BC116" s="332"/>
      <c r="BD116" s="333"/>
      <c r="BE116" s="333"/>
      <c r="BF116" s="331"/>
      <c r="BG116" s="260"/>
      <c r="BH116" s="332"/>
      <c r="BI116" s="333"/>
      <c r="BJ116" s="212"/>
      <c r="BK116" s="213"/>
      <c r="BL116" s="332"/>
      <c r="BM116" s="333"/>
      <c r="BN116" s="213"/>
      <c r="BO116" s="332"/>
      <c r="BP116" s="333"/>
      <c r="BQ116" s="333"/>
      <c r="BR116" s="331"/>
      <c r="BS116" s="260"/>
      <c r="BT116" s="332"/>
      <c r="BU116" s="333"/>
    </row>
    <row r="117" spans="1:73" ht="14.4">
      <c r="A117" s="1242"/>
      <c r="B117" s="621"/>
      <c r="C117" s="582"/>
      <c r="D117" s="622"/>
      <c r="E117" s="623"/>
      <c r="F117" s="582"/>
      <c r="G117" s="622"/>
      <c r="H117" s="623"/>
      <c r="I117" s="793"/>
      <c r="J117" s="624"/>
      <c r="K117" s="583"/>
      <c r="L117" s="622"/>
      <c r="M117" s="623"/>
      <c r="N117" s="212"/>
      <c r="O117" s="213"/>
      <c r="P117" s="214"/>
      <c r="Q117" s="215"/>
      <c r="R117" s="222"/>
      <c r="S117" s="214"/>
      <c r="T117" s="215"/>
      <c r="U117" s="217"/>
      <c r="V117" s="218"/>
      <c r="W117" s="219"/>
      <c r="X117" s="220"/>
      <c r="Y117" s="217"/>
      <c r="Z117" s="212"/>
      <c r="AA117" s="213"/>
      <c r="AB117" s="214"/>
      <c r="AC117" s="215"/>
      <c r="AD117" s="222"/>
      <c r="AE117" s="214"/>
      <c r="AF117" s="215"/>
      <c r="AG117" s="217"/>
      <c r="AH117" s="218"/>
      <c r="AI117" s="219"/>
      <c r="AJ117" s="220"/>
      <c r="AK117" s="217"/>
      <c r="AL117" s="307"/>
      <c r="AM117" s="204"/>
      <c r="AN117" s="308"/>
      <c r="AO117" s="309"/>
      <c r="AP117" s="310"/>
      <c r="AQ117" s="308"/>
      <c r="AR117" s="309"/>
      <c r="AS117" s="311"/>
      <c r="AT117" s="312"/>
      <c r="AU117" s="313"/>
      <c r="AV117" s="314"/>
      <c r="AW117" s="311"/>
      <c r="AX117" s="212" t="s">
        <v>47</v>
      </c>
      <c r="AY117" s="213">
        <v>1</v>
      </c>
      <c r="AZ117" s="214"/>
      <c r="BA117" s="215"/>
      <c r="BB117" s="222">
        <v>1</v>
      </c>
      <c r="BC117" s="214"/>
      <c r="BD117" s="215"/>
      <c r="BE117" s="217" t="s">
        <v>244</v>
      </c>
      <c r="BF117" s="218" t="s">
        <v>71</v>
      </c>
      <c r="BG117" s="219" t="s">
        <v>415</v>
      </c>
      <c r="BH117" s="220" t="s">
        <v>291</v>
      </c>
      <c r="BI117" s="217" t="s">
        <v>292</v>
      </c>
      <c r="BJ117" s="212"/>
      <c r="BK117" s="213"/>
      <c r="BL117" s="214"/>
      <c r="BM117" s="215"/>
      <c r="BN117" s="222"/>
      <c r="BO117" s="214"/>
      <c r="BP117" s="215"/>
      <c r="BQ117" s="217"/>
      <c r="BR117" s="218"/>
      <c r="BS117" s="219"/>
      <c r="BT117" s="220"/>
      <c r="BU117" s="217"/>
    </row>
    <row r="118" spans="1:73" ht="14.4">
      <c r="A118" s="1242"/>
      <c r="B118" s="621"/>
      <c r="C118" s="582"/>
      <c r="D118" s="622"/>
      <c r="E118" s="623"/>
      <c r="F118" s="582"/>
      <c r="G118" s="622"/>
      <c r="H118" s="623"/>
      <c r="I118" s="793"/>
      <c r="J118" s="624"/>
      <c r="K118" s="583"/>
      <c r="L118" s="622"/>
      <c r="M118" s="623"/>
      <c r="N118" s="212"/>
      <c r="O118" s="221"/>
      <c r="P118" s="214"/>
      <c r="Q118" s="215"/>
      <c r="R118" s="222"/>
      <c r="S118" s="214"/>
      <c r="T118" s="215"/>
      <c r="U118" s="217"/>
      <c r="V118" s="218"/>
      <c r="W118" s="219"/>
      <c r="X118" s="220"/>
      <c r="Y118" s="217"/>
      <c r="Z118" s="212"/>
      <c r="AA118" s="221"/>
      <c r="AB118" s="214"/>
      <c r="AC118" s="215"/>
      <c r="AD118" s="222"/>
      <c r="AE118" s="214"/>
      <c r="AF118" s="215"/>
      <c r="AG118" s="217"/>
      <c r="AH118" s="218"/>
      <c r="AI118" s="219"/>
      <c r="AJ118" s="220"/>
      <c r="AK118" s="217"/>
      <c r="AL118" s="307"/>
      <c r="AM118" s="315"/>
      <c r="AN118" s="308"/>
      <c r="AO118" s="309"/>
      <c r="AP118" s="310"/>
      <c r="AQ118" s="308"/>
      <c r="AR118" s="309"/>
      <c r="AS118" s="311"/>
      <c r="AT118" s="312"/>
      <c r="AU118" s="313"/>
      <c r="AV118" s="314"/>
      <c r="AW118" s="311"/>
      <c r="AX118" s="212"/>
      <c r="AY118" s="221"/>
      <c r="AZ118" s="214"/>
      <c r="BA118" s="215"/>
      <c r="BB118" s="222"/>
      <c r="BC118" s="214"/>
      <c r="BD118" s="215"/>
      <c r="BE118" s="217"/>
      <c r="BF118" s="218"/>
      <c r="BG118" s="219"/>
      <c r="BH118" s="220"/>
      <c r="BI118" s="217"/>
      <c r="BJ118" s="212"/>
      <c r="BK118" s="221"/>
      <c r="BL118" s="214"/>
      <c r="BM118" s="215"/>
      <c r="BN118" s="222"/>
      <c r="BO118" s="214"/>
      <c r="BP118" s="215"/>
      <c r="BQ118" s="217"/>
      <c r="BR118" s="218"/>
      <c r="BS118" s="219"/>
      <c r="BT118" s="220"/>
      <c r="BU118" s="217"/>
    </row>
    <row r="119" spans="1:73" ht="14.4">
      <c r="A119" s="1243"/>
      <c r="B119" s="625"/>
      <c r="C119" s="590"/>
      <c r="D119" s="626"/>
      <c r="E119" s="627"/>
      <c r="F119" s="590"/>
      <c r="G119" s="626"/>
      <c r="H119" s="627"/>
      <c r="I119" s="794"/>
      <c r="J119" s="628"/>
      <c r="K119" s="591"/>
      <c r="L119" s="626"/>
      <c r="M119" s="627"/>
      <c r="N119" s="241"/>
      <c r="O119" s="242"/>
      <c r="P119" s="243"/>
      <c r="Q119" s="244"/>
      <c r="R119" s="245"/>
      <c r="S119" s="243"/>
      <c r="T119" s="246"/>
      <c r="U119" s="246"/>
      <c r="V119" s="247"/>
      <c r="W119" s="248"/>
      <c r="X119" s="243"/>
      <c r="Y119" s="246"/>
      <c r="Z119" s="241"/>
      <c r="AA119" s="242"/>
      <c r="AB119" s="243"/>
      <c r="AC119" s="244"/>
      <c r="AD119" s="245"/>
      <c r="AE119" s="243"/>
      <c r="AF119" s="246"/>
      <c r="AG119" s="246"/>
      <c r="AH119" s="247"/>
      <c r="AI119" s="248"/>
      <c r="AJ119" s="243"/>
      <c r="AK119" s="246"/>
      <c r="AL119" s="316"/>
      <c r="AM119" s="317"/>
      <c r="AN119" s="318"/>
      <c r="AO119" s="319"/>
      <c r="AP119" s="320"/>
      <c r="AQ119" s="318"/>
      <c r="AR119" s="321"/>
      <c r="AS119" s="321"/>
      <c r="AT119" s="322"/>
      <c r="AU119" s="323"/>
      <c r="AV119" s="318"/>
      <c r="AW119" s="321"/>
      <c r="AX119" s="241"/>
      <c r="AY119" s="242"/>
      <c r="AZ119" s="243"/>
      <c r="BA119" s="244"/>
      <c r="BB119" s="245"/>
      <c r="BC119" s="243"/>
      <c r="BD119" s="246"/>
      <c r="BE119" s="246"/>
      <c r="BF119" s="247"/>
      <c r="BG119" s="248"/>
      <c r="BH119" s="243"/>
      <c r="BI119" s="246"/>
      <c r="BJ119" s="241"/>
      <c r="BK119" s="242"/>
      <c r="BL119" s="243"/>
      <c r="BM119" s="244"/>
      <c r="BN119" s="245"/>
      <c r="BO119" s="243"/>
      <c r="BP119" s="246"/>
      <c r="BQ119" s="246"/>
      <c r="BR119" s="247"/>
      <c r="BS119" s="248"/>
      <c r="BT119" s="243"/>
      <c r="BU119" s="246"/>
    </row>
    <row r="120" spans="1:73" ht="14.4">
      <c r="A120" s="1240">
        <v>20</v>
      </c>
      <c r="B120" s="597"/>
      <c r="C120" s="629"/>
      <c r="D120" s="630"/>
      <c r="E120" s="631"/>
      <c r="F120" s="629"/>
      <c r="G120" s="630"/>
      <c r="H120" s="631"/>
      <c r="I120" s="778"/>
      <c r="J120" s="597"/>
      <c r="K120" s="632"/>
      <c r="L120" s="630"/>
      <c r="M120" s="631"/>
      <c r="N120" s="193" t="s">
        <v>70</v>
      </c>
      <c r="O120" s="190">
        <v>1</v>
      </c>
      <c r="P120" s="191"/>
      <c r="Q120" s="192"/>
      <c r="R120" s="190"/>
      <c r="S120" s="191"/>
      <c r="T120" s="192">
        <v>1</v>
      </c>
      <c r="U120" s="192"/>
      <c r="V120" s="193" t="s">
        <v>416</v>
      </c>
      <c r="W120" s="194" t="s">
        <v>417</v>
      </c>
      <c r="X120" s="191" t="s">
        <v>387</v>
      </c>
      <c r="Y120" s="192" t="s">
        <v>388</v>
      </c>
      <c r="Z120" s="193" t="s">
        <v>47</v>
      </c>
      <c r="AA120" s="190">
        <v>1</v>
      </c>
      <c r="AB120" s="191"/>
      <c r="AC120" s="192"/>
      <c r="AD120" s="190"/>
      <c r="AE120" s="191"/>
      <c r="AF120" s="192">
        <v>1</v>
      </c>
      <c r="AG120" s="192" t="s">
        <v>244</v>
      </c>
      <c r="AH120" s="193" t="s">
        <v>31</v>
      </c>
      <c r="AI120" s="194" t="s">
        <v>418</v>
      </c>
      <c r="AJ120" s="191" t="s">
        <v>291</v>
      </c>
      <c r="AK120" s="192" t="s">
        <v>292</v>
      </c>
      <c r="AL120" s="305"/>
      <c r="AM120" s="302"/>
      <c r="AN120" s="303"/>
      <c r="AO120" s="304"/>
      <c r="AP120" s="302"/>
      <c r="AQ120" s="303"/>
      <c r="AR120" s="304"/>
      <c r="AS120" s="304"/>
      <c r="AT120" s="305"/>
      <c r="AU120" s="306"/>
      <c r="AV120" s="303"/>
      <c r="AW120" s="304"/>
      <c r="AX120" s="193" t="s">
        <v>211</v>
      </c>
      <c r="AY120" s="190">
        <v>1</v>
      </c>
      <c r="AZ120" s="191"/>
      <c r="BA120" s="192"/>
      <c r="BB120" s="190">
        <v>1</v>
      </c>
      <c r="BC120" s="191"/>
      <c r="BD120" s="192"/>
      <c r="BE120" s="192" t="s">
        <v>251</v>
      </c>
      <c r="BF120" s="193" t="s">
        <v>31</v>
      </c>
      <c r="BG120" s="194" t="s">
        <v>419</v>
      </c>
      <c r="BH120" s="191" t="s">
        <v>420</v>
      </c>
      <c r="BI120" s="192" t="s">
        <v>421</v>
      </c>
      <c r="BJ120" s="193"/>
      <c r="BK120" s="190"/>
      <c r="BL120" s="191"/>
      <c r="BM120" s="192"/>
      <c r="BN120" s="190"/>
      <c r="BO120" s="191"/>
      <c r="BP120" s="192"/>
      <c r="BQ120" s="192"/>
      <c r="BR120" s="193"/>
      <c r="BS120" s="194"/>
      <c r="BT120" s="191"/>
      <c r="BU120" s="192"/>
    </row>
    <row r="121" spans="1:73" ht="14.4">
      <c r="A121" s="1241"/>
      <c r="B121" s="633"/>
      <c r="C121" s="634"/>
      <c r="D121" s="717"/>
      <c r="E121" s="718"/>
      <c r="F121" s="634"/>
      <c r="G121" s="717"/>
      <c r="H121" s="718"/>
      <c r="I121" s="781"/>
      <c r="J121" s="719"/>
      <c r="K121" s="720"/>
      <c r="L121" s="717"/>
      <c r="M121" s="718"/>
      <c r="N121" s="212"/>
      <c r="O121" s="213"/>
      <c r="P121" s="332"/>
      <c r="Q121" s="333"/>
      <c r="R121" s="213"/>
      <c r="S121" s="332"/>
      <c r="T121" s="333"/>
      <c r="U121" s="333"/>
      <c r="V121" s="331"/>
      <c r="W121" s="260"/>
      <c r="X121" s="332"/>
      <c r="Y121" s="333"/>
      <c r="Z121" s="212"/>
      <c r="AA121" s="213"/>
      <c r="AB121" s="332"/>
      <c r="AC121" s="333"/>
      <c r="AD121" s="213"/>
      <c r="AE121" s="332"/>
      <c r="AF121" s="333"/>
      <c r="AG121" s="333"/>
      <c r="AH121" s="331"/>
      <c r="AI121" s="260"/>
      <c r="AJ121" s="332"/>
      <c r="AK121" s="333"/>
      <c r="AL121" s="307"/>
      <c r="AM121" s="204"/>
      <c r="AN121" s="695"/>
      <c r="AO121" s="696"/>
      <c r="AP121" s="204"/>
      <c r="AQ121" s="695"/>
      <c r="AR121" s="696"/>
      <c r="AS121" s="696"/>
      <c r="AT121" s="356"/>
      <c r="AU121" s="205"/>
      <c r="AV121" s="695"/>
      <c r="AW121" s="696"/>
      <c r="AX121" s="212"/>
      <c r="AY121" s="213"/>
      <c r="AZ121" s="332"/>
      <c r="BA121" s="333"/>
      <c r="BB121" s="213"/>
      <c r="BC121" s="332"/>
      <c r="BD121" s="333"/>
      <c r="BE121" s="333"/>
      <c r="BF121" s="331"/>
      <c r="BG121" s="260"/>
      <c r="BH121" s="332"/>
      <c r="BI121" s="333"/>
      <c r="BJ121" s="212"/>
      <c r="BK121" s="213"/>
      <c r="BL121" s="332"/>
      <c r="BM121" s="333"/>
      <c r="BN121" s="213"/>
      <c r="BO121" s="332"/>
      <c r="BP121" s="333"/>
      <c r="BQ121" s="333"/>
      <c r="BR121" s="331"/>
      <c r="BS121" s="260"/>
      <c r="BT121" s="332"/>
      <c r="BU121" s="333"/>
    </row>
    <row r="122" spans="1:73" ht="14.4">
      <c r="A122" s="1241"/>
      <c r="B122" s="633"/>
      <c r="C122" s="634"/>
      <c r="D122" s="717"/>
      <c r="E122" s="718"/>
      <c r="F122" s="634"/>
      <c r="G122" s="717"/>
      <c r="H122" s="718"/>
      <c r="I122" s="781"/>
      <c r="J122" s="719"/>
      <c r="K122" s="720"/>
      <c r="L122" s="717"/>
      <c r="M122" s="718"/>
      <c r="N122" s="212"/>
      <c r="O122" s="213"/>
      <c r="P122" s="332"/>
      <c r="Q122" s="333"/>
      <c r="R122" s="213"/>
      <c r="S122" s="332"/>
      <c r="T122" s="333"/>
      <c r="U122" s="333"/>
      <c r="V122" s="331"/>
      <c r="W122" s="260"/>
      <c r="X122" s="332"/>
      <c r="Y122" s="333"/>
      <c r="Z122" s="212"/>
      <c r="AA122" s="213"/>
      <c r="AB122" s="332"/>
      <c r="AC122" s="333"/>
      <c r="AD122" s="213"/>
      <c r="AE122" s="332"/>
      <c r="AF122" s="333"/>
      <c r="AG122" s="333"/>
      <c r="AH122" s="331"/>
      <c r="AI122" s="260"/>
      <c r="AJ122" s="332"/>
      <c r="AK122" s="333"/>
      <c r="AL122" s="307"/>
      <c r="AM122" s="204"/>
      <c r="AN122" s="695"/>
      <c r="AO122" s="696"/>
      <c r="AP122" s="204"/>
      <c r="AQ122" s="695"/>
      <c r="AR122" s="696"/>
      <c r="AS122" s="696"/>
      <c r="AT122" s="356"/>
      <c r="AU122" s="205"/>
      <c r="AV122" s="695"/>
      <c r="AW122" s="696"/>
      <c r="AX122" s="212"/>
      <c r="AY122" s="213"/>
      <c r="AZ122" s="332"/>
      <c r="BA122" s="333"/>
      <c r="BB122" s="213"/>
      <c r="BC122" s="332"/>
      <c r="BD122" s="333"/>
      <c r="BE122" s="333"/>
      <c r="BF122" s="331"/>
      <c r="BG122" s="260"/>
      <c r="BH122" s="332"/>
      <c r="BI122" s="333"/>
      <c r="BJ122" s="212"/>
      <c r="BK122" s="213"/>
      <c r="BL122" s="332"/>
      <c r="BM122" s="333"/>
      <c r="BN122" s="213"/>
      <c r="BO122" s="332"/>
      <c r="BP122" s="333"/>
      <c r="BQ122" s="333"/>
      <c r="BR122" s="331"/>
      <c r="BS122" s="260"/>
      <c r="BT122" s="332"/>
      <c r="BU122" s="333"/>
    </row>
    <row r="123" spans="1:73" ht="14.4">
      <c r="A123" s="1241"/>
      <c r="B123" s="633"/>
      <c r="C123" s="634"/>
      <c r="D123" s="717"/>
      <c r="E123" s="718"/>
      <c r="F123" s="634"/>
      <c r="G123" s="717"/>
      <c r="H123" s="718"/>
      <c r="I123" s="781"/>
      <c r="J123" s="719"/>
      <c r="K123" s="720"/>
      <c r="L123" s="717"/>
      <c r="M123" s="718"/>
      <c r="N123" s="212"/>
      <c r="O123" s="213"/>
      <c r="P123" s="332"/>
      <c r="Q123" s="333"/>
      <c r="R123" s="213"/>
      <c r="S123" s="332"/>
      <c r="T123" s="333"/>
      <c r="U123" s="333"/>
      <c r="V123" s="331"/>
      <c r="W123" s="260"/>
      <c r="X123" s="332"/>
      <c r="Y123" s="333"/>
      <c r="Z123" s="212"/>
      <c r="AA123" s="213"/>
      <c r="AB123" s="332"/>
      <c r="AC123" s="333"/>
      <c r="AD123" s="213"/>
      <c r="AE123" s="332"/>
      <c r="AF123" s="333"/>
      <c r="AG123" s="333"/>
      <c r="AH123" s="331"/>
      <c r="AI123" s="260"/>
      <c r="AJ123" s="332"/>
      <c r="AK123" s="333"/>
      <c r="AL123" s="307"/>
      <c r="AM123" s="204"/>
      <c r="AN123" s="695"/>
      <c r="AO123" s="696"/>
      <c r="AP123" s="204"/>
      <c r="AQ123" s="695"/>
      <c r="AR123" s="696"/>
      <c r="AS123" s="696"/>
      <c r="AT123" s="356"/>
      <c r="AU123" s="205"/>
      <c r="AV123" s="695"/>
      <c r="AW123" s="696"/>
      <c r="AX123" s="212"/>
      <c r="AY123" s="213"/>
      <c r="AZ123" s="332"/>
      <c r="BA123" s="333"/>
      <c r="BB123" s="213"/>
      <c r="BC123" s="332"/>
      <c r="BD123" s="333"/>
      <c r="BE123" s="333"/>
      <c r="BF123" s="331"/>
      <c r="BG123" s="260"/>
      <c r="BH123" s="332"/>
      <c r="BI123" s="333"/>
      <c r="BJ123" s="212"/>
      <c r="BK123" s="213"/>
      <c r="BL123" s="332"/>
      <c r="BM123" s="333"/>
      <c r="BN123" s="213"/>
      <c r="BO123" s="332"/>
      <c r="BP123" s="333"/>
      <c r="BQ123" s="333"/>
      <c r="BR123" s="331"/>
      <c r="BS123" s="260"/>
      <c r="BT123" s="332"/>
      <c r="BU123" s="333"/>
    </row>
    <row r="124" spans="1:73" ht="14.4">
      <c r="A124" s="1242"/>
      <c r="B124" s="633"/>
      <c r="C124" s="634"/>
      <c r="D124" s="635"/>
      <c r="E124" s="636"/>
      <c r="F124" s="637"/>
      <c r="G124" s="635"/>
      <c r="H124" s="636"/>
      <c r="I124" s="779"/>
      <c r="J124" s="607"/>
      <c r="K124" s="608"/>
      <c r="L124" s="605"/>
      <c r="M124" s="606"/>
      <c r="N124" s="212"/>
      <c r="O124" s="213"/>
      <c r="P124" s="214"/>
      <c r="Q124" s="215"/>
      <c r="R124" s="222"/>
      <c r="S124" s="214"/>
      <c r="T124" s="215"/>
      <c r="U124" s="217"/>
      <c r="V124" s="218"/>
      <c r="W124" s="219"/>
      <c r="X124" s="220"/>
      <c r="Y124" s="217"/>
      <c r="Z124" s="212" t="s">
        <v>46</v>
      </c>
      <c r="AA124" s="213">
        <v>1</v>
      </c>
      <c r="AB124" s="214"/>
      <c r="AC124" s="215"/>
      <c r="AD124" s="222">
        <v>1</v>
      </c>
      <c r="AE124" s="214"/>
      <c r="AF124" s="215"/>
      <c r="AG124" s="217" t="s">
        <v>238</v>
      </c>
      <c r="AH124" s="218" t="s">
        <v>50</v>
      </c>
      <c r="AI124" s="219" t="s">
        <v>422</v>
      </c>
      <c r="AJ124" s="220" t="s">
        <v>305</v>
      </c>
      <c r="AK124" s="217" t="s">
        <v>306</v>
      </c>
      <c r="AL124" s="307"/>
      <c r="AM124" s="204"/>
      <c r="AN124" s="308"/>
      <c r="AO124" s="309"/>
      <c r="AP124" s="310"/>
      <c r="AQ124" s="308"/>
      <c r="AR124" s="309"/>
      <c r="AS124" s="311"/>
      <c r="AT124" s="312"/>
      <c r="AU124" s="313"/>
      <c r="AV124" s="314"/>
      <c r="AW124" s="311"/>
      <c r="AX124" s="212"/>
      <c r="AY124" s="213"/>
      <c r="AZ124" s="214"/>
      <c r="BA124" s="215"/>
      <c r="BB124" s="222"/>
      <c r="BC124" s="214"/>
      <c r="BD124" s="215"/>
      <c r="BE124" s="217"/>
      <c r="BF124" s="218"/>
      <c r="BG124" s="219"/>
      <c r="BH124" s="220"/>
      <c r="BI124" s="217"/>
      <c r="BJ124" s="212"/>
      <c r="BK124" s="213"/>
      <c r="BL124" s="214"/>
      <c r="BM124" s="215"/>
      <c r="BN124" s="222"/>
      <c r="BO124" s="214"/>
      <c r="BP124" s="215"/>
      <c r="BQ124" s="217"/>
      <c r="BR124" s="218"/>
      <c r="BS124" s="219"/>
      <c r="BT124" s="220"/>
      <c r="BU124" s="217"/>
    </row>
    <row r="125" spans="1:73" ht="14.4">
      <c r="A125" s="1242"/>
      <c r="B125" s="633"/>
      <c r="C125" s="638"/>
      <c r="D125" s="635"/>
      <c r="E125" s="636"/>
      <c r="F125" s="637"/>
      <c r="G125" s="635"/>
      <c r="H125" s="636"/>
      <c r="I125" s="779"/>
      <c r="J125" s="607"/>
      <c r="K125" s="608"/>
      <c r="L125" s="605"/>
      <c r="M125" s="606"/>
      <c r="N125" s="212"/>
      <c r="O125" s="221"/>
      <c r="P125" s="214"/>
      <c r="Q125" s="215"/>
      <c r="R125" s="222"/>
      <c r="S125" s="214"/>
      <c r="T125" s="215"/>
      <c r="U125" s="217"/>
      <c r="V125" s="218"/>
      <c r="W125" s="219"/>
      <c r="X125" s="220"/>
      <c r="Y125" s="217"/>
      <c r="Z125" s="212"/>
      <c r="AA125" s="221"/>
      <c r="AB125" s="214"/>
      <c r="AC125" s="215"/>
      <c r="AD125" s="222"/>
      <c r="AE125" s="214"/>
      <c r="AF125" s="215"/>
      <c r="AG125" s="217"/>
      <c r="AH125" s="218"/>
      <c r="AI125" s="219"/>
      <c r="AJ125" s="220"/>
      <c r="AK125" s="217"/>
      <c r="AL125" s="307"/>
      <c r="AM125" s="315"/>
      <c r="AN125" s="308"/>
      <c r="AO125" s="309"/>
      <c r="AP125" s="310"/>
      <c r="AQ125" s="308"/>
      <c r="AR125" s="309"/>
      <c r="AS125" s="311"/>
      <c r="AT125" s="312"/>
      <c r="AU125" s="313"/>
      <c r="AV125" s="314"/>
      <c r="AW125" s="311"/>
      <c r="AX125" s="212"/>
      <c r="AY125" s="221"/>
      <c r="AZ125" s="214"/>
      <c r="BA125" s="215"/>
      <c r="BB125" s="222"/>
      <c r="BC125" s="214"/>
      <c r="BD125" s="215"/>
      <c r="BE125" s="217"/>
      <c r="BF125" s="218"/>
      <c r="BG125" s="219"/>
      <c r="BH125" s="220"/>
      <c r="BI125" s="217"/>
      <c r="BJ125" s="212"/>
      <c r="BK125" s="221"/>
      <c r="BL125" s="214"/>
      <c r="BM125" s="215"/>
      <c r="BN125" s="222"/>
      <c r="BO125" s="214"/>
      <c r="BP125" s="215"/>
      <c r="BQ125" s="217"/>
      <c r="BR125" s="218"/>
      <c r="BS125" s="219"/>
      <c r="BT125" s="220"/>
      <c r="BU125" s="217"/>
    </row>
    <row r="126" spans="1:73" ht="14.4">
      <c r="A126" s="1243"/>
      <c r="B126" s="639"/>
      <c r="C126" s="640"/>
      <c r="D126" s="611"/>
      <c r="E126" s="641"/>
      <c r="F126" s="642"/>
      <c r="G126" s="611"/>
      <c r="H126" s="612"/>
      <c r="I126" s="780"/>
      <c r="J126" s="614"/>
      <c r="K126" s="615"/>
      <c r="L126" s="611"/>
      <c r="M126" s="612"/>
      <c r="N126" s="241"/>
      <c r="O126" s="242"/>
      <c r="P126" s="243"/>
      <c r="Q126" s="244"/>
      <c r="R126" s="245"/>
      <c r="S126" s="243"/>
      <c r="T126" s="246"/>
      <c r="U126" s="246"/>
      <c r="V126" s="247"/>
      <c r="W126" s="248"/>
      <c r="X126" s="243"/>
      <c r="Y126" s="246"/>
      <c r="Z126" s="241"/>
      <c r="AA126" s="242"/>
      <c r="AB126" s="243"/>
      <c r="AC126" s="244"/>
      <c r="AD126" s="245"/>
      <c r="AE126" s="243"/>
      <c r="AF126" s="246"/>
      <c r="AG126" s="246"/>
      <c r="AH126" s="247"/>
      <c r="AI126" s="248"/>
      <c r="AJ126" s="243"/>
      <c r="AK126" s="246"/>
      <c r="AL126" s="316"/>
      <c r="AM126" s="317"/>
      <c r="AN126" s="318"/>
      <c r="AO126" s="319"/>
      <c r="AP126" s="320"/>
      <c r="AQ126" s="318"/>
      <c r="AR126" s="321"/>
      <c r="AS126" s="321"/>
      <c r="AT126" s="322"/>
      <c r="AU126" s="323"/>
      <c r="AV126" s="318"/>
      <c r="AW126" s="321"/>
      <c r="AX126" s="241"/>
      <c r="AY126" s="242"/>
      <c r="AZ126" s="243"/>
      <c r="BA126" s="244"/>
      <c r="BB126" s="245"/>
      <c r="BC126" s="243"/>
      <c r="BD126" s="246"/>
      <c r="BE126" s="246"/>
      <c r="BF126" s="247"/>
      <c r="BG126" s="248"/>
      <c r="BH126" s="243"/>
      <c r="BI126" s="246"/>
      <c r="BJ126" s="241"/>
      <c r="BK126" s="242"/>
      <c r="BL126" s="243"/>
      <c r="BM126" s="244"/>
      <c r="BN126" s="245"/>
      <c r="BO126" s="243"/>
      <c r="BP126" s="246"/>
      <c r="BQ126" s="246"/>
      <c r="BR126" s="247"/>
      <c r="BS126" s="248"/>
      <c r="BT126" s="243"/>
      <c r="BU126" s="246"/>
    </row>
    <row r="127" spans="1:73" ht="14.4">
      <c r="A127" s="1240">
        <v>21</v>
      </c>
      <c r="B127" s="533"/>
      <c r="C127" s="545"/>
      <c r="D127" s="546"/>
      <c r="E127" s="547"/>
      <c r="F127" s="545"/>
      <c r="G127" s="546"/>
      <c r="H127" s="547"/>
      <c r="I127" s="774"/>
      <c r="J127" s="533"/>
      <c r="K127" s="548"/>
      <c r="L127" s="546"/>
      <c r="M127" s="547"/>
      <c r="N127" s="193" t="s">
        <v>261</v>
      </c>
      <c r="O127" s="190"/>
      <c r="P127" s="191"/>
      <c r="Q127" s="192"/>
      <c r="R127" s="190"/>
      <c r="S127" s="191"/>
      <c r="T127" s="192"/>
      <c r="U127" s="192"/>
      <c r="V127" s="193"/>
      <c r="W127" s="194"/>
      <c r="X127" s="191"/>
      <c r="Y127" s="192"/>
      <c r="Z127" s="193" t="s">
        <v>72</v>
      </c>
      <c r="AA127" s="190"/>
      <c r="AB127" s="191">
        <v>1</v>
      </c>
      <c r="AC127" s="192"/>
      <c r="AD127" s="190">
        <v>1</v>
      </c>
      <c r="AE127" s="191"/>
      <c r="AF127" s="192"/>
      <c r="AG127" s="192" t="s">
        <v>251</v>
      </c>
      <c r="AH127" s="193" t="s">
        <v>31</v>
      </c>
      <c r="AI127" s="194" t="s">
        <v>423</v>
      </c>
      <c r="AJ127" s="191" t="s">
        <v>329</v>
      </c>
      <c r="AK127" s="192" t="s">
        <v>257</v>
      </c>
      <c r="AL127" s="193" t="s">
        <v>211</v>
      </c>
      <c r="AM127" s="190">
        <v>1</v>
      </c>
      <c r="AN127" s="191"/>
      <c r="AO127" s="192"/>
      <c r="AP127" s="190"/>
      <c r="AQ127" s="191">
        <v>1</v>
      </c>
      <c r="AR127" s="192"/>
      <c r="AS127" s="192" t="s">
        <v>238</v>
      </c>
      <c r="AT127" s="193" t="s">
        <v>31</v>
      </c>
      <c r="AU127" s="194" t="s">
        <v>424</v>
      </c>
      <c r="AV127" s="191" t="s">
        <v>420</v>
      </c>
      <c r="AW127" s="192" t="s">
        <v>421</v>
      </c>
      <c r="AX127" s="193" t="s">
        <v>110</v>
      </c>
      <c r="AY127" s="190">
        <v>1</v>
      </c>
      <c r="AZ127" s="191"/>
      <c r="BA127" s="192"/>
      <c r="BB127" s="190"/>
      <c r="BC127" s="191">
        <v>1</v>
      </c>
      <c r="BD127" s="192"/>
      <c r="BE127" s="192" t="s">
        <v>269</v>
      </c>
      <c r="BF127" s="193" t="s">
        <v>109</v>
      </c>
      <c r="BG127" s="194" t="s">
        <v>425</v>
      </c>
      <c r="BH127" s="191" t="s">
        <v>426</v>
      </c>
      <c r="BI127" s="192" t="s">
        <v>427</v>
      </c>
      <c r="BJ127" s="280"/>
      <c r="BK127" s="277"/>
      <c r="BL127" s="278"/>
      <c r="BM127" s="279"/>
      <c r="BN127" s="277"/>
      <c r="BO127" s="278"/>
      <c r="BP127" s="279"/>
      <c r="BQ127" s="279"/>
      <c r="BR127" s="280"/>
      <c r="BS127" s="281"/>
      <c r="BT127" s="278"/>
      <c r="BU127" s="279"/>
    </row>
    <row r="128" spans="1:73" ht="14.4">
      <c r="A128" s="1241"/>
      <c r="B128" s="549"/>
      <c r="C128" s="554"/>
      <c r="D128" s="686"/>
      <c r="E128" s="687"/>
      <c r="F128" s="554"/>
      <c r="G128" s="686"/>
      <c r="H128" s="687"/>
      <c r="I128" s="775"/>
      <c r="J128" s="688"/>
      <c r="K128" s="689"/>
      <c r="L128" s="686"/>
      <c r="M128" s="687"/>
      <c r="N128" s="212"/>
      <c r="O128" s="213"/>
      <c r="P128" s="332"/>
      <c r="Q128" s="333"/>
      <c r="R128" s="213"/>
      <c r="S128" s="332"/>
      <c r="T128" s="333"/>
      <c r="U128" s="333"/>
      <c r="V128" s="331"/>
      <c r="W128" s="260"/>
      <c r="X128" s="332"/>
      <c r="Y128" s="333"/>
      <c r="Z128" s="212"/>
      <c r="AA128" s="213"/>
      <c r="AB128" s="332"/>
      <c r="AC128" s="333"/>
      <c r="AD128" s="213"/>
      <c r="AE128" s="332"/>
      <c r="AF128" s="333"/>
      <c r="AG128" s="333"/>
      <c r="AH128" s="331"/>
      <c r="AI128" s="260"/>
      <c r="AJ128" s="332"/>
      <c r="AK128" s="333"/>
      <c r="AL128" s="212"/>
      <c r="AM128" s="213"/>
      <c r="AN128" s="332"/>
      <c r="AO128" s="333"/>
      <c r="AP128" s="213"/>
      <c r="AQ128" s="332"/>
      <c r="AR128" s="333"/>
      <c r="AS128" s="333"/>
      <c r="AT128" s="331"/>
      <c r="AU128" s="260"/>
      <c r="AV128" s="332"/>
      <c r="AW128" s="333"/>
      <c r="AX128" s="212"/>
      <c r="AY128" s="213"/>
      <c r="AZ128" s="332"/>
      <c r="BA128" s="333"/>
      <c r="BB128" s="213"/>
      <c r="BC128" s="332"/>
      <c r="BD128" s="333"/>
      <c r="BE128" s="333"/>
      <c r="BF128" s="331"/>
      <c r="BG128" s="260"/>
      <c r="BH128" s="332"/>
      <c r="BI128" s="333"/>
      <c r="BJ128" s="283"/>
      <c r="BK128" s="196"/>
      <c r="BL128" s="345"/>
      <c r="BM128" s="346"/>
      <c r="BN128" s="196"/>
      <c r="BO128" s="345"/>
      <c r="BP128" s="346"/>
      <c r="BQ128" s="346"/>
      <c r="BR128" s="347"/>
      <c r="BS128" s="197"/>
      <c r="BT128" s="345"/>
      <c r="BU128" s="346"/>
    </row>
    <row r="129" spans="1:73" ht="14.4">
      <c r="A129" s="1241"/>
      <c r="B129" s="549"/>
      <c r="C129" s="554"/>
      <c r="D129" s="686"/>
      <c r="E129" s="687"/>
      <c r="F129" s="554"/>
      <c r="G129" s="686"/>
      <c r="H129" s="687"/>
      <c r="I129" s="775"/>
      <c r="J129" s="688"/>
      <c r="K129" s="689"/>
      <c r="L129" s="686"/>
      <c r="M129" s="687"/>
      <c r="N129" s="212"/>
      <c r="O129" s="213"/>
      <c r="P129" s="332"/>
      <c r="Q129" s="333"/>
      <c r="R129" s="213"/>
      <c r="S129" s="332"/>
      <c r="T129" s="333"/>
      <c r="U129" s="333"/>
      <c r="V129" s="331"/>
      <c r="W129" s="260"/>
      <c r="X129" s="332"/>
      <c r="Y129" s="333"/>
      <c r="Z129" s="212"/>
      <c r="AA129" s="213"/>
      <c r="AB129" s="332"/>
      <c r="AC129" s="333"/>
      <c r="AD129" s="213"/>
      <c r="AE129" s="332"/>
      <c r="AF129" s="333"/>
      <c r="AG129" s="333"/>
      <c r="AH129" s="331"/>
      <c r="AI129" s="260"/>
      <c r="AJ129" s="332"/>
      <c r="AK129" s="333"/>
      <c r="AL129" s="212"/>
      <c r="AM129" s="213"/>
      <c r="AN129" s="332"/>
      <c r="AO129" s="333"/>
      <c r="AP129" s="213"/>
      <c r="AQ129" s="332"/>
      <c r="AR129" s="333"/>
      <c r="AS129" s="333"/>
      <c r="AT129" s="331"/>
      <c r="AU129" s="260"/>
      <c r="AV129" s="332"/>
      <c r="AW129" s="333"/>
      <c r="AX129" s="212"/>
      <c r="AY129" s="213"/>
      <c r="AZ129" s="332"/>
      <c r="BA129" s="333"/>
      <c r="BB129" s="213"/>
      <c r="BC129" s="332"/>
      <c r="BD129" s="333"/>
      <c r="BE129" s="333"/>
      <c r="BF129" s="331"/>
      <c r="BG129" s="260"/>
      <c r="BH129" s="332"/>
      <c r="BI129" s="333"/>
      <c r="BJ129" s="283"/>
      <c r="BK129" s="196"/>
      <c r="BL129" s="345"/>
      <c r="BM129" s="346"/>
      <c r="BN129" s="196"/>
      <c r="BO129" s="345"/>
      <c r="BP129" s="346"/>
      <c r="BQ129" s="346"/>
      <c r="BR129" s="347"/>
      <c r="BS129" s="197"/>
      <c r="BT129" s="345"/>
      <c r="BU129" s="346"/>
    </row>
    <row r="130" spans="1:73" ht="14.4">
      <c r="A130" s="1241"/>
      <c r="B130" s="549"/>
      <c r="C130" s="554"/>
      <c r="D130" s="686"/>
      <c r="E130" s="687"/>
      <c r="F130" s="554"/>
      <c r="G130" s="686"/>
      <c r="H130" s="687"/>
      <c r="I130" s="775"/>
      <c r="J130" s="688"/>
      <c r="K130" s="689"/>
      <c r="L130" s="686"/>
      <c r="M130" s="687"/>
      <c r="N130" s="212"/>
      <c r="O130" s="213"/>
      <c r="P130" s="332"/>
      <c r="Q130" s="333"/>
      <c r="R130" s="213"/>
      <c r="S130" s="332"/>
      <c r="T130" s="333"/>
      <c r="U130" s="333"/>
      <c r="V130" s="331"/>
      <c r="W130" s="260"/>
      <c r="X130" s="332"/>
      <c r="Y130" s="333"/>
      <c r="Z130" s="212"/>
      <c r="AA130" s="213"/>
      <c r="AB130" s="332"/>
      <c r="AC130" s="333"/>
      <c r="AD130" s="213"/>
      <c r="AE130" s="332"/>
      <c r="AF130" s="333"/>
      <c r="AG130" s="333"/>
      <c r="AH130" s="331"/>
      <c r="AI130" s="260"/>
      <c r="AJ130" s="332"/>
      <c r="AK130" s="333"/>
      <c r="AL130" s="212"/>
      <c r="AM130" s="213"/>
      <c r="AN130" s="332"/>
      <c r="AO130" s="333"/>
      <c r="AP130" s="213"/>
      <c r="AQ130" s="332"/>
      <c r="AR130" s="333"/>
      <c r="AS130" s="333"/>
      <c r="AT130" s="331"/>
      <c r="AU130" s="260"/>
      <c r="AV130" s="332"/>
      <c r="AW130" s="333"/>
      <c r="AX130" s="212"/>
      <c r="AY130" s="213"/>
      <c r="AZ130" s="332"/>
      <c r="BA130" s="333"/>
      <c r="BB130" s="213"/>
      <c r="BC130" s="332"/>
      <c r="BD130" s="333"/>
      <c r="BE130" s="333"/>
      <c r="BF130" s="331"/>
      <c r="BG130" s="260"/>
      <c r="BH130" s="332"/>
      <c r="BI130" s="333"/>
      <c r="BJ130" s="283"/>
      <c r="BK130" s="196"/>
      <c r="BL130" s="345"/>
      <c r="BM130" s="346"/>
      <c r="BN130" s="196"/>
      <c r="BO130" s="345"/>
      <c r="BP130" s="346"/>
      <c r="BQ130" s="346"/>
      <c r="BR130" s="347"/>
      <c r="BS130" s="197"/>
      <c r="BT130" s="345"/>
      <c r="BU130" s="346"/>
    </row>
    <row r="131" spans="1:73" ht="14.4">
      <c r="A131" s="1242"/>
      <c r="B131" s="549"/>
      <c r="C131" s="554"/>
      <c r="D131" s="551"/>
      <c r="E131" s="555"/>
      <c r="F131" s="556"/>
      <c r="G131" s="551"/>
      <c r="H131" s="555"/>
      <c r="I131" s="776"/>
      <c r="J131" s="537"/>
      <c r="K131" s="538"/>
      <c r="L131" s="535"/>
      <c r="M131" s="536"/>
      <c r="N131" s="212"/>
      <c r="O131" s="213"/>
      <c r="P131" s="214"/>
      <c r="Q131" s="215"/>
      <c r="R131" s="222"/>
      <c r="S131" s="214"/>
      <c r="T131" s="215"/>
      <c r="U131" s="217"/>
      <c r="V131" s="218"/>
      <c r="W131" s="219"/>
      <c r="X131" s="220"/>
      <c r="Y131" s="217"/>
      <c r="Z131" s="212"/>
      <c r="AA131" s="213"/>
      <c r="AB131" s="214"/>
      <c r="AC131" s="215"/>
      <c r="AD131" s="222"/>
      <c r="AE131" s="214"/>
      <c r="AF131" s="215"/>
      <c r="AG131" s="217"/>
      <c r="AH131" s="218"/>
      <c r="AI131" s="219"/>
      <c r="AJ131" s="220"/>
      <c r="AK131" s="217"/>
      <c r="AL131" s="212"/>
      <c r="AM131" s="213"/>
      <c r="AN131" s="214"/>
      <c r="AO131" s="215"/>
      <c r="AP131" s="222"/>
      <c r="AQ131" s="214"/>
      <c r="AR131" s="215"/>
      <c r="AS131" s="217"/>
      <c r="AT131" s="218"/>
      <c r="AU131" s="219"/>
      <c r="AV131" s="220"/>
      <c r="AW131" s="217"/>
      <c r="AX131" s="212" t="s">
        <v>46</v>
      </c>
      <c r="AY131" s="213">
        <v>1</v>
      </c>
      <c r="AZ131" s="214"/>
      <c r="BA131" s="215"/>
      <c r="BB131" s="222">
        <v>1</v>
      </c>
      <c r="BC131" s="214"/>
      <c r="BD131" s="215"/>
      <c r="BE131" s="217" t="s">
        <v>51</v>
      </c>
      <c r="BF131" s="218" t="s">
        <v>56</v>
      </c>
      <c r="BG131" s="219" t="s">
        <v>430</v>
      </c>
      <c r="BH131" s="220" t="s">
        <v>431</v>
      </c>
      <c r="BI131" s="217" t="s">
        <v>432</v>
      </c>
      <c r="BJ131" s="283"/>
      <c r="BK131" s="196"/>
      <c r="BL131" s="284"/>
      <c r="BM131" s="285"/>
      <c r="BN131" s="292"/>
      <c r="BO131" s="284"/>
      <c r="BP131" s="285"/>
      <c r="BQ131" s="287"/>
      <c r="BR131" s="288"/>
      <c r="BS131" s="289"/>
      <c r="BT131" s="290"/>
      <c r="BU131" s="287"/>
    </row>
    <row r="132" spans="1:73" ht="14.4">
      <c r="A132" s="1242"/>
      <c r="B132" s="549"/>
      <c r="C132" s="550"/>
      <c r="D132" s="551"/>
      <c r="E132" s="555"/>
      <c r="F132" s="556"/>
      <c r="G132" s="551"/>
      <c r="H132" s="555"/>
      <c r="I132" s="776"/>
      <c r="J132" s="537"/>
      <c r="K132" s="538"/>
      <c r="L132" s="535"/>
      <c r="M132" s="536"/>
      <c r="N132" s="212"/>
      <c r="O132" s="221"/>
      <c r="P132" s="214"/>
      <c r="Q132" s="215"/>
      <c r="R132" s="222"/>
      <c r="S132" s="214"/>
      <c r="T132" s="215"/>
      <c r="U132" s="217"/>
      <c r="V132" s="218"/>
      <c r="W132" s="219"/>
      <c r="X132" s="220"/>
      <c r="Y132" s="217"/>
      <c r="Z132" s="212"/>
      <c r="AA132" s="221"/>
      <c r="AB132" s="214"/>
      <c r="AC132" s="215"/>
      <c r="AD132" s="222"/>
      <c r="AE132" s="214"/>
      <c r="AF132" s="215"/>
      <c r="AG132" s="217"/>
      <c r="AH132" s="218"/>
      <c r="AI132" s="219"/>
      <c r="AJ132" s="220"/>
      <c r="AK132" s="217"/>
      <c r="AL132" s="212"/>
      <c r="AM132" s="221"/>
      <c r="AN132" s="214"/>
      <c r="AO132" s="215"/>
      <c r="AP132" s="222"/>
      <c r="AQ132" s="214"/>
      <c r="AR132" s="215"/>
      <c r="AS132" s="217"/>
      <c r="AT132" s="218"/>
      <c r="AU132" s="219"/>
      <c r="AV132" s="220"/>
      <c r="AW132" s="217"/>
      <c r="AX132" s="212"/>
      <c r="AY132" s="221"/>
      <c r="AZ132" s="214"/>
      <c r="BA132" s="215"/>
      <c r="BB132" s="222"/>
      <c r="BC132" s="214"/>
      <c r="BD132" s="215"/>
      <c r="BE132" s="217"/>
      <c r="BF132" s="218"/>
      <c r="BG132" s="219"/>
      <c r="BH132" s="220"/>
      <c r="BI132" s="217"/>
      <c r="BJ132" s="283"/>
      <c r="BK132" s="291"/>
      <c r="BL132" s="284"/>
      <c r="BM132" s="285"/>
      <c r="BN132" s="292"/>
      <c r="BO132" s="284"/>
      <c r="BP132" s="285"/>
      <c r="BQ132" s="287"/>
      <c r="BR132" s="288"/>
      <c r="BS132" s="289"/>
      <c r="BT132" s="290"/>
      <c r="BU132" s="287"/>
    </row>
    <row r="133" spans="1:73" ht="14.4">
      <c r="A133" s="1243"/>
      <c r="B133" s="557"/>
      <c r="C133" s="553"/>
      <c r="D133" s="539"/>
      <c r="E133" s="558"/>
      <c r="F133" s="559"/>
      <c r="G133" s="539"/>
      <c r="H133" s="540"/>
      <c r="I133" s="777"/>
      <c r="J133" s="542"/>
      <c r="K133" s="543"/>
      <c r="L133" s="539"/>
      <c r="M133" s="540"/>
      <c r="N133" s="241"/>
      <c r="O133" s="242"/>
      <c r="P133" s="243"/>
      <c r="Q133" s="244"/>
      <c r="R133" s="245"/>
      <c r="S133" s="243"/>
      <c r="T133" s="246"/>
      <c r="U133" s="246"/>
      <c r="V133" s="247"/>
      <c r="W133" s="248"/>
      <c r="X133" s="243"/>
      <c r="Y133" s="246"/>
      <c r="Z133" s="241"/>
      <c r="AA133" s="242"/>
      <c r="AB133" s="243"/>
      <c r="AC133" s="244"/>
      <c r="AD133" s="245"/>
      <c r="AE133" s="243"/>
      <c r="AF133" s="246"/>
      <c r="AG133" s="246"/>
      <c r="AH133" s="247"/>
      <c r="AI133" s="248"/>
      <c r="AJ133" s="243"/>
      <c r="AK133" s="246"/>
      <c r="AL133" s="241"/>
      <c r="AM133" s="242"/>
      <c r="AN133" s="243"/>
      <c r="AO133" s="244"/>
      <c r="AP133" s="245"/>
      <c r="AQ133" s="243"/>
      <c r="AR133" s="246"/>
      <c r="AS133" s="246"/>
      <c r="AT133" s="247"/>
      <c r="AU133" s="248"/>
      <c r="AV133" s="243"/>
      <c r="AW133" s="246"/>
      <c r="AX133" s="241"/>
      <c r="AY133" s="242"/>
      <c r="AZ133" s="243"/>
      <c r="BA133" s="244"/>
      <c r="BB133" s="245"/>
      <c r="BC133" s="243"/>
      <c r="BD133" s="246"/>
      <c r="BE133" s="246"/>
      <c r="BF133" s="247"/>
      <c r="BG133" s="248"/>
      <c r="BH133" s="243"/>
      <c r="BI133" s="246"/>
      <c r="BJ133" s="293"/>
      <c r="BK133" s="294"/>
      <c r="BL133" s="295"/>
      <c r="BM133" s="296"/>
      <c r="BN133" s="297"/>
      <c r="BO133" s="295"/>
      <c r="BP133" s="298"/>
      <c r="BQ133" s="298"/>
      <c r="BR133" s="299"/>
      <c r="BS133" s="300"/>
      <c r="BT133" s="295"/>
      <c r="BU133" s="298"/>
    </row>
    <row r="134" spans="1:73" ht="14.4">
      <c r="A134" s="1240">
        <v>22</v>
      </c>
      <c r="B134" s="533"/>
      <c r="C134" s="545"/>
      <c r="D134" s="546"/>
      <c r="E134" s="547"/>
      <c r="F134" s="545"/>
      <c r="G134" s="546"/>
      <c r="H134" s="547"/>
      <c r="I134" s="774"/>
      <c r="J134" s="533"/>
      <c r="K134" s="548"/>
      <c r="L134" s="546"/>
      <c r="M134" s="547"/>
      <c r="N134" s="280"/>
      <c r="O134" s="277"/>
      <c r="P134" s="278"/>
      <c r="Q134" s="279"/>
      <c r="R134" s="277"/>
      <c r="S134" s="278"/>
      <c r="T134" s="279"/>
      <c r="U134" s="279"/>
      <c r="V134" s="280"/>
      <c r="W134" s="281"/>
      <c r="X134" s="278"/>
      <c r="Y134" s="279"/>
      <c r="Z134" s="280"/>
      <c r="AA134" s="277"/>
      <c r="AB134" s="278"/>
      <c r="AC134" s="279"/>
      <c r="AD134" s="277"/>
      <c r="AE134" s="278"/>
      <c r="AF134" s="279"/>
      <c r="AG134" s="279"/>
      <c r="AH134" s="280"/>
      <c r="AI134" s="281"/>
      <c r="AJ134" s="278"/>
      <c r="AK134" s="279"/>
      <c r="AL134" s="193" t="s">
        <v>433</v>
      </c>
      <c r="AM134" s="190">
        <v>1</v>
      </c>
      <c r="AN134" s="191"/>
      <c r="AO134" s="192"/>
      <c r="AP134" s="190">
        <v>1</v>
      </c>
      <c r="AQ134" s="191"/>
      <c r="AR134" s="192"/>
      <c r="AS134" s="192" t="s">
        <v>238</v>
      </c>
      <c r="AT134" s="193" t="s">
        <v>31</v>
      </c>
      <c r="AU134" s="194" t="s">
        <v>434</v>
      </c>
      <c r="AV134" s="191" t="s">
        <v>435</v>
      </c>
      <c r="AW134" s="192" t="s">
        <v>436</v>
      </c>
      <c r="AX134" s="193" t="s">
        <v>46</v>
      </c>
      <c r="AY134" s="190">
        <v>1</v>
      </c>
      <c r="AZ134" s="191"/>
      <c r="BA134" s="192"/>
      <c r="BB134" s="190"/>
      <c r="BC134" s="191"/>
      <c r="BD134" s="192">
        <v>1</v>
      </c>
      <c r="BE134" s="192" t="s">
        <v>269</v>
      </c>
      <c r="BF134" s="193" t="s">
        <v>107</v>
      </c>
      <c r="BG134" s="194" t="s">
        <v>437</v>
      </c>
      <c r="BH134" s="191" t="s">
        <v>371</v>
      </c>
      <c r="BI134" s="192" t="s">
        <v>372</v>
      </c>
      <c r="BJ134" s="280"/>
      <c r="BK134" s="277"/>
      <c r="BL134" s="278"/>
      <c r="BM134" s="279"/>
      <c r="BN134" s="277"/>
      <c r="BO134" s="278"/>
      <c r="BP134" s="279"/>
      <c r="BQ134" s="279"/>
      <c r="BR134" s="280"/>
      <c r="BS134" s="281"/>
      <c r="BT134" s="278"/>
      <c r="BU134" s="279"/>
    </row>
    <row r="135" spans="1:73" ht="14.4">
      <c r="A135" s="1241"/>
      <c r="B135" s="549"/>
      <c r="C135" s="554"/>
      <c r="D135" s="686"/>
      <c r="E135" s="687"/>
      <c r="F135" s="554"/>
      <c r="G135" s="686"/>
      <c r="H135" s="687"/>
      <c r="I135" s="775"/>
      <c r="J135" s="688"/>
      <c r="K135" s="689"/>
      <c r="L135" s="686"/>
      <c r="M135" s="687"/>
      <c r="N135" s="283"/>
      <c r="O135" s="196"/>
      <c r="P135" s="345"/>
      <c r="Q135" s="346"/>
      <c r="R135" s="196"/>
      <c r="S135" s="345"/>
      <c r="T135" s="346"/>
      <c r="U135" s="346"/>
      <c r="V135" s="347"/>
      <c r="W135" s="197"/>
      <c r="X135" s="345"/>
      <c r="Y135" s="346"/>
      <c r="Z135" s="283"/>
      <c r="AA135" s="196"/>
      <c r="AB135" s="345"/>
      <c r="AC135" s="346"/>
      <c r="AD135" s="196"/>
      <c r="AE135" s="345"/>
      <c r="AF135" s="346"/>
      <c r="AG135" s="346"/>
      <c r="AH135" s="347"/>
      <c r="AI135" s="197"/>
      <c r="AJ135" s="345"/>
      <c r="AK135" s="346"/>
      <c r="AL135" s="212"/>
      <c r="AM135" s="213"/>
      <c r="AN135" s="332"/>
      <c r="AO135" s="333"/>
      <c r="AP135" s="213"/>
      <c r="AQ135" s="332"/>
      <c r="AR135" s="333"/>
      <c r="AS135" s="333"/>
      <c r="AT135" s="331"/>
      <c r="AU135" s="260"/>
      <c r="AV135" s="332"/>
      <c r="AW135" s="333"/>
      <c r="AX135" s="212"/>
      <c r="AY135" s="213"/>
      <c r="AZ135" s="332"/>
      <c r="BA135" s="333"/>
      <c r="BB135" s="213"/>
      <c r="BC135" s="332"/>
      <c r="BD135" s="333"/>
      <c r="BE135" s="333"/>
      <c r="BF135" s="331"/>
      <c r="BG135" s="260"/>
      <c r="BH135" s="332"/>
      <c r="BI135" s="333"/>
      <c r="BJ135" s="283"/>
      <c r="BK135" s="196"/>
      <c r="BL135" s="345"/>
      <c r="BM135" s="346"/>
      <c r="BN135" s="196"/>
      <c r="BO135" s="345"/>
      <c r="BP135" s="346"/>
      <c r="BQ135" s="346"/>
      <c r="BR135" s="347"/>
      <c r="BS135" s="197"/>
      <c r="BT135" s="345"/>
      <c r="BU135" s="346"/>
    </row>
    <row r="136" spans="1:73" ht="14.4">
      <c r="A136" s="1241"/>
      <c r="B136" s="549"/>
      <c r="C136" s="554"/>
      <c r="D136" s="686"/>
      <c r="E136" s="687"/>
      <c r="F136" s="554"/>
      <c r="G136" s="686"/>
      <c r="H136" s="687"/>
      <c r="I136" s="775"/>
      <c r="J136" s="688"/>
      <c r="K136" s="689"/>
      <c r="L136" s="686"/>
      <c r="M136" s="687"/>
      <c r="N136" s="283"/>
      <c r="O136" s="196"/>
      <c r="P136" s="345"/>
      <c r="Q136" s="346"/>
      <c r="R136" s="196"/>
      <c r="S136" s="345"/>
      <c r="T136" s="346"/>
      <c r="U136" s="346"/>
      <c r="V136" s="347"/>
      <c r="W136" s="197"/>
      <c r="X136" s="345"/>
      <c r="Y136" s="346"/>
      <c r="Z136" s="283"/>
      <c r="AA136" s="196"/>
      <c r="AB136" s="345"/>
      <c r="AC136" s="346"/>
      <c r="AD136" s="196"/>
      <c r="AE136" s="345"/>
      <c r="AF136" s="346"/>
      <c r="AG136" s="346"/>
      <c r="AH136" s="347"/>
      <c r="AI136" s="197"/>
      <c r="AJ136" s="345"/>
      <c r="AK136" s="346"/>
      <c r="AL136" s="212"/>
      <c r="AM136" s="213"/>
      <c r="AN136" s="332"/>
      <c r="AO136" s="333"/>
      <c r="AP136" s="213"/>
      <c r="AQ136" s="332"/>
      <c r="AR136" s="333"/>
      <c r="AS136" s="333"/>
      <c r="AT136" s="331"/>
      <c r="AU136" s="260"/>
      <c r="AV136" s="332"/>
      <c r="AW136" s="333"/>
      <c r="AX136" s="212"/>
      <c r="AY136" s="213"/>
      <c r="AZ136" s="332"/>
      <c r="BA136" s="333"/>
      <c r="BB136" s="213"/>
      <c r="BC136" s="332"/>
      <c r="BD136" s="333"/>
      <c r="BE136" s="333"/>
      <c r="BF136" s="331"/>
      <c r="BG136" s="260"/>
      <c r="BH136" s="332"/>
      <c r="BI136" s="333"/>
      <c r="BJ136" s="283"/>
      <c r="BK136" s="196"/>
      <c r="BL136" s="345"/>
      <c r="BM136" s="346"/>
      <c r="BN136" s="196"/>
      <c r="BO136" s="345"/>
      <c r="BP136" s="346"/>
      <c r="BQ136" s="346"/>
      <c r="BR136" s="347"/>
      <c r="BS136" s="197"/>
      <c r="BT136" s="345"/>
      <c r="BU136" s="346"/>
    </row>
    <row r="137" spans="1:73" ht="14.4">
      <c r="A137" s="1241"/>
      <c r="B137" s="549"/>
      <c r="C137" s="554"/>
      <c r="D137" s="686"/>
      <c r="E137" s="687"/>
      <c r="F137" s="554"/>
      <c r="G137" s="686"/>
      <c r="H137" s="687"/>
      <c r="I137" s="775"/>
      <c r="J137" s="688"/>
      <c r="K137" s="689"/>
      <c r="L137" s="686"/>
      <c r="M137" s="687"/>
      <c r="N137" s="283"/>
      <c r="O137" s="196"/>
      <c r="P137" s="345"/>
      <c r="Q137" s="346"/>
      <c r="R137" s="196"/>
      <c r="S137" s="345"/>
      <c r="T137" s="346"/>
      <c r="U137" s="346"/>
      <c r="V137" s="347"/>
      <c r="W137" s="197"/>
      <c r="X137" s="345"/>
      <c r="Y137" s="346"/>
      <c r="Z137" s="283"/>
      <c r="AA137" s="196"/>
      <c r="AB137" s="345"/>
      <c r="AC137" s="346"/>
      <c r="AD137" s="196"/>
      <c r="AE137" s="345"/>
      <c r="AF137" s="346"/>
      <c r="AG137" s="346"/>
      <c r="AH137" s="347"/>
      <c r="AI137" s="197"/>
      <c r="AJ137" s="345"/>
      <c r="AK137" s="346"/>
      <c r="AL137" s="212"/>
      <c r="AM137" s="213"/>
      <c r="AN137" s="332"/>
      <c r="AO137" s="333"/>
      <c r="AP137" s="213"/>
      <c r="AQ137" s="332"/>
      <c r="AR137" s="333"/>
      <c r="AS137" s="333"/>
      <c r="AT137" s="331"/>
      <c r="AU137" s="260"/>
      <c r="AV137" s="332"/>
      <c r="AW137" s="333"/>
      <c r="AX137" s="212"/>
      <c r="AY137" s="213"/>
      <c r="AZ137" s="332"/>
      <c r="BA137" s="333"/>
      <c r="BB137" s="213"/>
      <c r="BC137" s="332"/>
      <c r="BD137" s="333"/>
      <c r="BE137" s="333"/>
      <c r="BF137" s="331"/>
      <c r="BG137" s="260"/>
      <c r="BH137" s="332"/>
      <c r="BI137" s="333"/>
      <c r="BJ137" s="283"/>
      <c r="BK137" s="196"/>
      <c r="BL137" s="345"/>
      <c r="BM137" s="346"/>
      <c r="BN137" s="196"/>
      <c r="BO137" s="345"/>
      <c r="BP137" s="346"/>
      <c r="BQ137" s="346"/>
      <c r="BR137" s="347"/>
      <c r="BS137" s="197"/>
      <c r="BT137" s="345"/>
      <c r="BU137" s="346"/>
    </row>
    <row r="138" spans="1:73" ht="14.4">
      <c r="A138" s="1242"/>
      <c r="B138" s="549"/>
      <c r="C138" s="554"/>
      <c r="D138" s="551"/>
      <c r="E138" s="555"/>
      <c r="F138" s="556"/>
      <c r="G138" s="551"/>
      <c r="H138" s="555"/>
      <c r="I138" s="776"/>
      <c r="J138" s="537"/>
      <c r="K138" s="538"/>
      <c r="L138" s="535"/>
      <c r="M138" s="536"/>
      <c r="N138" s="283"/>
      <c r="O138" s="196"/>
      <c r="P138" s="284"/>
      <c r="Q138" s="285"/>
      <c r="R138" s="292"/>
      <c r="S138" s="284"/>
      <c r="T138" s="285"/>
      <c r="U138" s="287"/>
      <c r="V138" s="288"/>
      <c r="W138" s="289"/>
      <c r="X138" s="290"/>
      <c r="Y138" s="287"/>
      <c r="Z138" s="283"/>
      <c r="AA138" s="196"/>
      <c r="AB138" s="284"/>
      <c r="AC138" s="285"/>
      <c r="AD138" s="292"/>
      <c r="AE138" s="284"/>
      <c r="AF138" s="285"/>
      <c r="AG138" s="287"/>
      <c r="AH138" s="288"/>
      <c r="AI138" s="289"/>
      <c r="AJ138" s="290"/>
      <c r="AK138" s="287"/>
      <c r="AL138" s="212"/>
      <c r="AM138" s="213"/>
      <c r="AN138" s="214"/>
      <c r="AO138" s="215"/>
      <c r="AP138" s="222"/>
      <c r="AQ138" s="214"/>
      <c r="AR138" s="215"/>
      <c r="AS138" s="217"/>
      <c r="AT138" s="218"/>
      <c r="AU138" s="219"/>
      <c r="AV138" s="220"/>
      <c r="AW138" s="217"/>
      <c r="AX138" s="212" t="s">
        <v>67</v>
      </c>
      <c r="AY138" s="213">
        <v>1</v>
      </c>
      <c r="AZ138" s="214"/>
      <c r="BA138" s="215"/>
      <c r="BB138" s="222">
        <v>1</v>
      </c>
      <c r="BC138" s="214"/>
      <c r="BD138" s="215"/>
      <c r="BE138" s="217" t="s">
        <v>244</v>
      </c>
      <c r="BF138" s="218" t="s">
        <v>66</v>
      </c>
      <c r="BG138" s="219" t="s">
        <v>438</v>
      </c>
      <c r="BH138" s="220" t="s">
        <v>369</v>
      </c>
      <c r="BI138" s="217" t="s">
        <v>250</v>
      </c>
      <c r="BJ138" s="283"/>
      <c r="BK138" s="196"/>
      <c r="BL138" s="284"/>
      <c r="BM138" s="285"/>
      <c r="BN138" s="292"/>
      <c r="BO138" s="284"/>
      <c r="BP138" s="285"/>
      <c r="BQ138" s="287"/>
      <c r="BR138" s="288"/>
      <c r="BS138" s="289"/>
      <c r="BT138" s="290"/>
      <c r="BU138" s="287"/>
    </row>
    <row r="139" spans="1:73" ht="14.4">
      <c r="A139" s="1242"/>
      <c r="B139" s="549"/>
      <c r="C139" s="550"/>
      <c r="D139" s="551"/>
      <c r="E139" s="555"/>
      <c r="F139" s="556"/>
      <c r="G139" s="551"/>
      <c r="H139" s="555"/>
      <c r="I139" s="776"/>
      <c r="J139" s="537"/>
      <c r="K139" s="538"/>
      <c r="L139" s="535"/>
      <c r="M139" s="536"/>
      <c r="N139" s="283"/>
      <c r="O139" s="291"/>
      <c r="P139" s="284"/>
      <c r="Q139" s="285"/>
      <c r="R139" s="292"/>
      <c r="S139" s="284"/>
      <c r="T139" s="285"/>
      <c r="U139" s="287"/>
      <c r="V139" s="288"/>
      <c r="W139" s="289"/>
      <c r="X139" s="290"/>
      <c r="Y139" s="287"/>
      <c r="Z139" s="283"/>
      <c r="AA139" s="291"/>
      <c r="AB139" s="284"/>
      <c r="AC139" s="285"/>
      <c r="AD139" s="292"/>
      <c r="AE139" s="284"/>
      <c r="AF139" s="285"/>
      <c r="AG139" s="287"/>
      <c r="AH139" s="288"/>
      <c r="AI139" s="289"/>
      <c r="AJ139" s="290"/>
      <c r="AK139" s="287"/>
      <c r="AL139" s="212"/>
      <c r="AM139" s="221"/>
      <c r="AN139" s="214"/>
      <c r="AO139" s="215"/>
      <c r="AP139" s="222"/>
      <c r="AQ139" s="214"/>
      <c r="AR139" s="215"/>
      <c r="AS139" s="217"/>
      <c r="AT139" s="218"/>
      <c r="AU139" s="219"/>
      <c r="AV139" s="220"/>
      <c r="AW139" s="217"/>
      <c r="AX139" s="212"/>
      <c r="AY139" s="221"/>
      <c r="AZ139" s="214"/>
      <c r="BA139" s="215"/>
      <c r="BB139" s="222"/>
      <c r="BC139" s="214"/>
      <c r="BD139" s="215"/>
      <c r="BE139" s="217"/>
      <c r="BF139" s="218"/>
      <c r="BG139" s="219"/>
      <c r="BH139" s="220"/>
      <c r="BI139" s="217"/>
      <c r="BJ139" s="283"/>
      <c r="BK139" s="291"/>
      <c r="BL139" s="284"/>
      <c r="BM139" s="285"/>
      <c r="BN139" s="292"/>
      <c r="BO139" s="284"/>
      <c r="BP139" s="285"/>
      <c r="BQ139" s="287"/>
      <c r="BR139" s="288"/>
      <c r="BS139" s="289"/>
      <c r="BT139" s="290"/>
      <c r="BU139" s="287"/>
    </row>
    <row r="140" spans="1:73" ht="14.4">
      <c r="A140" s="1243"/>
      <c r="B140" s="557"/>
      <c r="C140" s="553"/>
      <c r="D140" s="539"/>
      <c r="E140" s="558"/>
      <c r="F140" s="559"/>
      <c r="G140" s="539"/>
      <c r="H140" s="540"/>
      <c r="I140" s="777"/>
      <c r="J140" s="542"/>
      <c r="K140" s="543"/>
      <c r="L140" s="539"/>
      <c r="M140" s="540"/>
      <c r="N140" s="293"/>
      <c r="O140" s="294"/>
      <c r="P140" s="295"/>
      <c r="Q140" s="296"/>
      <c r="R140" s="297"/>
      <c r="S140" s="295"/>
      <c r="T140" s="298"/>
      <c r="U140" s="298"/>
      <c r="V140" s="299"/>
      <c r="W140" s="300"/>
      <c r="X140" s="295"/>
      <c r="Y140" s="298"/>
      <c r="Z140" s="293"/>
      <c r="AA140" s="294"/>
      <c r="AB140" s="295"/>
      <c r="AC140" s="296"/>
      <c r="AD140" s="297"/>
      <c r="AE140" s="295"/>
      <c r="AF140" s="298"/>
      <c r="AG140" s="298"/>
      <c r="AH140" s="299"/>
      <c r="AI140" s="300"/>
      <c r="AJ140" s="295"/>
      <c r="AK140" s="298"/>
      <c r="AL140" s="241"/>
      <c r="AM140" s="242"/>
      <c r="AN140" s="243"/>
      <c r="AO140" s="244"/>
      <c r="AP140" s="245"/>
      <c r="AQ140" s="243"/>
      <c r="AR140" s="246"/>
      <c r="AS140" s="246"/>
      <c r="AT140" s="247"/>
      <c r="AU140" s="248"/>
      <c r="AV140" s="243"/>
      <c r="AW140" s="246"/>
      <c r="AX140" s="241"/>
      <c r="AY140" s="242"/>
      <c r="AZ140" s="243"/>
      <c r="BA140" s="244"/>
      <c r="BB140" s="245"/>
      <c r="BC140" s="243"/>
      <c r="BD140" s="246"/>
      <c r="BE140" s="246"/>
      <c r="BF140" s="247"/>
      <c r="BG140" s="248"/>
      <c r="BH140" s="243"/>
      <c r="BI140" s="246"/>
      <c r="BJ140" s="293"/>
      <c r="BK140" s="294"/>
      <c r="BL140" s="295"/>
      <c r="BM140" s="296"/>
      <c r="BN140" s="297"/>
      <c r="BO140" s="295"/>
      <c r="BP140" s="298"/>
      <c r="BQ140" s="298"/>
      <c r="BR140" s="299"/>
      <c r="BS140" s="300"/>
      <c r="BT140" s="295"/>
      <c r="BU140" s="298"/>
    </row>
    <row r="141" spans="1:73" ht="14.4">
      <c r="A141" s="1240">
        <v>23</v>
      </c>
      <c r="B141" s="533"/>
      <c r="C141" s="545"/>
      <c r="D141" s="546"/>
      <c r="E141" s="547"/>
      <c r="F141" s="545"/>
      <c r="G141" s="546"/>
      <c r="H141" s="547"/>
      <c r="I141" s="774"/>
      <c r="J141" s="533"/>
      <c r="K141" s="548"/>
      <c r="L141" s="546"/>
      <c r="M141" s="547"/>
      <c r="N141" s="280"/>
      <c r="O141" s="277"/>
      <c r="P141" s="278"/>
      <c r="Q141" s="279"/>
      <c r="R141" s="277"/>
      <c r="S141" s="278"/>
      <c r="T141" s="279"/>
      <c r="U141" s="279"/>
      <c r="V141" s="280"/>
      <c r="W141" s="281"/>
      <c r="X141" s="278"/>
      <c r="Y141" s="279"/>
      <c r="Z141" s="280"/>
      <c r="AA141" s="277"/>
      <c r="AB141" s="278"/>
      <c r="AC141" s="279"/>
      <c r="AD141" s="277"/>
      <c r="AE141" s="278"/>
      <c r="AF141" s="279"/>
      <c r="AG141" s="279"/>
      <c r="AH141" s="280"/>
      <c r="AI141" s="281"/>
      <c r="AJ141" s="278"/>
      <c r="AK141" s="279"/>
      <c r="AL141" s="193" t="s">
        <v>67</v>
      </c>
      <c r="AM141" s="190">
        <v>1</v>
      </c>
      <c r="AN141" s="191"/>
      <c r="AO141" s="192"/>
      <c r="AP141" s="190">
        <v>1</v>
      </c>
      <c r="AQ141" s="191"/>
      <c r="AR141" s="192"/>
      <c r="AS141" s="192" t="s">
        <v>244</v>
      </c>
      <c r="AT141" s="193" t="s">
        <v>66</v>
      </c>
      <c r="AU141" s="194" t="s">
        <v>440</v>
      </c>
      <c r="AV141" s="191" t="s">
        <v>441</v>
      </c>
      <c r="AW141" s="192" t="s">
        <v>442</v>
      </c>
      <c r="AX141" s="193" t="s">
        <v>47</v>
      </c>
      <c r="AY141" s="190"/>
      <c r="AZ141" s="191"/>
      <c r="BA141" s="192">
        <v>1</v>
      </c>
      <c r="BB141" s="190">
        <v>1</v>
      </c>
      <c r="BC141" s="191"/>
      <c r="BD141" s="192"/>
      <c r="BE141" s="192" t="s">
        <v>51</v>
      </c>
      <c r="BF141" s="193" t="s">
        <v>71</v>
      </c>
      <c r="BG141" s="194" t="s">
        <v>443</v>
      </c>
      <c r="BH141" s="191" t="s">
        <v>444</v>
      </c>
      <c r="BI141" s="192" t="s">
        <v>439</v>
      </c>
      <c r="BJ141" s="193"/>
      <c r="BK141" s="190"/>
      <c r="BL141" s="191"/>
      <c r="BM141" s="192"/>
      <c r="BN141" s="190"/>
      <c r="BO141" s="191"/>
      <c r="BP141" s="192"/>
      <c r="BQ141" s="192"/>
      <c r="BR141" s="193"/>
      <c r="BS141" s="194"/>
      <c r="BT141" s="191"/>
      <c r="BU141" s="192"/>
    </row>
    <row r="142" spans="1:73" ht="14.4">
      <c r="A142" s="1241"/>
      <c r="B142" s="549"/>
      <c r="C142" s="554"/>
      <c r="D142" s="686"/>
      <c r="E142" s="687"/>
      <c r="F142" s="554"/>
      <c r="G142" s="686"/>
      <c r="H142" s="687"/>
      <c r="I142" s="775"/>
      <c r="J142" s="688"/>
      <c r="K142" s="689"/>
      <c r="L142" s="686"/>
      <c r="M142" s="687"/>
      <c r="N142" s="283"/>
      <c r="O142" s="196"/>
      <c r="P142" s="345"/>
      <c r="Q142" s="346"/>
      <c r="R142" s="196"/>
      <c r="S142" s="345"/>
      <c r="T142" s="346"/>
      <c r="U142" s="346"/>
      <c r="V142" s="347"/>
      <c r="W142" s="197"/>
      <c r="X142" s="345"/>
      <c r="Y142" s="346"/>
      <c r="Z142" s="283"/>
      <c r="AA142" s="196"/>
      <c r="AB142" s="345"/>
      <c r="AC142" s="346"/>
      <c r="AD142" s="196"/>
      <c r="AE142" s="345"/>
      <c r="AF142" s="346"/>
      <c r="AG142" s="346"/>
      <c r="AH142" s="347"/>
      <c r="AI142" s="197"/>
      <c r="AJ142" s="345"/>
      <c r="AK142" s="346"/>
      <c r="AL142" s="212"/>
      <c r="AM142" s="213"/>
      <c r="AN142" s="332"/>
      <c r="AO142" s="333"/>
      <c r="AP142" s="213"/>
      <c r="AQ142" s="332"/>
      <c r="AR142" s="333"/>
      <c r="AS142" s="333"/>
      <c r="AT142" s="331"/>
      <c r="AU142" s="260"/>
      <c r="AV142" s="332"/>
      <c r="AW142" s="333"/>
      <c r="AX142" s="212"/>
      <c r="AY142" s="213"/>
      <c r="AZ142" s="332"/>
      <c r="BA142" s="333"/>
      <c r="BB142" s="213"/>
      <c r="BC142" s="332"/>
      <c r="BD142" s="333"/>
      <c r="BE142" s="333"/>
      <c r="BF142" s="331"/>
      <c r="BG142" s="260"/>
      <c r="BH142" s="332"/>
      <c r="BI142" s="333"/>
      <c r="BJ142" s="212"/>
      <c r="BK142" s="213"/>
      <c r="BL142" s="332"/>
      <c r="BM142" s="333"/>
      <c r="BN142" s="213"/>
      <c r="BO142" s="332"/>
      <c r="BP142" s="333"/>
      <c r="BQ142" s="333"/>
      <c r="BR142" s="331"/>
      <c r="BS142" s="260"/>
      <c r="BT142" s="332"/>
      <c r="BU142" s="333"/>
    </row>
    <row r="143" spans="1:73" ht="14.4">
      <c r="A143" s="1241"/>
      <c r="B143" s="549"/>
      <c r="C143" s="554"/>
      <c r="D143" s="686"/>
      <c r="E143" s="687"/>
      <c r="F143" s="554"/>
      <c r="G143" s="686"/>
      <c r="H143" s="687"/>
      <c r="I143" s="775"/>
      <c r="J143" s="688"/>
      <c r="K143" s="689"/>
      <c r="L143" s="686"/>
      <c r="M143" s="687"/>
      <c r="N143" s="283"/>
      <c r="O143" s="196"/>
      <c r="P143" s="345"/>
      <c r="Q143" s="346"/>
      <c r="R143" s="196"/>
      <c r="S143" s="345"/>
      <c r="T143" s="346"/>
      <c r="U143" s="346"/>
      <c r="V143" s="347"/>
      <c r="W143" s="197"/>
      <c r="X143" s="345"/>
      <c r="Y143" s="346"/>
      <c r="Z143" s="283"/>
      <c r="AA143" s="196"/>
      <c r="AB143" s="345"/>
      <c r="AC143" s="346"/>
      <c r="AD143" s="196"/>
      <c r="AE143" s="345"/>
      <c r="AF143" s="346"/>
      <c r="AG143" s="346"/>
      <c r="AH143" s="347"/>
      <c r="AI143" s="197"/>
      <c r="AJ143" s="345"/>
      <c r="AK143" s="346"/>
      <c r="AL143" s="212"/>
      <c r="AM143" s="213"/>
      <c r="AN143" s="332"/>
      <c r="AO143" s="333"/>
      <c r="AP143" s="213"/>
      <c r="AQ143" s="332"/>
      <c r="AR143" s="333"/>
      <c r="AS143" s="333"/>
      <c r="AT143" s="331"/>
      <c r="AU143" s="260"/>
      <c r="AV143" s="332"/>
      <c r="AW143" s="333"/>
      <c r="AX143" s="212"/>
      <c r="AY143" s="213"/>
      <c r="AZ143" s="332"/>
      <c r="BA143" s="333"/>
      <c r="BB143" s="213"/>
      <c r="BC143" s="332"/>
      <c r="BD143" s="333"/>
      <c r="BE143" s="333"/>
      <c r="BF143" s="331"/>
      <c r="BG143" s="260"/>
      <c r="BH143" s="332"/>
      <c r="BI143" s="333"/>
      <c r="BJ143" s="212"/>
      <c r="BK143" s="213"/>
      <c r="BL143" s="332"/>
      <c r="BM143" s="333"/>
      <c r="BN143" s="213"/>
      <c r="BO143" s="332"/>
      <c r="BP143" s="333"/>
      <c r="BQ143" s="333"/>
      <c r="BR143" s="331"/>
      <c r="BS143" s="260"/>
      <c r="BT143" s="332"/>
      <c r="BU143" s="333"/>
    </row>
    <row r="144" spans="1:73" ht="14.4">
      <c r="A144" s="1241"/>
      <c r="B144" s="549"/>
      <c r="C144" s="554"/>
      <c r="D144" s="686"/>
      <c r="E144" s="687"/>
      <c r="F144" s="554"/>
      <c r="G144" s="686"/>
      <c r="H144" s="687"/>
      <c r="I144" s="775"/>
      <c r="J144" s="688"/>
      <c r="K144" s="689"/>
      <c r="L144" s="686"/>
      <c r="M144" s="687"/>
      <c r="N144" s="283"/>
      <c r="O144" s="196"/>
      <c r="P144" s="345"/>
      <c r="Q144" s="346"/>
      <c r="R144" s="196"/>
      <c r="S144" s="345"/>
      <c r="T144" s="346"/>
      <c r="U144" s="346"/>
      <c r="V144" s="347"/>
      <c r="W144" s="197"/>
      <c r="X144" s="345"/>
      <c r="Y144" s="346"/>
      <c r="Z144" s="283"/>
      <c r="AA144" s="196"/>
      <c r="AB144" s="345"/>
      <c r="AC144" s="346"/>
      <c r="AD144" s="196"/>
      <c r="AE144" s="345"/>
      <c r="AF144" s="346"/>
      <c r="AG144" s="346"/>
      <c r="AH144" s="347"/>
      <c r="AI144" s="197"/>
      <c r="AJ144" s="345"/>
      <c r="AK144" s="346"/>
      <c r="AL144" s="212"/>
      <c r="AM144" s="213"/>
      <c r="AN144" s="332"/>
      <c r="AO144" s="333"/>
      <c r="AP144" s="213"/>
      <c r="AQ144" s="332"/>
      <c r="AR144" s="333"/>
      <c r="AS144" s="333"/>
      <c r="AT144" s="331"/>
      <c r="AU144" s="260"/>
      <c r="AV144" s="332"/>
      <c r="AW144" s="333"/>
      <c r="AX144" s="212"/>
      <c r="AY144" s="213"/>
      <c r="AZ144" s="332"/>
      <c r="BA144" s="333"/>
      <c r="BB144" s="213"/>
      <c r="BC144" s="332"/>
      <c r="BD144" s="333"/>
      <c r="BE144" s="333"/>
      <c r="BF144" s="331"/>
      <c r="BG144" s="260"/>
      <c r="BH144" s="332"/>
      <c r="BI144" s="333"/>
      <c r="BJ144" s="212"/>
      <c r="BK144" s="213"/>
      <c r="BL144" s="332"/>
      <c r="BM144" s="333"/>
      <c r="BN144" s="213"/>
      <c r="BO144" s="332"/>
      <c r="BP144" s="333"/>
      <c r="BQ144" s="333"/>
      <c r="BR144" s="331"/>
      <c r="BS144" s="260"/>
      <c r="BT144" s="332"/>
      <c r="BU144" s="333"/>
    </row>
    <row r="145" spans="1:73" ht="14.4">
      <c r="A145" s="1242"/>
      <c r="B145" s="549"/>
      <c r="C145" s="554"/>
      <c r="D145" s="551"/>
      <c r="E145" s="555"/>
      <c r="F145" s="556"/>
      <c r="G145" s="551"/>
      <c r="H145" s="555"/>
      <c r="I145" s="776"/>
      <c r="J145" s="537"/>
      <c r="K145" s="538"/>
      <c r="L145" s="535"/>
      <c r="M145" s="536"/>
      <c r="N145" s="283"/>
      <c r="O145" s="196"/>
      <c r="P145" s="284"/>
      <c r="Q145" s="285"/>
      <c r="R145" s="292"/>
      <c r="S145" s="284"/>
      <c r="T145" s="285"/>
      <c r="U145" s="287"/>
      <c r="V145" s="288"/>
      <c r="W145" s="289"/>
      <c r="X145" s="290"/>
      <c r="Y145" s="287"/>
      <c r="Z145" s="283"/>
      <c r="AA145" s="196"/>
      <c r="AB145" s="284"/>
      <c r="AC145" s="285"/>
      <c r="AD145" s="292"/>
      <c r="AE145" s="284"/>
      <c r="AF145" s="285"/>
      <c r="AG145" s="287"/>
      <c r="AH145" s="288"/>
      <c r="AI145" s="289"/>
      <c r="AJ145" s="290"/>
      <c r="AK145" s="287"/>
      <c r="AL145" s="212"/>
      <c r="AM145" s="213"/>
      <c r="AN145" s="214"/>
      <c r="AO145" s="215"/>
      <c r="AP145" s="222"/>
      <c r="AQ145" s="214"/>
      <c r="AR145" s="215"/>
      <c r="AS145" s="217"/>
      <c r="AT145" s="218"/>
      <c r="AU145" s="219"/>
      <c r="AV145" s="220"/>
      <c r="AW145" s="217"/>
      <c r="AX145" s="212" t="s">
        <v>445</v>
      </c>
      <c r="AY145" s="213"/>
      <c r="AZ145" s="214">
        <v>1</v>
      </c>
      <c r="BA145" s="215"/>
      <c r="BB145" s="222"/>
      <c r="BC145" s="214">
        <v>1</v>
      </c>
      <c r="BD145" s="215"/>
      <c r="BE145" s="217" t="s">
        <v>251</v>
      </c>
      <c r="BF145" s="218" t="s">
        <v>31</v>
      </c>
      <c r="BG145" s="219" t="s">
        <v>446</v>
      </c>
      <c r="BH145" s="220" t="s">
        <v>447</v>
      </c>
      <c r="BI145" s="217" t="s">
        <v>448</v>
      </c>
      <c r="BJ145" s="212"/>
      <c r="BK145" s="213"/>
      <c r="BL145" s="214"/>
      <c r="BM145" s="215"/>
      <c r="BN145" s="222"/>
      <c r="BO145" s="214"/>
      <c r="BP145" s="215"/>
      <c r="BQ145" s="217"/>
      <c r="BR145" s="218"/>
      <c r="BS145" s="219"/>
      <c r="BT145" s="220"/>
      <c r="BU145" s="217"/>
    </row>
    <row r="146" spans="1:73" ht="14.4">
      <c r="A146" s="1242"/>
      <c r="B146" s="549"/>
      <c r="C146" s="550"/>
      <c r="D146" s="551"/>
      <c r="E146" s="555"/>
      <c r="F146" s="556"/>
      <c r="G146" s="551"/>
      <c r="H146" s="555"/>
      <c r="I146" s="776"/>
      <c r="J146" s="537"/>
      <c r="K146" s="538"/>
      <c r="L146" s="535"/>
      <c r="M146" s="536"/>
      <c r="N146" s="283"/>
      <c r="O146" s="291"/>
      <c r="P146" s="284"/>
      <c r="Q146" s="285"/>
      <c r="R146" s="292"/>
      <c r="S146" s="284"/>
      <c r="T146" s="285"/>
      <c r="U146" s="287"/>
      <c r="V146" s="288"/>
      <c r="W146" s="289"/>
      <c r="X146" s="290"/>
      <c r="Y146" s="287"/>
      <c r="Z146" s="283"/>
      <c r="AA146" s="291"/>
      <c r="AB146" s="284"/>
      <c r="AC146" s="285"/>
      <c r="AD146" s="292"/>
      <c r="AE146" s="284"/>
      <c r="AF146" s="285"/>
      <c r="AG146" s="287"/>
      <c r="AH146" s="288"/>
      <c r="AI146" s="289"/>
      <c r="AJ146" s="290"/>
      <c r="AK146" s="287"/>
      <c r="AL146" s="212"/>
      <c r="AM146" s="221"/>
      <c r="AN146" s="214"/>
      <c r="AO146" s="215"/>
      <c r="AP146" s="222"/>
      <c r="AQ146" s="214"/>
      <c r="AR146" s="215"/>
      <c r="AS146" s="217"/>
      <c r="AT146" s="218"/>
      <c r="AU146" s="219"/>
      <c r="AV146" s="220"/>
      <c r="AW146" s="217"/>
      <c r="AX146" s="212"/>
      <c r="AY146" s="221"/>
      <c r="AZ146" s="214"/>
      <c r="BA146" s="215"/>
      <c r="BB146" s="222"/>
      <c r="BC146" s="214"/>
      <c r="BD146" s="215"/>
      <c r="BE146" s="217"/>
      <c r="BF146" s="218"/>
      <c r="BG146" s="219"/>
      <c r="BH146" s="220"/>
      <c r="BI146" s="217"/>
      <c r="BJ146" s="212"/>
      <c r="BK146" s="221"/>
      <c r="BL146" s="214"/>
      <c r="BM146" s="215"/>
      <c r="BN146" s="222"/>
      <c r="BO146" s="214"/>
      <c r="BP146" s="215"/>
      <c r="BQ146" s="217"/>
      <c r="BR146" s="218"/>
      <c r="BS146" s="219"/>
      <c r="BT146" s="220"/>
      <c r="BU146" s="217"/>
    </row>
    <row r="147" spans="1:73" ht="14.4">
      <c r="A147" s="1243"/>
      <c r="B147" s="557"/>
      <c r="C147" s="553"/>
      <c r="D147" s="539"/>
      <c r="E147" s="558"/>
      <c r="F147" s="559"/>
      <c r="G147" s="539"/>
      <c r="H147" s="540"/>
      <c r="I147" s="777"/>
      <c r="J147" s="542"/>
      <c r="K147" s="543"/>
      <c r="L147" s="539"/>
      <c r="M147" s="540"/>
      <c r="N147" s="293"/>
      <c r="O147" s="294"/>
      <c r="P147" s="295"/>
      <c r="Q147" s="296"/>
      <c r="R147" s="297"/>
      <c r="S147" s="295"/>
      <c r="T147" s="298"/>
      <c r="U147" s="298"/>
      <c r="V147" s="299"/>
      <c r="W147" s="300"/>
      <c r="X147" s="295"/>
      <c r="Y147" s="298"/>
      <c r="Z147" s="293"/>
      <c r="AA147" s="294"/>
      <c r="AB147" s="295"/>
      <c r="AC147" s="296"/>
      <c r="AD147" s="297"/>
      <c r="AE147" s="295"/>
      <c r="AF147" s="298"/>
      <c r="AG147" s="298"/>
      <c r="AH147" s="299"/>
      <c r="AI147" s="300"/>
      <c r="AJ147" s="295"/>
      <c r="AK147" s="298"/>
      <c r="AL147" s="241"/>
      <c r="AM147" s="242"/>
      <c r="AN147" s="243"/>
      <c r="AO147" s="244"/>
      <c r="AP147" s="245"/>
      <c r="AQ147" s="243"/>
      <c r="AR147" s="246"/>
      <c r="AS147" s="246"/>
      <c r="AT147" s="247"/>
      <c r="AU147" s="248"/>
      <c r="AV147" s="243"/>
      <c r="AW147" s="246"/>
      <c r="AX147" s="241"/>
      <c r="AY147" s="242"/>
      <c r="AZ147" s="243"/>
      <c r="BA147" s="244"/>
      <c r="BB147" s="245"/>
      <c r="BC147" s="243"/>
      <c r="BD147" s="246"/>
      <c r="BE147" s="246"/>
      <c r="BF147" s="247"/>
      <c r="BG147" s="248"/>
      <c r="BH147" s="243"/>
      <c r="BI147" s="246"/>
      <c r="BJ147" s="241"/>
      <c r="BK147" s="242"/>
      <c r="BL147" s="243"/>
      <c r="BM147" s="244"/>
      <c r="BN147" s="245"/>
      <c r="BO147" s="243"/>
      <c r="BP147" s="246"/>
      <c r="BQ147" s="246"/>
      <c r="BR147" s="247"/>
      <c r="BS147" s="248"/>
      <c r="BT147" s="243"/>
      <c r="BU147" s="246"/>
    </row>
    <row r="148" spans="1:73" ht="14.4">
      <c r="A148" s="1240">
        <v>24</v>
      </c>
      <c r="B148" s="533"/>
      <c r="C148" s="545"/>
      <c r="D148" s="546"/>
      <c r="E148" s="547"/>
      <c r="F148" s="545"/>
      <c r="G148" s="546"/>
      <c r="H148" s="547"/>
      <c r="I148" s="774"/>
      <c r="J148" s="533"/>
      <c r="K148" s="548"/>
      <c r="L148" s="546"/>
      <c r="M148" s="547"/>
      <c r="N148" s="193"/>
      <c r="O148" s="190"/>
      <c r="P148" s="191"/>
      <c r="Q148" s="192"/>
      <c r="R148" s="190"/>
      <c r="S148" s="191"/>
      <c r="T148" s="192"/>
      <c r="U148" s="192"/>
      <c r="V148" s="193"/>
      <c r="W148" s="194"/>
      <c r="X148" s="191"/>
      <c r="Y148" s="192"/>
      <c r="Z148" s="193" t="s">
        <v>261</v>
      </c>
      <c r="AA148" s="190"/>
      <c r="AB148" s="191"/>
      <c r="AC148" s="192"/>
      <c r="AD148" s="190"/>
      <c r="AE148" s="191"/>
      <c r="AF148" s="192"/>
      <c r="AG148" s="192"/>
      <c r="AH148" s="193"/>
      <c r="AI148" s="194"/>
      <c r="AJ148" s="191"/>
      <c r="AK148" s="192"/>
      <c r="AL148" s="193" t="s">
        <v>46</v>
      </c>
      <c r="AM148" s="190"/>
      <c r="AN148" s="191">
        <v>1</v>
      </c>
      <c r="AO148" s="192"/>
      <c r="AP148" s="190">
        <v>1</v>
      </c>
      <c r="AQ148" s="191"/>
      <c r="AR148" s="192"/>
      <c r="AS148" s="192" t="s">
        <v>251</v>
      </c>
      <c r="AT148" s="193" t="s">
        <v>87</v>
      </c>
      <c r="AU148" s="194" t="s">
        <v>449</v>
      </c>
      <c r="AV148" s="191" t="s">
        <v>450</v>
      </c>
      <c r="AW148" s="192" t="s">
        <v>391</v>
      </c>
      <c r="AX148" s="305"/>
      <c r="AY148" s="302"/>
      <c r="AZ148" s="303"/>
      <c r="BA148" s="304"/>
      <c r="BB148" s="302"/>
      <c r="BC148" s="303"/>
      <c r="BD148" s="304"/>
      <c r="BE148" s="304"/>
      <c r="BF148" s="305"/>
      <c r="BG148" s="306"/>
      <c r="BH148" s="303"/>
      <c r="BI148" s="304"/>
      <c r="BJ148" s="193"/>
      <c r="BK148" s="190"/>
      <c r="BL148" s="191"/>
      <c r="BM148" s="192"/>
      <c r="BN148" s="190"/>
      <c r="BO148" s="191"/>
      <c r="BP148" s="192"/>
      <c r="BQ148" s="192"/>
      <c r="BR148" s="193"/>
      <c r="BS148" s="194"/>
      <c r="BT148" s="191"/>
      <c r="BU148" s="192"/>
    </row>
    <row r="149" spans="1:73" ht="14.4">
      <c r="A149" s="1241"/>
      <c r="B149" s="549"/>
      <c r="C149" s="554"/>
      <c r="D149" s="686"/>
      <c r="E149" s="687"/>
      <c r="F149" s="554"/>
      <c r="G149" s="686"/>
      <c r="H149" s="687"/>
      <c r="I149" s="775"/>
      <c r="J149" s="688"/>
      <c r="K149" s="689"/>
      <c r="L149" s="686"/>
      <c r="M149" s="687"/>
      <c r="N149" s="212"/>
      <c r="O149" s="213"/>
      <c r="P149" s="332"/>
      <c r="Q149" s="333"/>
      <c r="R149" s="213"/>
      <c r="S149" s="332"/>
      <c r="T149" s="333"/>
      <c r="U149" s="333"/>
      <c r="V149" s="331"/>
      <c r="W149" s="260"/>
      <c r="X149" s="332"/>
      <c r="Y149" s="333"/>
      <c r="Z149" s="212"/>
      <c r="AA149" s="213"/>
      <c r="AB149" s="332"/>
      <c r="AC149" s="333"/>
      <c r="AD149" s="213"/>
      <c r="AE149" s="332"/>
      <c r="AF149" s="333"/>
      <c r="AG149" s="333"/>
      <c r="AH149" s="331"/>
      <c r="AI149" s="260"/>
      <c r="AJ149" s="332"/>
      <c r="AK149" s="333"/>
      <c r="AL149" s="212"/>
      <c r="AM149" s="213"/>
      <c r="AN149" s="332"/>
      <c r="AO149" s="333"/>
      <c r="AP149" s="213"/>
      <c r="AQ149" s="332"/>
      <c r="AR149" s="333"/>
      <c r="AS149" s="333"/>
      <c r="AT149" s="331"/>
      <c r="AU149" s="260"/>
      <c r="AV149" s="332"/>
      <c r="AW149" s="333"/>
      <c r="AX149" s="307"/>
      <c r="AY149" s="204"/>
      <c r="AZ149" s="695"/>
      <c r="BA149" s="696"/>
      <c r="BB149" s="204"/>
      <c r="BC149" s="695"/>
      <c r="BD149" s="696"/>
      <c r="BE149" s="696"/>
      <c r="BF149" s="356"/>
      <c r="BG149" s="205"/>
      <c r="BH149" s="695"/>
      <c r="BI149" s="696"/>
      <c r="BJ149" s="212"/>
      <c r="BK149" s="213"/>
      <c r="BL149" s="332"/>
      <c r="BM149" s="333"/>
      <c r="BN149" s="213"/>
      <c r="BO149" s="332"/>
      <c r="BP149" s="333"/>
      <c r="BQ149" s="333"/>
      <c r="BR149" s="331"/>
      <c r="BS149" s="260"/>
      <c r="BT149" s="332"/>
      <c r="BU149" s="333"/>
    </row>
    <row r="150" spans="1:73" ht="14.4">
      <c r="A150" s="1241"/>
      <c r="B150" s="549"/>
      <c r="C150" s="554"/>
      <c r="D150" s="686"/>
      <c r="E150" s="687"/>
      <c r="F150" s="554"/>
      <c r="G150" s="686"/>
      <c r="H150" s="687"/>
      <c r="I150" s="775"/>
      <c r="J150" s="688"/>
      <c r="K150" s="689"/>
      <c r="L150" s="686"/>
      <c r="M150" s="687"/>
      <c r="N150" s="212"/>
      <c r="O150" s="213"/>
      <c r="P150" s="332"/>
      <c r="Q150" s="333"/>
      <c r="R150" s="213"/>
      <c r="S150" s="332"/>
      <c r="T150" s="333"/>
      <c r="U150" s="333"/>
      <c r="V150" s="331"/>
      <c r="W150" s="260"/>
      <c r="X150" s="332"/>
      <c r="Y150" s="333"/>
      <c r="Z150" s="212"/>
      <c r="AA150" s="213"/>
      <c r="AB150" s="332"/>
      <c r="AC150" s="333"/>
      <c r="AD150" s="213"/>
      <c r="AE150" s="332"/>
      <c r="AF150" s="333"/>
      <c r="AG150" s="333"/>
      <c r="AH150" s="331"/>
      <c r="AI150" s="260"/>
      <c r="AJ150" s="332"/>
      <c r="AK150" s="333"/>
      <c r="AL150" s="212"/>
      <c r="AM150" s="213"/>
      <c r="AN150" s="332"/>
      <c r="AO150" s="333"/>
      <c r="AP150" s="213"/>
      <c r="AQ150" s="332"/>
      <c r="AR150" s="333"/>
      <c r="AS150" s="333"/>
      <c r="AT150" s="331"/>
      <c r="AU150" s="260"/>
      <c r="AV150" s="332"/>
      <c r="AW150" s="333"/>
      <c r="AX150" s="307"/>
      <c r="AY150" s="204"/>
      <c r="AZ150" s="695"/>
      <c r="BA150" s="696"/>
      <c r="BB150" s="204"/>
      <c r="BC150" s="695"/>
      <c r="BD150" s="696"/>
      <c r="BE150" s="696"/>
      <c r="BF150" s="356"/>
      <c r="BG150" s="205"/>
      <c r="BH150" s="695"/>
      <c r="BI150" s="696"/>
      <c r="BJ150" s="212"/>
      <c r="BK150" s="213"/>
      <c r="BL150" s="332"/>
      <c r="BM150" s="333"/>
      <c r="BN150" s="213"/>
      <c r="BO150" s="332"/>
      <c r="BP150" s="333"/>
      <c r="BQ150" s="333"/>
      <c r="BR150" s="331"/>
      <c r="BS150" s="260"/>
      <c r="BT150" s="332"/>
      <c r="BU150" s="333"/>
    </row>
    <row r="151" spans="1:73" ht="14.4">
      <c r="A151" s="1241"/>
      <c r="B151" s="549"/>
      <c r="C151" s="554"/>
      <c r="D151" s="686"/>
      <c r="E151" s="687"/>
      <c r="F151" s="554"/>
      <c r="G151" s="686"/>
      <c r="H151" s="687"/>
      <c r="I151" s="775"/>
      <c r="J151" s="688"/>
      <c r="K151" s="689"/>
      <c r="L151" s="686"/>
      <c r="M151" s="687"/>
      <c r="N151" s="212"/>
      <c r="O151" s="213"/>
      <c r="P151" s="332"/>
      <c r="Q151" s="333"/>
      <c r="R151" s="213"/>
      <c r="S151" s="332"/>
      <c r="T151" s="333"/>
      <c r="U151" s="333"/>
      <c r="V151" s="331"/>
      <c r="W151" s="260"/>
      <c r="X151" s="332"/>
      <c r="Y151" s="333"/>
      <c r="Z151" s="212"/>
      <c r="AA151" s="213"/>
      <c r="AB151" s="332"/>
      <c r="AC151" s="333"/>
      <c r="AD151" s="213"/>
      <c r="AE151" s="332"/>
      <c r="AF151" s="333"/>
      <c r="AG151" s="333"/>
      <c r="AH151" s="331"/>
      <c r="AI151" s="260"/>
      <c r="AJ151" s="332"/>
      <c r="AK151" s="333"/>
      <c r="AL151" s="212"/>
      <c r="AM151" s="213"/>
      <c r="AN151" s="332"/>
      <c r="AO151" s="333"/>
      <c r="AP151" s="213"/>
      <c r="AQ151" s="332"/>
      <c r="AR151" s="333"/>
      <c r="AS151" s="333"/>
      <c r="AT151" s="331"/>
      <c r="AU151" s="260"/>
      <c r="AV151" s="332"/>
      <c r="AW151" s="333"/>
      <c r="AX151" s="307"/>
      <c r="AY151" s="204"/>
      <c r="AZ151" s="695"/>
      <c r="BA151" s="696"/>
      <c r="BB151" s="204"/>
      <c r="BC151" s="695"/>
      <c r="BD151" s="696"/>
      <c r="BE151" s="696"/>
      <c r="BF151" s="356"/>
      <c r="BG151" s="205"/>
      <c r="BH151" s="695"/>
      <c r="BI151" s="696"/>
      <c r="BJ151" s="212"/>
      <c r="BK151" s="213"/>
      <c r="BL151" s="332"/>
      <c r="BM151" s="333"/>
      <c r="BN151" s="213"/>
      <c r="BO151" s="332"/>
      <c r="BP151" s="333"/>
      <c r="BQ151" s="333"/>
      <c r="BR151" s="331"/>
      <c r="BS151" s="260"/>
      <c r="BT151" s="332"/>
      <c r="BU151" s="333"/>
    </row>
    <row r="152" spans="1:73" ht="14.4">
      <c r="A152" s="1242"/>
      <c r="B152" s="549"/>
      <c r="C152" s="554"/>
      <c r="D152" s="551"/>
      <c r="E152" s="555"/>
      <c r="F152" s="556"/>
      <c r="G152" s="551"/>
      <c r="H152" s="555"/>
      <c r="I152" s="776"/>
      <c r="J152" s="537"/>
      <c r="K152" s="538"/>
      <c r="L152" s="535"/>
      <c r="M152" s="536"/>
      <c r="N152" s="212"/>
      <c r="O152" s="213"/>
      <c r="P152" s="214"/>
      <c r="Q152" s="215"/>
      <c r="R152" s="222"/>
      <c r="S152" s="214"/>
      <c r="T152" s="215"/>
      <c r="U152" s="217"/>
      <c r="V152" s="218"/>
      <c r="W152" s="219"/>
      <c r="X152" s="220"/>
      <c r="Y152" s="217"/>
      <c r="Z152" s="212"/>
      <c r="AA152" s="213"/>
      <c r="AB152" s="214"/>
      <c r="AC152" s="215"/>
      <c r="AD152" s="222"/>
      <c r="AE152" s="214"/>
      <c r="AF152" s="215"/>
      <c r="AG152" s="217"/>
      <c r="AH152" s="218"/>
      <c r="AI152" s="219"/>
      <c r="AJ152" s="220"/>
      <c r="AK152" s="217"/>
      <c r="AL152" s="212" t="s">
        <v>46</v>
      </c>
      <c r="AM152" s="213"/>
      <c r="AN152" s="214">
        <v>1</v>
      </c>
      <c r="AO152" s="215"/>
      <c r="AP152" s="222"/>
      <c r="AQ152" s="214"/>
      <c r="AR152" s="215">
        <v>1</v>
      </c>
      <c r="AS152" s="217" t="s">
        <v>251</v>
      </c>
      <c r="AT152" s="218" t="s">
        <v>31</v>
      </c>
      <c r="AU152" s="219" t="s">
        <v>451</v>
      </c>
      <c r="AV152" s="220" t="s">
        <v>452</v>
      </c>
      <c r="AW152" s="217" t="s">
        <v>453</v>
      </c>
      <c r="AX152" s="307"/>
      <c r="AY152" s="204"/>
      <c r="AZ152" s="308"/>
      <c r="BA152" s="309"/>
      <c r="BB152" s="310"/>
      <c r="BC152" s="308"/>
      <c r="BD152" s="309"/>
      <c r="BE152" s="311"/>
      <c r="BF152" s="312"/>
      <c r="BG152" s="313"/>
      <c r="BH152" s="314"/>
      <c r="BI152" s="311"/>
      <c r="BJ152" s="212"/>
      <c r="BK152" s="213"/>
      <c r="BL152" s="214"/>
      <c r="BM152" s="215"/>
      <c r="BN152" s="222"/>
      <c r="BO152" s="214"/>
      <c r="BP152" s="215"/>
      <c r="BQ152" s="217"/>
      <c r="BR152" s="218"/>
      <c r="BS152" s="219"/>
      <c r="BT152" s="220"/>
      <c r="BU152" s="217"/>
    </row>
    <row r="153" spans="1:73" ht="14.4">
      <c r="A153" s="1242"/>
      <c r="B153" s="549"/>
      <c r="C153" s="550"/>
      <c r="D153" s="551"/>
      <c r="E153" s="555"/>
      <c r="F153" s="556"/>
      <c r="G153" s="551"/>
      <c r="H153" s="555"/>
      <c r="I153" s="776"/>
      <c r="J153" s="537"/>
      <c r="K153" s="538"/>
      <c r="L153" s="535"/>
      <c r="M153" s="536"/>
      <c r="N153" s="212"/>
      <c r="O153" s="221"/>
      <c r="P153" s="214"/>
      <c r="Q153" s="215"/>
      <c r="R153" s="222"/>
      <c r="S153" s="214"/>
      <c r="T153" s="215"/>
      <c r="U153" s="217"/>
      <c r="V153" s="218"/>
      <c r="W153" s="219"/>
      <c r="X153" s="220"/>
      <c r="Y153" s="217"/>
      <c r="Z153" s="212"/>
      <c r="AA153" s="221"/>
      <c r="AB153" s="214"/>
      <c r="AC153" s="215"/>
      <c r="AD153" s="222"/>
      <c r="AE153" s="214"/>
      <c r="AF153" s="215"/>
      <c r="AG153" s="217"/>
      <c r="AH153" s="218"/>
      <c r="AI153" s="219"/>
      <c r="AJ153" s="220"/>
      <c r="AK153" s="217"/>
      <c r="AL153" s="212"/>
      <c r="AM153" s="221"/>
      <c r="AN153" s="214"/>
      <c r="AO153" s="215"/>
      <c r="AP153" s="222"/>
      <c r="AQ153" s="214"/>
      <c r="AR153" s="215"/>
      <c r="AS153" s="217"/>
      <c r="AT153" s="218"/>
      <c r="AU153" s="219"/>
      <c r="AV153" s="220"/>
      <c r="AW153" s="217"/>
      <c r="AX153" s="307"/>
      <c r="AY153" s="315"/>
      <c r="AZ153" s="308"/>
      <c r="BA153" s="309"/>
      <c r="BB153" s="310"/>
      <c r="BC153" s="308"/>
      <c r="BD153" s="309"/>
      <c r="BE153" s="311"/>
      <c r="BF153" s="312"/>
      <c r="BG153" s="313"/>
      <c r="BH153" s="314"/>
      <c r="BI153" s="311"/>
      <c r="BJ153" s="212"/>
      <c r="BK153" s="221"/>
      <c r="BL153" s="214"/>
      <c r="BM153" s="215"/>
      <c r="BN153" s="222"/>
      <c r="BO153" s="214"/>
      <c r="BP153" s="215"/>
      <c r="BQ153" s="217"/>
      <c r="BR153" s="218"/>
      <c r="BS153" s="219"/>
      <c r="BT153" s="220"/>
      <c r="BU153" s="217"/>
    </row>
    <row r="154" spans="1:73" ht="14.4">
      <c r="A154" s="1243"/>
      <c r="B154" s="557"/>
      <c r="C154" s="553"/>
      <c r="D154" s="539"/>
      <c r="E154" s="558"/>
      <c r="F154" s="559"/>
      <c r="G154" s="539"/>
      <c r="H154" s="540"/>
      <c r="I154" s="777"/>
      <c r="J154" s="542"/>
      <c r="K154" s="543"/>
      <c r="L154" s="539"/>
      <c r="M154" s="540"/>
      <c r="N154" s="241"/>
      <c r="O154" s="242"/>
      <c r="P154" s="243"/>
      <c r="Q154" s="244"/>
      <c r="R154" s="245"/>
      <c r="S154" s="243"/>
      <c r="T154" s="246"/>
      <c r="U154" s="246"/>
      <c r="V154" s="247"/>
      <c r="W154" s="248"/>
      <c r="X154" s="243"/>
      <c r="Y154" s="246"/>
      <c r="Z154" s="241"/>
      <c r="AA154" s="242"/>
      <c r="AB154" s="243"/>
      <c r="AC154" s="244"/>
      <c r="AD154" s="245"/>
      <c r="AE154" s="243"/>
      <c r="AF154" s="246"/>
      <c r="AG154" s="246"/>
      <c r="AH154" s="247"/>
      <c r="AI154" s="248"/>
      <c r="AJ154" s="243"/>
      <c r="AK154" s="246"/>
      <c r="AL154" s="241"/>
      <c r="AM154" s="242"/>
      <c r="AN154" s="243"/>
      <c r="AO154" s="244"/>
      <c r="AP154" s="245"/>
      <c r="AQ154" s="243"/>
      <c r="AR154" s="246"/>
      <c r="AS154" s="246"/>
      <c r="AT154" s="247"/>
      <c r="AU154" s="248"/>
      <c r="AV154" s="243"/>
      <c r="AW154" s="246"/>
      <c r="AX154" s="316"/>
      <c r="AY154" s="317"/>
      <c r="AZ154" s="318"/>
      <c r="BA154" s="319"/>
      <c r="BB154" s="320"/>
      <c r="BC154" s="318"/>
      <c r="BD154" s="321"/>
      <c r="BE154" s="321"/>
      <c r="BF154" s="322"/>
      <c r="BG154" s="323"/>
      <c r="BH154" s="318"/>
      <c r="BI154" s="321"/>
      <c r="BJ154" s="241"/>
      <c r="BK154" s="242"/>
      <c r="BL154" s="243"/>
      <c r="BM154" s="244"/>
      <c r="BN154" s="245"/>
      <c r="BO154" s="243"/>
      <c r="BP154" s="246"/>
      <c r="BQ154" s="246"/>
      <c r="BR154" s="247"/>
      <c r="BS154" s="248"/>
      <c r="BT154" s="243"/>
      <c r="BU154" s="246"/>
    </row>
    <row r="155" spans="1:73" ht="14.4">
      <c r="A155" s="1240">
        <v>25</v>
      </c>
      <c r="B155" s="482"/>
      <c r="C155" s="560"/>
      <c r="D155" s="561"/>
      <c r="E155" s="562"/>
      <c r="F155" s="560"/>
      <c r="G155" s="561"/>
      <c r="H155" s="562"/>
      <c r="I155" s="796"/>
      <c r="J155" s="563"/>
      <c r="K155" s="564"/>
      <c r="L155" s="561"/>
      <c r="M155" s="562"/>
      <c r="N155" s="193" t="s">
        <v>46</v>
      </c>
      <c r="O155" s="190">
        <v>1</v>
      </c>
      <c r="P155" s="191"/>
      <c r="Q155" s="192"/>
      <c r="R155" s="190">
        <v>1</v>
      </c>
      <c r="S155" s="191"/>
      <c r="T155" s="192"/>
      <c r="U155" s="192" t="s">
        <v>238</v>
      </c>
      <c r="V155" s="193" t="s">
        <v>31</v>
      </c>
      <c r="W155" s="194" t="s">
        <v>454</v>
      </c>
      <c r="X155" s="191" t="s">
        <v>263</v>
      </c>
      <c r="Y155" s="192" t="s">
        <v>455</v>
      </c>
      <c r="Z155" s="193" t="s">
        <v>62</v>
      </c>
      <c r="AA155" s="190">
        <v>1</v>
      </c>
      <c r="AB155" s="191"/>
      <c r="AC155" s="192"/>
      <c r="AD155" s="190"/>
      <c r="AE155" s="191"/>
      <c r="AF155" s="192">
        <v>1</v>
      </c>
      <c r="AG155" s="192" t="s">
        <v>244</v>
      </c>
      <c r="AH155" s="193" t="s">
        <v>31</v>
      </c>
      <c r="AI155" s="194" t="s">
        <v>456</v>
      </c>
      <c r="AJ155" s="191" t="s">
        <v>457</v>
      </c>
      <c r="AK155" s="192" t="s">
        <v>458</v>
      </c>
      <c r="AL155" s="193" t="s">
        <v>46</v>
      </c>
      <c r="AM155" s="190">
        <v>1</v>
      </c>
      <c r="AN155" s="191"/>
      <c r="AO155" s="192"/>
      <c r="AP155" s="190">
        <v>1</v>
      </c>
      <c r="AQ155" s="191"/>
      <c r="AR155" s="192"/>
      <c r="AS155" s="192" t="s">
        <v>238</v>
      </c>
      <c r="AT155" s="193" t="s">
        <v>63</v>
      </c>
      <c r="AU155" s="194" t="s">
        <v>459</v>
      </c>
      <c r="AV155" s="191" t="s">
        <v>274</v>
      </c>
      <c r="AW155" s="192" t="s">
        <v>275</v>
      </c>
      <c r="AX155" s="305"/>
      <c r="AY155" s="302"/>
      <c r="AZ155" s="303"/>
      <c r="BA155" s="304"/>
      <c r="BB155" s="302"/>
      <c r="BC155" s="303"/>
      <c r="BD155" s="304"/>
      <c r="BE155" s="304"/>
      <c r="BF155" s="305"/>
      <c r="BG155" s="306"/>
      <c r="BH155" s="303"/>
      <c r="BI155" s="304"/>
      <c r="BJ155" s="193"/>
      <c r="BK155" s="190"/>
      <c r="BL155" s="191"/>
      <c r="BM155" s="192"/>
      <c r="BN155" s="190"/>
      <c r="BO155" s="191"/>
      <c r="BP155" s="192"/>
      <c r="BQ155" s="192"/>
      <c r="BR155" s="193"/>
      <c r="BS155" s="194"/>
      <c r="BT155" s="191"/>
      <c r="BU155" s="192"/>
    </row>
    <row r="156" spans="1:73" ht="14.4">
      <c r="A156" s="1241"/>
      <c r="B156" s="565"/>
      <c r="C156" s="690"/>
      <c r="D156" s="691"/>
      <c r="E156" s="692"/>
      <c r="F156" s="690"/>
      <c r="G156" s="691"/>
      <c r="H156" s="692"/>
      <c r="I156" s="797"/>
      <c r="J156" s="693"/>
      <c r="K156" s="694"/>
      <c r="L156" s="691"/>
      <c r="M156" s="692"/>
      <c r="N156" s="212"/>
      <c r="O156" s="213"/>
      <c r="P156" s="332"/>
      <c r="Q156" s="333"/>
      <c r="R156" s="213"/>
      <c r="S156" s="332"/>
      <c r="T156" s="333"/>
      <c r="U156" s="333"/>
      <c r="V156" s="331"/>
      <c r="W156" s="260"/>
      <c r="X156" s="332"/>
      <c r="Y156" s="333"/>
      <c r="Z156" s="212"/>
      <c r="AA156" s="213"/>
      <c r="AB156" s="332"/>
      <c r="AC156" s="333"/>
      <c r="AD156" s="213"/>
      <c r="AE156" s="332"/>
      <c r="AF156" s="333"/>
      <c r="AG156" s="333"/>
      <c r="AH156" s="331"/>
      <c r="AI156" s="260"/>
      <c r="AJ156" s="332"/>
      <c r="AK156" s="333"/>
      <c r="AL156" s="212"/>
      <c r="AM156" s="213"/>
      <c r="AN156" s="332"/>
      <c r="AO156" s="333"/>
      <c r="AP156" s="213"/>
      <c r="AQ156" s="332"/>
      <c r="AR156" s="333"/>
      <c r="AS156" s="333"/>
      <c r="AT156" s="331"/>
      <c r="AU156" s="260"/>
      <c r="AV156" s="332"/>
      <c r="AW156" s="333"/>
      <c r="AX156" s="307"/>
      <c r="AY156" s="204"/>
      <c r="AZ156" s="695"/>
      <c r="BA156" s="696"/>
      <c r="BB156" s="204"/>
      <c r="BC156" s="695"/>
      <c r="BD156" s="696"/>
      <c r="BE156" s="696"/>
      <c r="BF156" s="356"/>
      <c r="BG156" s="205"/>
      <c r="BH156" s="695"/>
      <c r="BI156" s="696"/>
      <c r="BJ156" s="212"/>
      <c r="BK156" s="213"/>
      <c r="BL156" s="332"/>
      <c r="BM156" s="333"/>
      <c r="BN156" s="213"/>
      <c r="BO156" s="332"/>
      <c r="BP156" s="333"/>
      <c r="BQ156" s="333"/>
      <c r="BR156" s="331"/>
      <c r="BS156" s="260"/>
      <c r="BT156" s="332"/>
      <c r="BU156" s="333"/>
    </row>
    <row r="157" spans="1:73" ht="14.4">
      <c r="A157" s="1241"/>
      <c r="B157" s="565"/>
      <c r="C157" s="690"/>
      <c r="D157" s="691"/>
      <c r="E157" s="692"/>
      <c r="F157" s="690"/>
      <c r="G157" s="691"/>
      <c r="H157" s="692"/>
      <c r="I157" s="797"/>
      <c r="J157" s="693"/>
      <c r="K157" s="694"/>
      <c r="L157" s="691"/>
      <c r="M157" s="692"/>
      <c r="N157" s="212"/>
      <c r="O157" s="213"/>
      <c r="P157" s="332"/>
      <c r="Q157" s="333"/>
      <c r="R157" s="213"/>
      <c r="S157" s="332"/>
      <c r="T157" s="333"/>
      <c r="U157" s="333"/>
      <c r="V157" s="331"/>
      <c r="W157" s="260"/>
      <c r="X157" s="332"/>
      <c r="Y157" s="333"/>
      <c r="Z157" s="212"/>
      <c r="AA157" s="213"/>
      <c r="AB157" s="332"/>
      <c r="AC157" s="333"/>
      <c r="AD157" s="213"/>
      <c r="AE157" s="332"/>
      <c r="AF157" s="333"/>
      <c r="AG157" s="333"/>
      <c r="AH157" s="331"/>
      <c r="AI157" s="260"/>
      <c r="AJ157" s="332"/>
      <c r="AK157" s="333"/>
      <c r="AL157" s="212"/>
      <c r="AM157" s="213"/>
      <c r="AN157" s="332"/>
      <c r="AO157" s="333"/>
      <c r="AP157" s="213"/>
      <c r="AQ157" s="332"/>
      <c r="AR157" s="333"/>
      <c r="AS157" s="333"/>
      <c r="AT157" s="331"/>
      <c r="AU157" s="260"/>
      <c r="AV157" s="332"/>
      <c r="AW157" s="333"/>
      <c r="AX157" s="307"/>
      <c r="AY157" s="204"/>
      <c r="AZ157" s="695"/>
      <c r="BA157" s="696"/>
      <c r="BB157" s="204"/>
      <c r="BC157" s="695"/>
      <c r="BD157" s="696"/>
      <c r="BE157" s="696"/>
      <c r="BF157" s="356"/>
      <c r="BG157" s="205"/>
      <c r="BH157" s="695"/>
      <c r="BI157" s="696"/>
      <c r="BJ157" s="212"/>
      <c r="BK157" s="213"/>
      <c r="BL157" s="332"/>
      <c r="BM157" s="333"/>
      <c r="BN157" s="213"/>
      <c r="BO157" s="332"/>
      <c r="BP157" s="333"/>
      <c r="BQ157" s="333"/>
      <c r="BR157" s="331"/>
      <c r="BS157" s="260"/>
      <c r="BT157" s="332"/>
      <c r="BU157" s="333"/>
    </row>
    <row r="158" spans="1:73" ht="14.4">
      <c r="A158" s="1241"/>
      <c r="B158" s="565"/>
      <c r="C158" s="690"/>
      <c r="D158" s="691"/>
      <c r="E158" s="692"/>
      <c r="F158" s="690"/>
      <c r="G158" s="691"/>
      <c r="H158" s="692"/>
      <c r="I158" s="797"/>
      <c r="J158" s="693"/>
      <c r="K158" s="694"/>
      <c r="L158" s="691"/>
      <c r="M158" s="692"/>
      <c r="N158" s="212"/>
      <c r="O158" s="213"/>
      <c r="P158" s="332"/>
      <c r="Q158" s="333"/>
      <c r="R158" s="213"/>
      <c r="S158" s="332"/>
      <c r="T158" s="333"/>
      <c r="U158" s="333"/>
      <c r="V158" s="331"/>
      <c r="W158" s="260"/>
      <c r="X158" s="332"/>
      <c r="Y158" s="333"/>
      <c r="Z158" s="212"/>
      <c r="AA158" s="213"/>
      <c r="AB158" s="332"/>
      <c r="AC158" s="333"/>
      <c r="AD158" s="213"/>
      <c r="AE158" s="332"/>
      <c r="AF158" s="333"/>
      <c r="AG158" s="333"/>
      <c r="AH158" s="331"/>
      <c r="AI158" s="260"/>
      <c r="AJ158" s="332"/>
      <c r="AK158" s="333"/>
      <c r="AL158" s="212"/>
      <c r="AM158" s="213"/>
      <c r="AN158" s="332"/>
      <c r="AO158" s="333"/>
      <c r="AP158" s="213"/>
      <c r="AQ158" s="332"/>
      <c r="AR158" s="333"/>
      <c r="AS158" s="333"/>
      <c r="AT158" s="331"/>
      <c r="AU158" s="260"/>
      <c r="AV158" s="332"/>
      <c r="AW158" s="333"/>
      <c r="AX158" s="307"/>
      <c r="AY158" s="204"/>
      <c r="AZ158" s="695"/>
      <c r="BA158" s="696"/>
      <c r="BB158" s="204"/>
      <c r="BC158" s="695"/>
      <c r="BD158" s="696"/>
      <c r="BE158" s="696"/>
      <c r="BF158" s="356"/>
      <c r="BG158" s="205"/>
      <c r="BH158" s="695"/>
      <c r="BI158" s="696"/>
      <c r="BJ158" s="212"/>
      <c r="BK158" s="213"/>
      <c r="BL158" s="332"/>
      <c r="BM158" s="333"/>
      <c r="BN158" s="213"/>
      <c r="BO158" s="332"/>
      <c r="BP158" s="333"/>
      <c r="BQ158" s="333"/>
      <c r="BR158" s="331"/>
      <c r="BS158" s="260"/>
      <c r="BT158" s="332"/>
      <c r="BU158" s="333"/>
    </row>
    <row r="159" spans="1:73" ht="14.4">
      <c r="A159" s="1242"/>
      <c r="B159" s="565"/>
      <c r="C159" s="491"/>
      <c r="D159" s="566"/>
      <c r="E159" s="567"/>
      <c r="F159" s="491"/>
      <c r="G159" s="566"/>
      <c r="H159" s="567"/>
      <c r="I159" s="731"/>
      <c r="J159" s="568"/>
      <c r="K159" s="492"/>
      <c r="L159" s="566"/>
      <c r="M159" s="567"/>
      <c r="N159" s="212"/>
      <c r="O159" s="213"/>
      <c r="P159" s="214"/>
      <c r="Q159" s="215"/>
      <c r="R159" s="222"/>
      <c r="S159" s="214"/>
      <c r="T159" s="215"/>
      <c r="U159" s="217"/>
      <c r="V159" s="218"/>
      <c r="W159" s="219"/>
      <c r="X159" s="220"/>
      <c r="Y159" s="217"/>
      <c r="Z159" s="212" t="s">
        <v>46</v>
      </c>
      <c r="AA159" s="213">
        <v>1</v>
      </c>
      <c r="AB159" s="214"/>
      <c r="AC159" s="215"/>
      <c r="AD159" s="222">
        <v>1</v>
      </c>
      <c r="AE159" s="214"/>
      <c r="AF159" s="215"/>
      <c r="AG159" s="217" t="s">
        <v>238</v>
      </c>
      <c r="AH159" s="218" t="s">
        <v>63</v>
      </c>
      <c r="AI159" s="219" t="s">
        <v>460</v>
      </c>
      <c r="AJ159" s="220" t="s">
        <v>274</v>
      </c>
      <c r="AK159" s="217" t="s">
        <v>461</v>
      </c>
      <c r="AL159" s="212" t="s">
        <v>46</v>
      </c>
      <c r="AM159" s="213"/>
      <c r="AN159" s="214">
        <v>1</v>
      </c>
      <c r="AO159" s="215"/>
      <c r="AP159" s="222"/>
      <c r="AQ159" s="214"/>
      <c r="AR159" s="215">
        <v>1</v>
      </c>
      <c r="AS159" s="217" t="s">
        <v>251</v>
      </c>
      <c r="AT159" s="218" t="s">
        <v>31</v>
      </c>
      <c r="AU159" s="219" t="s">
        <v>462</v>
      </c>
      <c r="AV159" s="220" t="s">
        <v>463</v>
      </c>
      <c r="AW159" s="217" t="s">
        <v>464</v>
      </c>
      <c r="AX159" s="307"/>
      <c r="AY159" s="204"/>
      <c r="AZ159" s="308"/>
      <c r="BA159" s="309"/>
      <c r="BB159" s="310"/>
      <c r="BC159" s="308"/>
      <c r="BD159" s="309"/>
      <c r="BE159" s="311"/>
      <c r="BF159" s="312"/>
      <c r="BG159" s="313"/>
      <c r="BH159" s="314"/>
      <c r="BI159" s="311"/>
      <c r="BJ159" s="212"/>
      <c r="BK159" s="213"/>
      <c r="BL159" s="214"/>
      <c r="BM159" s="215"/>
      <c r="BN159" s="222"/>
      <c r="BO159" s="214"/>
      <c r="BP159" s="215"/>
      <c r="BQ159" s="217"/>
      <c r="BR159" s="218"/>
      <c r="BS159" s="219"/>
      <c r="BT159" s="220"/>
      <c r="BU159" s="217"/>
    </row>
    <row r="160" spans="1:73" ht="14.4">
      <c r="A160" s="1242"/>
      <c r="B160" s="565"/>
      <c r="C160" s="491"/>
      <c r="D160" s="566"/>
      <c r="E160" s="567"/>
      <c r="F160" s="491"/>
      <c r="G160" s="566"/>
      <c r="H160" s="567"/>
      <c r="I160" s="731"/>
      <c r="J160" s="568"/>
      <c r="K160" s="492"/>
      <c r="L160" s="566"/>
      <c r="M160" s="567"/>
      <c r="N160" s="212"/>
      <c r="O160" s="221"/>
      <c r="P160" s="214"/>
      <c r="Q160" s="215"/>
      <c r="R160" s="222"/>
      <c r="S160" s="214"/>
      <c r="T160" s="215"/>
      <c r="U160" s="217"/>
      <c r="V160" s="218"/>
      <c r="W160" s="219"/>
      <c r="X160" s="220"/>
      <c r="Y160" s="217"/>
      <c r="Z160" s="212" t="s">
        <v>465</v>
      </c>
      <c r="AA160" s="221">
        <v>1</v>
      </c>
      <c r="AB160" s="214"/>
      <c r="AC160" s="215"/>
      <c r="AD160" s="222">
        <v>1</v>
      </c>
      <c r="AE160" s="214"/>
      <c r="AF160" s="215"/>
      <c r="AG160" s="217" t="s">
        <v>238</v>
      </c>
      <c r="AH160" s="218" t="s">
        <v>68</v>
      </c>
      <c r="AI160" s="219" t="s">
        <v>466</v>
      </c>
      <c r="AJ160" s="220" t="s">
        <v>311</v>
      </c>
      <c r="AK160" s="217" t="s">
        <v>312</v>
      </c>
      <c r="AL160" s="212"/>
      <c r="AM160" s="221"/>
      <c r="AN160" s="214"/>
      <c r="AO160" s="215"/>
      <c r="AP160" s="222"/>
      <c r="AQ160" s="214"/>
      <c r="AR160" s="215"/>
      <c r="AS160" s="217"/>
      <c r="AT160" s="218"/>
      <c r="AU160" s="219"/>
      <c r="AV160" s="220"/>
      <c r="AW160" s="217"/>
      <c r="AX160" s="307"/>
      <c r="AY160" s="315"/>
      <c r="AZ160" s="308"/>
      <c r="BA160" s="309"/>
      <c r="BB160" s="310"/>
      <c r="BC160" s="308"/>
      <c r="BD160" s="309"/>
      <c r="BE160" s="311"/>
      <c r="BF160" s="312"/>
      <c r="BG160" s="313"/>
      <c r="BH160" s="314"/>
      <c r="BI160" s="311"/>
      <c r="BJ160" s="212"/>
      <c r="BK160" s="221"/>
      <c r="BL160" s="214"/>
      <c r="BM160" s="215"/>
      <c r="BN160" s="222"/>
      <c r="BO160" s="214"/>
      <c r="BP160" s="215"/>
      <c r="BQ160" s="217"/>
      <c r="BR160" s="218"/>
      <c r="BS160" s="219"/>
      <c r="BT160" s="220"/>
      <c r="BU160" s="217"/>
    </row>
    <row r="161" spans="1:73" ht="14.4">
      <c r="A161" s="1243"/>
      <c r="B161" s="569"/>
      <c r="C161" s="500"/>
      <c r="D161" s="570"/>
      <c r="E161" s="571"/>
      <c r="F161" s="500"/>
      <c r="G161" s="570"/>
      <c r="H161" s="571"/>
      <c r="I161" s="791"/>
      <c r="J161" s="572"/>
      <c r="K161" s="501"/>
      <c r="L161" s="570"/>
      <c r="M161" s="571"/>
      <c r="N161" s="241"/>
      <c r="O161" s="242"/>
      <c r="P161" s="243"/>
      <c r="Q161" s="244"/>
      <c r="R161" s="245"/>
      <c r="S161" s="243"/>
      <c r="T161" s="246"/>
      <c r="U161" s="246"/>
      <c r="V161" s="247"/>
      <c r="W161" s="248"/>
      <c r="X161" s="243"/>
      <c r="Y161" s="246"/>
      <c r="Z161" s="241"/>
      <c r="AA161" s="242"/>
      <c r="AB161" s="243"/>
      <c r="AC161" s="244"/>
      <c r="AD161" s="245"/>
      <c r="AE161" s="243"/>
      <c r="AF161" s="246"/>
      <c r="AG161" s="246"/>
      <c r="AH161" s="247"/>
      <c r="AI161" s="248"/>
      <c r="AJ161" s="243"/>
      <c r="AK161" s="246"/>
      <c r="AL161" s="241"/>
      <c r="AM161" s="242"/>
      <c r="AN161" s="243"/>
      <c r="AO161" s="244"/>
      <c r="AP161" s="245"/>
      <c r="AQ161" s="243"/>
      <c r="AR161" s="246"/>
      <c r="AS161" s="246"/>
      <c r="AT161" s="247"/>
      <c r="AU161" s="248"/>
      <c r="AV161" s="243"/>
      <c r="AW161" s="246"/>
      <c r="AX161" s="316"/>
      <c r="AY161" s="317"/>
      <c r="AZ161" s="318"/>
      <c r="BA161" s="319"/>
      <c r="BB161" s="320"/>
      <c r="BC161" s="318"/>
      <c r="BD161" s="321"/>
      <c r="BE161" s="321"/>
      <c r="BF161" s="322"/>
      <c r="BG161" s="323"/>
      <c r="BH161" s="318"/>
      <c r="BI161" s="321"/>
      <c r="BJ161" s="241"/>
      <c r="BK161" s="242"/>
      <c r="BL161" s="243"/>
      <c r="BM161" s="244"/>
      <c r="BN161" s="245"/>
      <c r="BO161" s="243"/>
      <c r="BP161" s="246"/>
      <c r="BQ161" s="246"/>
      <c r="BR161" s="247"/>
      <c r="BS161" s="248"/>
      <c r="BT161" s="243"/>
      <c r="BU161" s="246"/>
    </row>
    <row r="162" spans="1:73" ht="14.4">
      <c r="A162" s="1240">
        <v>26</v>
      </c>
      <c r="B162" s="573"/>
      <c r="C162" s="616"/>
      <c r="D162" s="617"/>
      <c r="E162" s="618"/>
      <c r="F162" s="616"/>
      <c r="G162" s="617"/>
      <c r="H162" s="618"/>
      <c r="I162" s="798"/>
      <c r="J162" s="619"/>
      <c r="K162" s="620"/>
      <c r="L162" s="617"/>
      <c r="M162" s="618"/>
      <c r="N162" s="193" t="s">
        <v>67</v>
      </c>
      <c r="O162" s="190">
        <v>1</v>
      </c>
      <c r="P162" s="191"/>
      <c r="Q162" s="192"/>
      <c r="R162" s="190">
        <v>1</v>
      </c>
      <c r="S162" s="191"/>
      <c r="T162" s="192"/>
      <c r="U162" s="192" t="s">
        <v>238</v>
      </c>
      <c r="V162" s="193" t="s">
        <v>66</v>
      </c>
      <c r="W162" s="194" t="s">
        <v>467</v>
      </c>
      <c r="X162" s="191" t="s">
        <v>468</v>
      </c>
      <c r="Y162" s="192" t="s">
        <v>250</v>
      </c>
      <c r="Z162" s="193" t="s">
        <v>54</v>
      </c>
      <c r="AA162" s="190">
        <v>1</v>
      </c>
      <c r="AB162" s="191"/>
      <c r="AC162" s="192"/>
      <c r="AD162" s="190"/>
      <c r="AE162" s="191"/>
      <c r="AF162" s="192">
        <v>1</v>
      </c>
      <c r="AG162" s="192" t="s">
        <v>244</v>
      </c>
      <c r="AH162" s="193" t="s">
        <v>31</v>
      </c>
      <c r="AI162" s="194" t="s">
        <v>469</v>
      </c>
      <c r="AJ162" s="191" t="s">
        <v>470</v>
      </c>
      <c r="AK162" s="192" t="s">
        <v>471</v>
      </c>
      <c r="AL162" s="305"/>
      <c r="AM162" s="302"/>
      <c r="AN162" s="303"/>
      <c r="AO162" s="304"/>
      <c r="AP162" s="302"/>
      <c r="AQ162" s="303"/>
      <c r="AR162" s="304"/>
      <c r="AS162" s="304"/>
      <c r="AT162" s="305"/>
      <c r="AU162" s="306"/>
      <c r="AV162" s="303"/>
      <c r="AW162" s="304"/>
      <c r="AX162" s="193" t="s">
        <v>472</v>
      </c>
      <c r="AY162" s="190">
        <v>1</v>
      </c>
      <c r="AZ162" s="191"/>
      <c r="BA162" s="192"/>
      <c r="BB162" s="190"/>
      <c r="BC162" s="191">
        <v>1</v>
      </c>
      <c r="BD162" s="192"/>
      <c r="BE162" s="192" t="s">
        <v>51</v>
      </c>
      <c r="BF162" s="193" t="s">
        <v>31</v>
      </c>
      <c r="BG162" s="355" t="s">
        <v>473</v>
      </c>
      <c r="BH162" s="191" t="s">
        <v>390</v>
      </c>
      <c r="BI162" s="192" t="s">
        <v>474</v>
      </c>
      <c r="BJ162" s="193"/>
      <c r="BK162" s="190"/>
      <c r="BL162" s="191"/>
      <c r="BM162" s="192"/>
      <c r="BN162" s="190"/>
      <c r="BO162" s="191"/>
      <c r="BP162" s="192"/>
      <c r="BQ162" s="192"/>
      <c r="BR162" s="193"/>
      <c r="BS162" s="355"/>
      <c r="BT162" s="191"/>
      <c r="BU162" s="192"/>
    </row>
    <row r="163" spans="1:73" ht="14.4">
      <c r="A163" s="1242"/>
      <c r="B163" s="621"/>
      <c r="C163" s="582"/>
      <c r="D163" s="622"/>
      <c r="E163" s="623"/>
      <c r="F163" s="582"/>
      <c r="G163" s="622"/>
      <c r="H163" s="623"/>
      <c r="I163" s="793"/>
      <c r="J163" s="624"/>
      <c r="K163" s="583"/>
      <c r="L163" s="622"/>
      <c r="M163" s="623"/>
      <c r="N163" s="212" t="s">
        <v>46</v>
      </c>
      <c r="O163" s="213">
        <v>1</v>
      </c>
      <c r="P163" s="214"/>
      <c r="Q163" s="215"/>
      <c r="R163" s="222">
        <v>1</v>
      </c>
      <c r="S163" s="214"/>
      <c r="T163" s="215"/>
      <c r="U163" s="217" t="s">
        <v>238</v>
      </c>
      <c r="V163" s="218" t="s">
        <v>64</v>
      </c>
      <c r="W163" s="219" t="s">
        <v>475</v>
      </c>
      <c r="X163" s="220" t="s">
        <v>259</v>
      </c>
      <c r="Y163" s="217" t="s">
        <v>260</v>
      </c>
      <c r="Z163" s="331" t="s">
        <v>47</v>
      </c>
      <c r="AA163" s="213">
        <v>1</v>
      </c>
      <c r="AB163" s="214"/>
      <c r="AC163" s="215"/>
      <c r="AD163" s="222"/>
      <c r="AE163" s="214"/>
      <c r="AF163" s="215">
        <v>1</v>
      </c>
      <c r="AG163" s="217" t="s">
        <v>244</v>
      </c>
      <c r="AH163" s="218" t="s">
        <v>31</v>
      </c>
      <c r="AI163" s="219" t="s">
        <v>476</v>
      </c>
      <c r="AJ163" s="220" t="s">
        <v>477</v>
      </c>
      <c r="AK163" s="217" t="s">
        <v>439</v>
      </c>
      <c r="AL163" s="356"/>
      <c r="AM163" s="204"/>
      <c r="AN163" s="308"/>
      <c r="AO163" s="309"/>
      <c r="AP163" s="310"/>
      <c r="AQ163" s="308"/>
      <c r="AR163" s="309"/>
      <c r="AS163" s="311"/>
      <c r="AT163" s="312"/>
      <c r="AU163" s="313"/>
      <c r="AV163" s="314"/>
      <c r="AW163" s="311"/>
      <c r="AX163" s="331" t="s">
        <v>46</v>
      </c>
      <c r="AY163" s="213">
        <v>1</v>
      </c>
      <c r="AZ163" s="214"/>
      <c r="BA163" s="215"/>
      <c r="BB163" s="222"/>
      <c r="BC163" s="214">
        <v>1</v>
      </c>
      <c r="BD163" s="215"/>
      <c r="BE163" s="217" t="s">
        <v>244</v>
      </c>
      <c r="BF163" s="218" t="s">
        <v>31</v>
      </c>
      <c r="BG163" s="357" t="s">
        <v>478</v>
      </c>
      <c r="BH163" s="220" t="s">
        <v>294</v>
      </c>
      <c r="BI163" s="217" t="s">
        <v>241</v>
      </c>
      <c r="BJ163" s="331"/>
      <c r="BK163" s="213"/>
      <c r="BL163" s="214"/>
      <c r="BM163" s="215"/>
      <c r="BN163" s="222"/>
      <c r="BO163" s="214"/>
      <c r="BP163" s="215"/>
      <c r="BQ163" s="217"/>
      <c r="BR163" s="218"/>
      <c r="BS163" s="357"/>
      <c r="BT163" s="220"/>
      <c r="BU163" s="217"/>
    </row>
    <row r="164" spans="1:73" ht="14.4">
      <c r="A164" s="1242"/>
      <c r="B164" s="721"/>
      <c r="C164" s="582"/>
      <c r="D164" s="622"/>
      <c r="E164" s="623"/>
      <c r="F164" s="582"/>
      <c r="G164" s="622"/>
      <c r="H164" s="623"/>
      <c r="I164" s="800"/>
      <c r="J164" s="624"/>
      <c r="K164" s="583"/>
      <c r="L164" s="622"/>
      <c r="M164" s="623"/>
      <c r="N164" s="722"/>
      <c r="O164" s="213"/>
      <c r="P164" s="214"/>
      <c r="Q164" s="215"/>
      <c r="R164" s="222"/>
      <c r="S164" s="214"/>
      <c r="T164" s="215"/>
      <c r="U164" s="723"/>
      <c r="V164" s="218"/>
      <c r="W164" s="219"/>
      <c r="X164" s="220"/>
      <c r="Y164" s="723"/>
      <c r="Z164" s="331"/>
      <c r="AA164" s="332"/>
      <c r="AB164" s="214"/>
      <c r="AC164" s="724"/>
      <c r="AD164" s="222"/>
      <c r="AE164" s="214"/>
      <c r="AF164" s="215"/>
      <c r="AG164" s="723"/>
      <c r="AH164" s="218"/>
      <c r="AI164" s="219"/>
      <c r="AJ164" s="220"/>
      <c r="AK164" s="723"/>
      <c r="AL164" s="356"/>
      <c r="AM164" s="695"/>
      <c r="AN164" s="308"/>
      <c r="AO164" s="725"/>
      <c r="AP164" s="310"/>
      <c r="AQ164" s="308"/>
      <c r="AR164" s="309"/>
      <c r="AS164" s="726"/>
      <c r="AT164" s="726"/>
      <c r="AU164" s="313"/>
      <c r="AV164" s="314"/>
      <c r="AW164" s="726"/>
      <c r="AX164" s="331"/>
      <c r="AY164" s="332"/>
      <c r="AZ164" s="214"/>
      <c r="BA164" s="724"/>
      <c r="BB164" s="222"/>
      <c r="BC164" s="214"/>
      <c r="BD164" s="215"/>
      <c r="BE164" s="723"/>
      <c r="BF164" s="218"/>
      <c r="BG164" s="357"/>
      <c r="BH164" s="220"/>
      <c r="BI164" s="217"/>
      <c r="BJ164" s="331"/>
      <c r="BK164" s="332"/>
      <c r="BL164" s="214"/>
      <c r="BM164" s="724"/>
      <c r="BN164" s="222"/>
      <c r="BO164" s="214"/>
      <c r="BP164" s="215"/>
      <c r="BQ164" s="723"/>
      <c r="BR164" s="218"/>
      <c r="BS164" s="357"/>
      <c r="BT164" s="220"/>
      <c r="BU164" s="217"/>
    </row>
    <row r="165" spans="1:73" ht="14.4">
      <c r="A165" s="1242"/>
      <c r="B165" s="721"/>
      <c r="C165" s="582"/>
      <c r="D165" s="622"/>
      <c r="E165" s="623"/>
      <c r="F165" s="582"/>
      <c r="G165" s="622"/>
      <c r="H165" s="623"/>
      <c r="I165" s="800"/>
      <c r="J165" s="624"/>
      <c r="K165" s="583"/>
      <c r="L165" s="622"/>
      <c r="M165" s="623"/>
      <c r="N165" s="722"/>
      <c r="O165" s="213"/>
      <c r="P165" s="214"/>
      <c r="Q165" s="215"/>
      <c r="R165" s="222"/>
      <c r="S165" s="214"/>
      <c r="T165" s="215"/>
      <c r="U165" s="723"/>
      <c r="V165" s="218"/>
      <c r="W165" s="219"/>
      <c r="X165" s="220"/>
      <c r="Y165" s="723"/>
      <c r="Z165" s="331"/>
      <c r="AA165" s="332"/>
      <c r="AB165" s="214"/>
      <c r="AC165" s="724"/>
      <c r="AD165" s="222"/>
      <c r="AE165" s="214"/>
      <c r="AF165" s="215"/>
      <c r="AG165" s="723"/>
      <c r="AH165" s="218"/>
      <c r="AI165" s="219"/>
      <c r="AJ165" s="220"/>
      <c r="AK165" s="723"/>
      <c r="AL165" s="356"/>
      <c r="AM165" s="695"/>
      <c r="AN165" s="308"/>
      <c r="AO165" s="725"/>
      <c r="AP165" s="310"/>
      <c r="AQ165" s="308"/>
      <c r="AR165" s="309"/>
      <c r="AS165" s="726"/>
      <c r="AT165" s="726"/>
      <c r="AU165" s="313"/>
      <c r="AV165" s="314"/>
      <c r="AW165" s="726"/>
      <c r="AX165" s="331"/>
      <c r="AY165" s="332"/>
      <c r="AZ165" s="214"/>
      <c r="BA165" s="724"/>
      <c r="BB165" s="222"/>
      <c r="BC165" s="214"/>
      <c r="BD165" s="215"/>
      <c r="BE165" s="723"/>
      <c r="BF165" s="218"/>
      <c r="BG165" s="357"/>
      <c r="BH165" s="220"/>
      <c r="BI165" s="217"/>
      <c r="BJ165" s="331"/>
      <c r="BK165" s="332"/>
      <c r="BL165" s="214"/>
      <c r="BM165" s="724"/>
      <c r="BN165" s="222"/>
      <c r="BO165" s="214"/>
      <c r="BP165" s="215"/>
      <c r="BQ165" s="723"/>
      <c r="BR165" s="218"/>
      <c r="BS165" s="357"/>
      <c r="BT165" s="220"/>
      <c r="BU165" s="217"/>
    </row>
    <row r="166" spans="1:73" ht="14.4">
      <c r="A166" s="1242"/>
      <c r="B166" s="721"/>
      <c r="C166" s="582"/>
      <c r="D166" s="622"/>
      <c r="E166" s="623"/>
      <c r="F166" s="582"/>
      <c r="G166" s="622"/>
      <c r="H166" s="623"/>
      <c r="I166" s="800"/>
      <c r="J166" s="624"/>
      <c r="K166" s="583"/>
      <c r="L166" s="622"/>
      <c r="M166" s="623"/>
      <c r="N166" s="722"/>
      <c r="O166" s="213"/>
      <c r="P166" s="214"/>
      <c r="Q166" s="215"/>
      <c r="R166" s="222"/>
      <c r="S166" s="214"/>
      <c r="T166" s="215"/>
      <c r="U166" s="723"/>
      <c r="V166" s="218"/>
      <c r="W166" s="219"/>
      <c r="X166" s="220"/>
      <c r="Y166" s="723"/>
      <c r="Z166" s="331"/>
      <c r="AA166" s="332"/>
      <c r="AB166" s="214"/>
      <c r="AC166" s="724"/>
      <c r="AD166" s="222"/>
      <c r="AE166" s="214"/>
      <c r="AF166" s="215"/>
      <c r="AG166" s="723"/>
      <c r="AH166" s="218"/>
      <c r="AI166" s="219"/>
      <c r="AJ166" s="220"/>
      <c r="AK166" s="723"/>
      <c r="AL166" s="356"/>
      <c r="AM166" s="695"/>
      <c r="AN166" s="308"/>
      <c r="AO166" s="725"/>
      <c r="AP166" s="310"/>
      <c r="AQ166" s="308"/>
      <c r="AR166" s="309"/>
      <c r="AS166" s="726"/>
      <c r="AT166" s="726"/>
      <c r="AU166" s="313"/>
      <c r="AV166" s="314"/>
      <c r="AW166" s="726"/>
      <c r="AX166" s="331"/>
      <c r="AY166" s="332"/>
      <c r="AZ166" s="214"/>
      <c r="BA166" s="724"/>
      <c r="BB166" s="222"/>
      <c r="BC166" s="214"/>
      <c r="BD166" s="215"/>
      <c r="BE166" s="723"/>
      <c r="BF166" s="218"/>
      <c r="BG166" s="357"/>
      <c r="BH166" s="220"/>
      <c r="BI166" s="217"/>
      <c r="BJ166" s="331"/>
      <c r="BK166" s="332"/>
      <c r="BL166" s="214"/>
      <c r="BM166" s="724"/>
      <c r="BN166" s="222"/>
      <c r="BO166" s="214"/>
      <c r="BP166" s="215"/>
      <c r="BQ166" s="723"/>
      <c r="BR166" s="218"/>
      <c r="BS166" s="357"/>
      <c r="BT166" s="220"/>
      <c r="BU166" s="217"/>
    </row>
    <row r="167" spans="1:73" ht="14.4">
      <c r="A167" s="1242"/>
      <c r="B167" s="643"/>
      <c r="C167" s="644"/>
      <c r="D167" s="645"/>
      <c r="E167" s="646"/>
      <c r="F167" s="644"/>
      <c r="G167" s="645"/>
      <c r="H167" s="646"/>
      <c r="I167" s="801"/>
      <c r="J167" s="647"/>
      <c r="K167" s="648"/>
      <c r="L167" s="645"/>
      <c r="M167" s="646"/>
      <c r="N167" s="358"/>
      <c r="O167" s="221"/>
      <c r="P167" s="359"/>
      <c r="Q167" s="360"/>
      <c r="R167" s="361"/>
      <c r="S167" s="359"/>
      <c r="T167" s="360"/>
      <c r="U167" s="362"/>
      <c r="V167" s="363"/>
      <c r="W167" s="364"/>
      <c r="X167" s="365"/>
      <c r="Y167" s="366"/>
      <c r="Z167" s="367"/>
      <c r="AA167" s="368"/>
      <c r="AB167" s="359"/>
      <c r="AC167" s="369"/>
      <c r="AD167" s="361"/>
      <c r="AE167" s="359"/>
      <c r="AF167" s="360"/>
      <c r="AG167" s="362"/>
      <c r="AH167" s="363"/>
      <c r="AI167" s="364"/>
      <c r="AJ167" s="365"/>
      <c r="AK167" s="366"/>
      <c r="AL167" s="370"/>
      <c r="AM167" s="371"/>
      <c r="AN167" s="372"/>
      <c r="AO167" s="373"/>
      <c r="AP167" s="374"/>
      <c r="AQ167" s="372"/>
      <c r="AR167" s="375"/>
      <c r="AS167" s="376"/>
      <c r="AT167" s="377"/>
      <c r="AU167" s="378"/>
      <c r="AV167" s="377"/>
      <c r="AW167" s="379"/>
      <c r="AX167" s="367" t="s">
        <v>46</v>
      </c>
      <c r="AY167" s="368">
        <v>1</v>
      </c>
      <c r="AZ167" s="359"/>
      <c r="BA167" s="369"/>
      <c r="BB167" s="361"/>
      <c r="BC167" s="359">
        <v>1</v>
      </c>
      <c r="BD167" s="360"/>
      <c r="BE167" s="362" t="s">
        <v>244</v>
      </c>
      <c r="BF167" s="363" t="s">
        <v>31</v>
      </c>
      <c r="BG167" s="380" t="s">
        <v>479</v>
      </c>
      <c r="BH167" s="365" t="s">
        <v>480</v>
      </c>
      <c r="BI167" s="381" t="s">
        <v>481</v>
      </c>
      <c r="BJ167" s="367"/>
      <c r="BK167" s="368"/>
      <c r="BL167" s="359"/>
      <c r="BM167" s="369"/>
      <c r="BN167" s="361"/>
      <c r="BO167" s="359"/>
      <c r="BP167" s="360"/>
      <c r="BQ167" s="362"/>
      <c r="BR167" s="363"/>
      <c r="BS167" s="380"/>
      <c r="BT167" s="365"/>
      <c r="BU167" s="381"/>
    </row>
    <row r="168" spans="1:73" ht="14.4">
      <c r="A168" s="1242"/>
      <c r="B168" s="643"/>
      <c r="C168" s="644"/>
      <c r="D168" s="645"/>
      <c r="E168" s="646"/>
      <c r="F168" s="644"/>
      <c r="G168" s="645"/>
      <c r="H168" s="646"/>
      <c r="I168" s="801"/>
      <c r="J168" s="647"/>
      <c r="K168" s="648"/>
      <c r="L168" s="645"/>
      <c r="M168" s="646"/>
      <c r="N168" s="358"/>
      <c r="O168" s="382"/>
      <c r="P168" s="365"/>
      <c r="Q168" s="360"/>
      <c r="R168" s="361"/>
      <c r="S168" s="365"/>
      <c r="T168" s="381"/>
      <c r="U168" s="362"/>
      <c r="V168" s="363"/>
      <c r="W168" s="364"/>
      <c r="X168" s="365"/>
      <c r="Y168" s="366"/>
      <c r="Z168" s="367"/>
      <c r="AA168" s="383"/>
      <c r="AB168" s="365"/>
      <c r="AC168" s="369"/>
      <c r="AD168" s="361"/>
      <c r="AE168" s="365"/>
      <c r="AF168" s="381"/>
      <c r="AG168" s="362"/>
      <c r="AH168" s="363"/>
      <c r="AI168" s="364"/>
      <c r="AJ168" s="365"/>
      <c r="AK168" s="366"/>
      <c r="AL168" s="370"/>
      <c r="AM168" s="376"/>
      <c r="AN168" s="377"/>
      <c r="AO168" s="373"/>
      <c r="AP168" s="374"/>
      <c r="AQ168" s="377"/>
      <c r="AR168" s="384"/>
      <c r="AS168" s="376"/>
      <c r="AT168" s="377"/>
      <c r="AU168" s="378"/>
      <c r="AV168" s="377"/>
      <c r="AW168" s="379"/>
      <c r="AX168" s="367" t="s">
        <v>46</v>
      </c>
      <c r="AY168" s="368">
        <v>1</v>
      </c>
      <c r="AZ168" s="365"/>
      <c r="BA168" s="369"/>
      <c r="BB168" s="361"/>
      <c r="BC168" s="359">
        <v>1</v>
      </c>
      <c r="BD168" s="381"/>
      <c r="BE168" s="362" t="s">
        <v>244</v>
      </c>
      <c r="BF168" s="363" t="s">
        <v>31</v>
      </c>
      <c r="BG168" s="380" t="s">
        <v>482</v>
      </c>
      <c r="BH168" s="365" t="s">
        <v>483</v>
      </c>
      <c r="BI168" s="381" t="s">
        <v>484</v>
      </c>
      <c r="BJ168" s="367"/>
      <c r="BK168" s="368"/>
      <c r="BL168" s="365"/>
      <c r="BM168" s="369"/>
      <c r="BN168" s="361"/>
      <c r="BO168" s="359"/>
      <c r="BP168" s="381"/>
      <c r="BQ168" s="362"/>
      <c r="BR168" s="363"/>
      <c r="BS168" s="380"/>
      <c r="BT168" s="365"/>
      <c r="BU168" s="381"/>
    </row>
    <row r="169" spans="1:73" ht="14.4">
      <c r="A169" s="1243"/>
      <c r="B169" s="625"/>
      <c r="C169" s="590"/>
      <c r="D169" s="626"/>
      <c r="E169" s="627"/>
      <c r="F169" s="590"/>
      <c r="G169" s="626"/>
      <c r="H169" s="627"/>
      <c r="I169" s="794"/>
      <c r="J169" s="628"/>
      <c r="K169" s="591"/>
      <c r="L169" s="626"/>
      <c r="M169" s="627"/>
      <c r="N169" s="241"/>
      <c r="O169" s="242"/>
      <c r="P169" s="243"/>
      <c r="Q169" s="244"/>
      <c r="R169" s="245"/>
      <c r="S169" s="243"/>
      <c r="T169" s="246"/>
      <c r="U169" s="246"/>
      <c r="V169" s="247"/>
      <c r="W169" s="248"/>
      <c r="X169" s="243"/>
      <c r="Y169" s="246"/>
      <c r="Z169" s="385"/>
      <c r="AA169" s="242"/>
      <c r="AB169" s="243"/>
      <c r="AC169" s="244"/>
      <c r="AD169" s="245"/>
      <c r="AE169" s="243"/>
      <c r="AF169" s="246"/>
      <c r="AG169" s="246"/>
      <c r="AH169" s="247"/>
      <c r="AI169" s="248"/>
      <c r="AJ169" s="243"/>
      <c r="AK169" s="246"/>
      <c r="AL169" s="386"/>
      <c r="AM169" s="317"/>
      <c r="AN169" s="318"/>
      <c r="AO169" s="319"/>
      <c r="AP169" s="320"/>
      <c r="AQ169" s="318"/>
      <c r="AR169" s="321"/>
      <c r="AS169" s="321"/>
      <c r="AT169" s="322"/>
      <c r="AU169" s="323"/>
      <c r="AV169" s="318"/>
      <c r="AW169" s="321"/>
      <c r="AX169" s="385" t="s">
        <v>46</v>
      </c>
      <c r="AY169" s="368">
        <v>1</v>
      </c>
      <c r="AZ169" s="243"/>
      <c r="BA169" s="244"/>
      <c r="BB169" s="245"/>
      <c r="BC169" s="359">
        <v>1</v>
      </c>
      <c r="BD169" s="246"/>
      <c r="BE169" s="246" t="s">
        <v>244</v>
      </c>
      <c r="BF169" s="247" t="s">
        <v>31</v>
      </c>
      <c r="BG169" s="387" t="s">
        <v>485</v>
      </c>
      <c r="BH169" s="243" t="s">
        <v>263</v>
      </c>
      <c r="BI169" s="246" t="s">
        <v>474</v>
      </c>
      <c r="BJ169" s="385"/>
      <c r="BK169" s="368"/>
      <c r="BL169" s="243"/>
      <c r="BM169" s="244"/>
      <c r="BN169" s="245"/>
      <c r="BO169" s="359"/>
      <c r="BP169" s="246"/>
      <c r="BQ169" s="246"/>
      <c r="BR169" s="247"/>
      <c r="BS169" s="387"/>
      <c r="BT169" s="243"/>
      <c r="BU169" s="246"/>
    </row>
    <row r="170" spans="1:73" ht="14.4">
      <c r="A170" s="1240">
        <v>27</v>
      </c>
      <c r="B170" s="597"/>
      <c r="C170" s="629"/>
      <c r="D170" s="630"/>
      <c r="E170" s="631"/>
      <c r="F170" s="629"/>
      <c r="G170" s="630"/>
      <c r="H170" s="631"/>
      <c r="I170" s="778"/>
      <c r="J170" s="597"/>
      <c r="K170" s="632"/>
      <c r="L170" s="630"/>
      <c r="M170" s="631"/>
      <c r="N170" s="193" t="s">
        <v>47</v>
      </c>
      <c r="O170" s="190">
        <v>1</v>
      </c>
      <c r="P170" s="191"/>
      <c r="Q170" s="192"/>
      <c r="R170" s="190">
        <v>1</v>
      </c>
      <c r="S170" s="191"/>
      <c r="T170" s="192"/>
      <c r="U170" s="192" t="s">
        <v>238</v>
      </c>
      <c r="V170" s="193" t="s">
        <v>71</v>
      </c>
      <c r="W170" s="194" t="s">
        <v>486</v>
      </c>
      <c r="X170" s="191" t="s">
        <v>291</v>
      </c>
      <c r="Y170" s="192" t="s">
        <v>292</v>
      </c>
      <c r="Z170" s="193" t="s">
        <v>72</v>
      </c>
      <c r="AA170" s="190">
        <v>1</v>
      </c>
      <c r="AB170" s="191"/>
      <c r="AC170" s="192"/>
      <c r="AD170" s="190"/>
      <c r="AE170" s="191"/>
      <c r="AF170" s="192">
        <v>1</v>
      </c>
      <c r="AG170" s="192" t="s">
        <v>269</v>
      </c>
      <c r="AH170" s="193" t="s">
        <v>93</v>
      </c>
      <c r="AI170" s="194" t="s">
        <v>487</v>
      </c>
      <c r="AJ170" s="191" t="s">
        <v>256</v>
      </c>
      <c r="AK170" s="192" t="s">
        <v>257</v>
      </c>
      <c r="AL170" s="305"/>
      <c r="AM170" s="302"/>
      <c r="AN170" s="303"/>
      <c r="AO170" s="304"/>
      <c r="AP170" s="302"/>
      <c r="AQ170" s="303"/>
      <c r="AR170" s="304"/>
      <c r="AS170" s="304"/>
      <c r="AT170" s="305"/>
      <c r="AU170" s="306"/>
      <c r="AV170" s="303"/>
      <c r="AW170" s="304"/>
      <c r="AX170" s="193" t="s">
        <v>47</v>
      </c>
      <c r="AY170" s="190">
        <v>1</v>
      </c>
      <c r="AZ170" s="191"/>
      <c r="BA170" s="192"/>
      <c r="BB170" s="190">
        <v>1</v>
      </c>
      <c r="BC170" s="191"/>
      <c r="BD170" s="192"/>
      <c r="BE170" s="192" t="s">
        <v>357</v>
      </c>
      <c r="BF170" s="193" t="s">
        <v>71</v>
      </c>
      <c r="BG170" s="194" t="s">
        <v>488</v>
      </c>
      <c r="BH170" s="191" t="s">
        <v>343</v>
      </c>
      <c r="BI170" s="192" t="s">
        <v>292</v>
      </c>
      <c r="BJ170" s="193"/>
      <c r="BK170" s="190"/>
      <c r="BL170" s="191"/>
      <c r="BM170" s="192"/>
      <c r="BN170" s="190"/>
      <c r="BO170" s="191"/>
      <c r="BP170" s="192"/>
      <c r="BQ170" s="192"/>
      <c r="BR170" s="193"/>
      <c r="BS170" s="194"/>
      <c r="BT170" s="191"/>
      <c r="BU170" s="192"/>
    </row>
    <row r="171" spans="1:73" ht="14.4">
      <c r="A171" s="1241"/>
      <c r="B171" s="633"/>
      <c r="C171" s="634"/>
      <c r="D171" s="717"/>
      <c r="E171" s="718"/>
      <c r="F171" s="634"/>
      <c r="G171" s="717"/>
      <c r="H171" s="718"/>
      <c r="I171" s="781"/>
      <c r="J171" s="719"/>
      <c r="K171" s="720"/>
      <c r="L171" s="717"/>
      <c r="M171" s="718"/>
      <c r="N171" s="212"/>
      <c r="O171" s="213"/>
      <c r="P171" s="332"/>
      <c r="Q171" s="333"/>
      <c r="R171" s="213"/>
      <c r="S171" s="332"/>
      <c r="T171" s="333"/>
      <c r="U171" s="333"/>
      <c r="V171" s="331"/>
      <c r="W171" s="260"/>
      <c r="X171" s="332"/>
      <c r="Y171" s="333"/>
      <c r="Z171" s="212"/>
      <c r="AA171" s="213"/>
      <c r="AB171" s="332"/>
      <c r="AC171" s="333"/>
      <c r="AD171" s="213"/>
      <c r="AE171" s="332"/>
      <c r="AF171" s="333"/>
      <c r="AG171" s="333"/>
      <c r="AH171" s="331"/>
      <c r="AI171" s="260"/>
      <c r="AJ171" s="332"/>
      <c r="AK171" s="333"/>
      <c r="AL171" s="307"/>
      <c r="AM171" s="204"/>
      <c r="AN171" s="695"/>
      <c r="AO171" s="696"/>
      <c r="AP171" s="204"/>
      <c r="AQ171" s="695"/>
      <c r="AR171" s="696"/>
      <c r="AS171" s="696"/>
      <c r="AT171" s="356"/>
      <c r="AU171" s="205"/>
      <c r="AV171" s="695"/>
      <c r="AW171" s="696"/>
      <c r="AX171" s="212"/>
      <c r="AY171" s="213"/>
      <c r="AZ171" s="332"/>
      <c r="BA171" s="333"/>
      <c r="BB171" s="213"/>
      <c r="BC171" s="332"/>
      <c r="BD171" s="333"/>
      <c r="BE171" s="333"/>
      <c r="BF171" s="331"/>
      <c r="BG171" s="260"/>
      <c r="BH171" s="332"/>
      <c r="BI171" s="333"/>
      <c r="BJ171" s="212"/>
      <c r="BK171" s="213"/>
      <c r="BL171" s="332"/>
      <c r="BM171" s="333"/>
      <c r="BN171" s="213"/>
      <c r="BO171" s="332"/>
      <c r="BP171" s="333"/>
      <c r="BQ171" s="333"/>
      <c r="BR171" s="331"/>
      <c r="BS171" s="260"/>
      <c r="BT171" s="332"/>
      <c r="BU171" s="333"/>
    </row>
    <row r="172" spans="1:73" ht="14.4">
      <c r="A172" s="1241"/>
      <c r="B172" s="633"/>
      <c r="C172" s="634"/>
      <c r="D172" s="717"/>
      <c r="E172" s="718"/>
      <c r="F172" s="634"/>
      <c r="G172" s="717"/>
      <c r="H172" s="718"/>
      <c r="I172" s="781"/>
      <c r="J172" s="719"/>
      <c r="K172" s="720"/>
      <c r="L172" s="717"/>
      <c r="M172" s="718"/>
      <c r="N172" s="212"/>
      <c r="O172" s="213"/>
      <c r="P172" s="332"/>
      <c r="Q172" s="333"/>
      <c r="R172" s="213"/>
      <c r="S172" s="332"/>
      <c r="T172" s="333"/>
      <c r="U172" s="333"/>
      <c r="V172" s="331"/>
      <c r="W172" s="260"/>
      <c r="X172" s="332"/>
      <c r="Y172" s="333"/>
      <c r="Z172" s="212"/>
      <c r="AA172" s="213"/>
      <c r="AB172" s="332"/>
      <c r="AC172" s="333"/>
      <c r="AD172" s="213"/>
      <c r="AE172" s="332"/>
      <c r="AF172" s="333"/>
      <c r="AG172" s="333"/>
      <c r="AH172" s="331"/>
      <c r="AI172" s="260"/>
      <c r="AJ172" s="332"/>
      <c r="AK172" s="333"/>
      <c r="AL172" s="307"/>
      <c r="AM172" s="204"/>
      <c r="AN172" s="695"/>
      <c r="AO172" s="696"/>
      <c r="AP172" s="204"/>
      <c r="AQ172" s="695"/>
      <c r="AR172" s="696"/>
      <c r="AS172" s="696"/>
      <c r="AT172" s="356"/>
      <c r="AU172" s="205"/>
      <c r="AV172" s="695"/>
      <c r="AW172" s="696"/>
      <c r="AX172" s="212"/>
      <c r="AY172" s="213"/>
      <c r="AZ172" s="332"/>
      <c r="BA172" s="333"/>
      <c r="BB172" s="213"/>
      <c r="BC172" s="332"/>
      <c r="BD172" s="333"/>
      <c r="BE172" s="333"/>
      <c r="BF172" s="331"/>
      <c r="BG172" s="260"/>
      <c r="BH172" s="332"/>
      <c r="BI172" s="333"/>
      <c r="BJ172" s="212"/>
      <c r="BK172" s="213"/>
      <c r="BL172" s="332"/>
      <c r="BM172" s="333"/>
      <c r="BN172" s="213"/>
      <c r="BO172" s="332"/>
      <c r="BP172" s="333"/>
      <c r="BQ172" s="333"/>
      <c r="BR172" s="331"/>
      <c r="BS172" s="260"/>
      <c r="BT172" s="332"/>
      <c r="BU172" s="333"/>
    </row>
    <row r="173" spans="1:73" ht="14.4">
      <c r="A173" s="1241"/>
      <c r="B173" s="633"/>
      <c r="C173" s="634"/>
      <c r="D173" s="717"/>
      <c r="E173" s="718"/>
      <c r="F173" s="634"/>
      <c r="G173" s="717"/>
      <c r="H173" s="718"/>
      <c r="I173" s="781"/>
      <c r="J173" s="719"/>
      <c r="K173" s="720"/>
      <c r="L173" s="717"/>
      <c r="M173" s="718"/>
      <c r="N173" s="212"/>
      <c r="O173" s="213"/>
      <c r="P173" s="332"/>
      <c r="Q173" s="333"/>
      <c r="R173" s="213"/>
      <c r="S173" s="332"/>
      <c r="T173" s="333"/>
      <c r="U173" s="333"/>
      <c r="V173" s="331"/>
      <c r="W173" s="260"/>
      <c r="X173" s="332"/>
      <c r="Y173" s="333"/>
      <c r="Z173" s="212"/>
      <c r="AA173" s="213"/>
      <c r="AB173" s="332"/>
      <c r="AC173" s="333"/>
      <c r="AD173" s="213"/>
      <c r="AE173" s="332"/>
      <c r="AF173" s="333"/>
      <c r="AG173" s="333"/>
      <c r="AH173" s="331"/>
      <c r="AI173" s="260"/>
      <c r="AJ173" s="332"/>
      <c r="AK173" s="333"/>
      <c r="AL173" s="307"/>
      <c r="AM173" s="204"/>
      <c r="AN173" s="695"/>
      <c r="AO173" s="696"/>
      <c r="AP173" s="204"/>
      <c r="AQ173" s="695"/>
      <c r="AR173" s="696"/>
      <c r="AS173" s="696"/>
      <c r="AT173" s="356"/>
      <c r="AU173" s="205"/>
      <c r="AV173" s="695"/>
      <c r="AW173" s="696"/>
      <c r="AX173" s="212"/>
      <c r="AY173" s="213"/>
      <c r="AZ173" s="332"/>
      <c r="BA173" s="333"/>
      <c r="BB173" s="213"/>
      <c r="BC173" s="332"/>
      <c r="BD173" s="333"/>
      <c r="BE173" s="333"/>
      <c r="BF173" s="331"/>
      <c r="BG173" s="260"/>
      <c r="BH173" s="332"/>
      <c r="BI173" s="333"/>
      <c r="BJ173" s="212"/>
      <c r="BK173" s="213"/>
      <c r="BL173" s="332"/>
      <c r="BM173" s="333"/>
      <c r="BN173" s="213"/>
      <c r="BO173" s="332"/>
      <c r="BP173" s="333"/>
      <c r="BQ173" s="333"/>
      <c r="BR173" s="331"/>
      <c r="BS173" s="260"/>
      <c r="BT173" s="332"/>
      <c r="BU173" s="333"/>
    </row>
    <row r="174" spans="1:73" ht="14.4">
      <c r="A174" s="1242"/>
      <c r="B174" s="633"/>
      <c r="C174" s="634"/>
      <c r="D174" s="635"/>
      <c r="E174" s="636"/>
      <c r="F174" s="637"/>
      <c r="G174" s="635"/>
      <c r="H174" s="636"/>
      <c r="I174" s="779"/>
      <c r="J174" s="607"/>
      <c r="K174" s="608"/>
      <c r="L174" s="605"/>
      <c r="M174" s="606"/>
      <c r="N174" s="212" t="s">
        <v>85</v>
      </c>
      <c r="O174" s="213">
        <v>1</v>
      </c>
      <c r="P174" s="214"/>
      <c r="Q174" s="215"/>
      <c r="R174" s="222">
        <v>1</v>
      </c>
      <c r="S174" s="214"/>
      <c r="T174" s="215"/>
      <c r="U174" s="217" t="s">
        <v>238</v>
      </c>
      <c r="V174" s="218" t="s">
        <v>84</v>
      </c>
      <c r="W174" s="219" t="s">
        <v>489</v>
      </c>
      <c r="X174" s="220" t="s">
        <v>428</v>
      </c>
      <c r="Y174" s="217" t="s">
        <v>429</v>
      </c>
      <c r="Z174" s="212"/>
      <c r="AA174" s="213"/>
      <c r="AB174" s="214"/>
      <c r="AC174" s="215"/>
      <c r="AD174" s="222"/>
      <c r="AE174" s="214"/>
      <c r="AF174" s="215"/>
      <c r="AG174" s="217"/>
      <c r="AH174" s="218"/>
      <c r="AI174" s="219"/>
      <c r="AJ174" s="220"/>
      <c r="AK174" s="217"/>
      <c r="AL174" s="307"/>
      <c r="AM174" s="204"/>
      <c r="AN174" s="308"/>
      <c r="AO174" s="309"/>
      <c r="AP174" s="310"/>
      <c r="AQ174" s="308"/>
      <c r="AR174" s="309"/>
      <c r="AS174" s="311"/>
      <c r="AT174" s="312"/>
      <c r="AU174" s="313"/>
      <c r="AV174" s="314"/>
      <c r="AW174" s="311"/>
      <c r="AX174" s="212"/>
      <c r="AY174" s="213"/>
      <c r="AZ174" s="214"/>
      <c r="BA174" s="215"/>
      <c r="BB174" s="222"/>
      <c r="BC174" s="214"/>
      <c r="BD174" s="215"/>
      <c r="BE174" s="217"/>
      <c r="BF174" s="218"/>
      <c r="BG174" s="219"/>
      <c r="BH174" s="220"/>
      <c r="BI174" s="217"/>
      <c r="BJ174" s="212"/>
      <c r="BK174" s="213"/>
      <c r="BL174" s="214"/>
      <c r="BM174" s="215"/>
      <c r="BN174" s="222"/>
      <c r="BO174" s="214"/>
      <c r="BP174" s="215"/>
      <c r="BQ174" s="217"/>
      <c r="BR174" s="218"/>
      <c r="BS174" s="219"/>
      <c r="BT174" s="220"/>
      <c r="BU174" s="217"/>
    </row>
    <row r="175" spans="1:73" ht="14.4">
      <c r="A175" s="1242"/>
      <c r="B175" s="633"/>
      <c r="C175" s="638"/>
      <c r="D175" s="635"/>
      <c r="E175" s="636"/>
      <c r="F175" s="637"/>
      <c r="G175" s="635"/>
      <c r="H175" s="636"/>
      <c r="I175" s="779"/>
      <c r="J175" s="607"/>
      <c r="K175" s="608"/>
      <c r="L175" s="605"/>
      <c r="M175" s="606"/>
      <c r="N175" s="212"/>
      <c r="O175" s="221"/>
      <c r="P175" s="214"/>
      <c r="Q175" s="215"/>
      <c r="R175" s="222"/>
      <c r="S175" s="214"/>
      <c r="T175" s="215"/>
      <c r="U175" s="217"/>
      <c r="V175" s="218"/>
      <c r="W175" s="219"/>
      <c r="X175" s="220"/>
      <c r="Y175" s="217"/>
      <c r="Z175" s="212"/>
      <c r="AA175" s="221"/>
      <c r="AB175" s="214"/>
      <c r="AC175" s="215"/>
      <c r="AD175" s="222"/>
      <c r="AE175" s="214"/>
      <c r="AF175" s="215"/>
      <c r="AG175" s="217"/>
      <c r="AH175" s="218"/>
      <c r="AI175" s="219"/>
      <c r="AJ175" s="220"/>
      <c r="AK175" s="217"/>
      <c r="AL175" s="307"/>
      <c r="AM175" s="315"/>
      <c r="AN175" s="308"/>
      <c r="AO175" s="309"/>
      <c r="AP175" s="310"/>
      <c r="AQ175" s="308"/>
      <c r="AR175" s="309"/>
      <c r="AS175" s="311"/>
      <c r="AT175" s="312"/>
      <c r="AU175" s="313"/>
      <c r="AV175" s="314"/>
      <c r="AW175" s="311"/>
      <c r="AX175" s="212"/>
      <c r="AY175" s="221"/>
      <c r="AZ175" s="214"/>
      <c r="BA175" s="215"/>
      <c r="BB175" s="222"/>
      <c r="BC175" s="214"/>
      <c r="BD175" s="215"/>
      <c r="BE175" s="217"/>
      <c r="BF175" s="218"/>
      <c r="BG175" s="219"/>
      <c r="BH175" s="220"/>
      <c r="BI175" s="217"/>
      <c r="BJ175" s="212"/>
      <c r="BK175" s="221"/>
      <c r="BL175" s="214"/>
      <c r="BM175" s="215"/>
      <c r="BN175" s="222"/>
      <c r="BO175" s="214"/>
      <c r="BP175" s="215"/>
      <c r="BQ175" s="217"/>
      <c r="BR175" s="218"/>
      <c r="BS175" s="219"/>
      <c r="BT175" s="220"/>
      <c r="BU175" s="217"/>
    </row>
    <row r="176" spans="1:73" ht="14.4">
      <c r="A176" s="1243"/>
      <c r="B176" s="639"/>
      <c r="C176" s="640"/>
      <c r="D176" s="611"/>
      <c r="E176" s="641"/>
      <c r="F176" s="642"/>
      <c r="G176" s="611"/>
      <c r="H176" s="612"/>
      <c r="I176" s="780"/>
      <c r="J176" s="614"/>
      <c r="K176" s="615"/>
      <c r="L176" s="611"/>
      <c r="M176" s="612"/>
      <c r="N176" s="241"/>
      <c r="O176" s="242"/>
      <c r="P176" s="243"/>
      <c r="Q176" s="244"/>
      <c r="R176" s="245"/>
      <c r="S176" s="243"/>
      <c r="T176" s="246"/>
      <c r="U176" s="246"/>
      <c r="V176" s="247"/>
      <c r="W176" s="248"/>
      <c r="X176" s="243"/>
      <c r="Y176" s="246"/>
      <c r="Z176" s="241"/>
      <c r="AA176" s="242"/>
      <c r="AB176" s="243"/>
      <c r="AC176" s="244"/>
      <c r="AD176" s="245"/>
      <c r="AE176" s="243"/>
      <c r="AF176" s="246"/>
      <c r="AG176" s="246"/>
      <c r="AH176" s="247"/>
      <c r="AI176" s="248"/>
      <c r="AJ176" s="243"/>
      <c r="AK176" s="246"/>
      <c r="AL176" s="316"/>
      <c r="AM176" s="317"/>
      <c r="AN176" s="318"/>
      <c r="AO176" s="319"/>
      <c r="AP176" s="320"/>
      <c r="AQ176" s="318"/>
      <c r="AR176" s="321"/>
      <c r="AS176" s="321"/>
      <c r="AT176" s="322"/>
      <c r="AU176" s="323"/>
      <c r="AV176" s="318"/>
      <c r="AW176" s="321"/>
      <c r="AX176" s="241"/>
      <c r="AY176" s="242"/>
      <c r="AZ176" s="243"/>
      <c r="BA176" s="244"/>
      <c r="BB176" s="245"/>
      <c r="BC176" s="243"/>
      <c r="BD176" s="246"/>
      <c r="BE176" s="246"/>
      <c r="BF176" s="247"/>
      <c r="BG176" s="248"/>
      <c r="BH176" s="243"/>
      <c r="BI176" s="246"/>
      <c r="BJ176" s="241"/>
      <c r="BK176" s="242"/>
      <c r="BL176" s="243"/>
      <c r="BM176" s="244"/>
      <c r="BN176" s="245"/>
      <c r="BO176" s="243"/>
      <c r="BP176" s="246"/>
      <c r="BQ176" s="246"/>
      <c r="BR176" s="247"/>
      <c r="BS176" s="248"/>
      <c r="BT176" s="243"/>
      <c r="BU176" s="246"/>
    </row>
    <row r="177" spans="1:73" ht="14.4">
      <c r="A177" s="1240">
        <v>28</v>
      </c>
      <c r="B177" s="597"/>
      <c r="C177" s="629"/>
      <c r="D177" s="630"/>
      <c r="E177" s="631"/>
      <c r="F177" s="629"/>
      <c r="G177" s="630"/>
      <c r="H177" s="631"/>
      <c r="I177" s="778"/>
      <c r="J177" s="597"/>
      <c r="K177" s="632"/>
      <c r="L177" s="630"/>
      <c r="M177" s="631"/>
      <c r="N177" s="193" t="s">
        <v>46</v>
      </c>
      <c r="O177" s="190">
        <v>1</v>
      </c>
      <c r="P177" s="191"/>
      <c r="Q177" s="192"/>
      <c r="R177" s="190">
        <v>1</v>
      </c>
      <c r="S177" s="191"/>
      <c r="T177" s="192"/>
      <c r="U177" s="192" t="s">
        <v>238</v>
      </c>
      <c r="V177" s="193" t="s">
        <v>61</v>
      </c>
      <c r="W177" s="194" t="s">
        <v>490</v>
      </c>
      <c r="X177" s="191" t="s">
        <v>274</v>
      </c>
      <c r="Y177" s="192" t="s">
        <v>275</v>
      </c>
      <c r="Z177" s="193" t="s">
        <v>46</v>
      </c>
      <c r="AA177" s="190">
        <v>1</v>
      </c>
      <c r="AB177" s="191"/>
      <c r="AC177" s="192"/>
      <c r="AD177" s="190"/>
      <c r="AE177" s="191"/>
      <c r="AF177" s="192">
        <v>1</v>
      </c>
      <c r="AG177" s="192" t="s">
        <v>491</v>
      </c>
      <c r="AH177" s="193" t="s">
        <v>100</v>
      </c>
      <c r="AI177" s="194" t="s">
        <v>492</v>
      </c>
      <c r="AJ177" s="191" t="s">
        <v>294</v>
      </c>
      <c r="AK177" s="192" t="s">
        <v>241</v>
      </c>
      <c r="AL177" s="193" t="s">
        <v>67</v>
      </c>
      <c r="AM177" s="190">
        <v>1</v>
      </c>
      <c r="AN177" s="191"/>
      <c r="AO177" s="192"/>
      <c r="AP177" s="190">
        <v>1</v>
      </c>
      <c r="AQ177" s="191"/>
      <c r="AR177" s="192"/>
      <c r="AS177" s="192" t="s">
        <v>238</v>
      </c>
      <c r="AT177" s="193" t="s">
        <v>66</v>
      </c>
      <c r="AU177" s="194" t="s">
        <v>493</v>
      </c>
      <c r="AV177" s="191" t="s">
        <v>339</v>
      </c>
      <c r="AW177" s="192" t="s">
        <v>250</v>
      </c>
      <c r="AX177" s="352" t="s">
        <v>494</v>
      </c>
      <c r="AY177" s="190">
        <v>1</v>
      </c>
      <c r="AZ177" s="191"/>
      <c r="BA177" s="192"/>
      <c r="BB177" s="190"/>
      <c r="BC177" s="191">
        <v>1</v>
      </c>
      <c r="BD177" s="192"/>
      <c r="BE177" s="192" t="s">
        <v>244</v>
      </c>
      <c r="BF177" s="193" t="s">
        <v>111</v>
      </c>
      <c r="BG177" s="194" t="s">
        <v>495</v>
      </c>
      <c r="BH177" s="191" t="s">
        <v>496</v>
      </c>
      <c r="BI177" s="192" t="s">
        <v>497</v>
      </c>
      <c r="BJ177" s="388"/>
      <c r="BK177" s="277"/>
      <c r="BL177" s="278"/>
      <c r="BM177" s="279"/>
      <c r="BN177" s="277"/>
      <c r="BO177" s="278"/>
      <c r="BP177" s="279"/>
      <c r="BQ177" s="279"/>
      <c r="BR177" s="280"/>
      <c r="BS177" s="281"/>
      <c r="BT177" s="278"/>
      <c r="BU177" s="279"/>
    </row>
    <row r="178" spans="1:73" ht="14.4">
      <c r="A178" s="1241"/>
      <c r="B178" s="633"/>
      <c r="C178" s="634"/>
      <c r="D178" s="717"/>
      <c r="E178" s="718"/>
      <c r="F178" s="634"/>
      <c r="G178" s="717"/>
      <c r="H178" s="718"/>
      <c r="I178" s="781"/>
      <c r="J178" s="719"/>
      <c r="K178" s="720"/>
      <c r="L178" s="717"/>
      <c r="M178" s="718"/>
      <c r="N178" s="212"/>
      <c r="O178" s="213"/>
      <c r="P178" s="332"/>
      <c r="Q178" s="333"/>
      <c r="R178" s="213"/>
      <c r="S178" s="332"/>
      <c r="T178" s="333"/>
      <c r="U178" s="333"/>
      <c r="V178" s="331"/>
      <c r="W178" s="260"/>
      <c r="X178" s="332"/>
      <c r="Y178" s="333"/>
      <c r="Z178" s="212"/>
      <c r="AA178" s="213"/>
      <c r="AB178" s="332"/>
      <c r="AC178" s="333"/>
      <c r="AD178" s="213"/>
      <c r="AE178" s="332"/>
      <c r="AF178" s="333"/>
      <c r="AG178" s="333"/>
      <c r="AH178" s="331"/>
      <c r="AI178" s="260"/>
      <c r="AJ178" s="332"/>
      <c r="AK178" s="333"/>
      <c r="AL178" s="212"/>
      <c r="AM178" s="213"/>
      <c r="AN178" s="332"/>
      <c r="AO178" s="333"/>
      <c r="AP178" s="213"/>
      <c r="AQ178" s="332"/>
      <c r="AR178" s="333"/>
      <c r="AS178" s="333"/>
      <c r="AT178" s="331"/>
      <c r="AU178" s="260"/>
      <c r="AV178" s="332"/>
      <c r="AW178" s="333"/>
      <c r="AX178" s="711"/>
      <c r="AY178" s="213"/>
      <c r="AZ178" s="332"/>
      <c r="BA178" s="333"/>
      <c r="BB178" s="213"/>
      <c r="BC178" s="332"/>
      <c r="BD178" s="333"/>
      <c r="BE178" s="333"/>
      <c r="BF178" s="331"/>
      <c r="BG178" s="260"/>
      <c r="BH178" s="332"/>
      <c r="BI178" s="333"/>
      <c r="BJ178" s="727"/>
      <c r="BK178" s="196"/>
      <c r="BL178" s="345"/>
      <c r="BM178" s="346"/>
      <c r="BN178" s="196"/>
      <c r="BO178" s="345"/>
      <c r="BP178" s="346"/>
      <c r="BQ178" s="346"/>
      <c r="BR178" s="347"/>
      <c r="BS178" s="197"/>
      <c r="BT178" s="345"/>
      <c r="BU178" s="346"/>
    </row>
    <row r="179" spans="1:73" ht="14.4">
      <c r="A179" s="1241"/>
      <c r="B179" s="633"/>
      <c r="C179" s="634"/>
      <c r="D179" s="717"/>
      <c r="E179" s="718"/>
      <c r="F179" s="634"/>
      <c r="G179" s="717"/>
      <c r="H179" s="718"/>
      <c r="I179" s="781"/>
      <c r="J179" s="719"/>
      <c r="K179" s="720"/>
      <c r="L179" s="717"/>
      <c r="M179" s="718"/>
      <c r="N179" s="212"/>
      <c r="O179" s="213"/>
      <c r="P179" s="332"/>
      <c r="Q179" s="333"/>
      <c r="R179" s="213"/>
      <c r="S179" s="332"/>
      <c r="T179" s="333"/>
      <c r="U179" s="333"/>
      <c r="V179" s="331"/>
      <c r="W179" s="260"/>
      <c r="X179" s="332"/>
      <c r="Y179" s="333"/>
      <c r="Z179" s="212"/>
      <c r="AA179" s="213"/>
      <c r="AB179" s="332"/>
      <c r="AC179" s="333"/>
      <c r="AD179" s="213"/>
      <c r="AE179" s="332"/>
      <c r="AF179" s="333"/>
      <c r="AG179" s="333"/>
      <c r="AH179" s="331"/>
      <c r="AI179" s="260"/>
      <c r="AJ179" s="332"/>
      <c r="AK179" s="333"/>
      <c r="AL179" s="212"/>
      <c r="AM179" s="213"/>
      <c r="AN179" s="332"/>
      <c r="AO179" s="333"/>
      <c r="AP179" s="213"/>
      <c r="AQ179" s="332"/>
      <c r="AR179" s="333"/>
      <c r="AS179" s="333"/>
      <c r="AT179" s="331"/>
      <c r="AU179" s="260"/>
      <c r="AV179" s="332"/>
      <c r="AW179" s="333"/>
      <c r="AX179" s="711"/>
      <c r="AY179" s="213"/>
      <c r="AZ179" s="332"/>
      <c r="BA179" s="333"/>
      <c r="BB179" s="213"/>
      <c r="BC179" s="332"/>
      <c r="BD179" s="333"/>
      <c r="BE179" s="333"/>
      <c r="BF179" s="331"/>
      <c r="BG179" s="260"/>
      <c r="BH179" s="332"/>
      <c r="BI179" s="333"/>
      <c r="BJ179" s="727"/>
      <c r="BK179" s="196"/>
      <c r="BL179" s="345"/>
      <c r="BM179" s="346"/>
      <c r="BN179" s="196"/>
      <c r="BO179" s="345"/>
      <c r="BP179" s="346"/>
      <c r="BQ179" s="346"/>
      <c r="BR179" s="347"/>
      <c r="BS179" s="197"/>
      <c r="BT179" s="345"/>
      <c r="BU179" s="346"/>
    </row>
    <row r="180" spans="1:73" ht="14.4">
      <c r="A180" s="1241"/>
      <c r="B180" s="633"/>
      <c r="C180" s="634"/>
      <c r="D180" s="717"/>
      <c r="E180" s="718"/>
      <c r="F180" s="634"/>
      <c r="G180" s="717"/>
      <c r="H180" s="718"/>
      <c r="I180" s="781"/>
      <c r="J180" s="719"/>
      <c r="K180" s="720"/>
      <c r="L180" s="717"/>
      <c r="M180" s="718"/>
      <c r="N180" s="212"/>
      <c r="O180" s="213"/>
      <c r="P180" s="332"/>
      <c r="Q180" s="333"/>
      <c r="R180" s="213"/>
      <c r="S180" s="332"/>
      <c r="T180" s="333"/>
      <c r="U180" s="333"/>
      <c r="V180" s="331"/>
      <c r="W180" s="260"/>
      <c r="X180" s="332"/>
      <c r="Y180" s="333"/>
      <c r="Z180" s="212"/>
      <c r="AA180" s="213"/>
      <c r="AB180" s="332"/>
      <c r="AC180" s="333"/>
      <c r="AD180" s="213"/>
      <c r="AE180" s="332"/>
      <c r="AF180" s="333"/>
      <c r="AG180" s="333"/>
      <c r="AH180" s="331"/>
      <c r="AI180" s="260"/>
      <c r="AJ180" s="332"/>
      <c r="AK180" s="333"/>
      <c r="AL180" s="212"/>
      <c r="AM180" s="213"/>
      <c r="AN180" s="332"/>
      <c r="AO180" s="333"/>
      <c r="AP180" s="213"/>
      <c r="AQ180" s="332"/>
      <c r="AR180" s="333"/>
      <c r="AS180" s="333"/>
      <c r="AT180" s="331"/>
      <c r="AU180" s="260"/>
      <c r="AV180" s="332"/>
      <c r="AW180" s="333"/>
      <c r="AX180" s="711"/>
      <c r="AY180" s="213"/>
      <c r="AZ180" s="332"/>
      <c r="BA180" s="333"/>
      <c r="BB180" s="213"/>
      <c r="BC180" s="332"/>
      <c r="BD180" s="333"/>
      <c r="BE180" s="333"/>
      <c r="BF180" s="331"/>
      <c r="BG180" s="260"/>
      <c r="BH180" s="332"/>
      <c r="BI180" s="333"/>
      <c r="BJ180" s="727"/>
      <c r="BK180" s="196"/>
      <c r="BL180" s="345"/>
      <c r="BM180" s="346"/>
      <c r="BN180" s="196"/>
      <c r="BO180" s="345"/>
      <c r="BP180" s="346"/>
      <c r="BQ180" s="346"/>
      <c r="BR180" s="347"/>
      <c r="BS180" s="197"/>
      <c r="BT180" s="345"/>
      <c r="BU180" s="346"/>
    </row>
    <row r="181" spans="1:73" ht="14.4">
      <c r="A181" s="1242"/>
      <c r="B181" s="633"/>
      <c r="C181" s="634"/>
      <c r="D181" s="635"/>
      <c r="E181" s="636"/>
      <c r="F181" s="637"/>
      <c r="G181" s="635"/>
      <c r="H181" s="636"/>
      <c r="I181" s="779"/>
      <c r="J181" s="607"/>
      <c r="K181" s="608"/>
      <c r="L181" s="605"/>
      <c r="M181" s="606"/>
      <c r="N181" s="212" t="s">
        <v>46</v>
      </c>
      <c r="O181" s="213">
        <v>1</v>
      </c>
      <c r="P181" s="214"/>
      <c r="Q181" s="215"/>
      <c r="R181" s="222">
        <v>1</v>
      </c>
      <c r="S181" s="214"/>
      <c r="T181" s="215"/>
      <c r="U181" s="217" t="s">
        <v>238</v>
      </c>
      <c r="V181" s="218" t="s">
        <v>498</v>
      </c>
      <c r="W181" s="219" t="s">
        <v>499</v>
      </c>
      <c r="X181" s="220" t="s">
        <v>500</v>
      </c>
      <c r="Y181" s="217" t="s">
        <v>334</v>
      </c>
      <c r="Z181" s="212"/>
      <c r="AA181" s="213"/>
      <c r="AB181" s="214"/>
      <c r="AC181" s="215"/>
      <c r="AD181" s="222"/>
      <c r="AE181" s="214"/>
      <c r="AF181" s="215"/>
      <c r="AG181" s="217"/>
      <c r="AH181" s="218"/>
      <c r="AI181" s="219"/>
      <c r="AJ181" s="220"/>
      <c r="AK181" s="217"/>
      <c r="AL181" s="212"/>
      <c r="AM181" s="213"/>
      <c r="AN181" s="214"/>
      <c r="AO181" s="215"/>
      <c r="AP181" s="222"/>
      <c r="AQ181" s="214"/>
      <c r="AR181" s="215"/>
      <c r="AS181" s="217"/>
      <c r="AT181" s="218"/>
      <c r="AU181" s="219"/>
      <c r="AV181" s="220"/>
      <c r="AW181" s="217"/>
      <c r="AX181" s="212"/>
      <c r="AY181" s="213"/>
      <c r="AZ181" s="214"/>
      <c r="BA181" s="215"/>
      <c r="BB181" s="222"/>
      <c r="BC181" s="214"/>
      <c r="BD181" s="215"/>
      <c r="BE181" s="217"/>
      <c r="BF181" s="218"/>
      <c r="BG181" s="219"/>
      <c r="BH181" s="220"/>
      <c r="BI181" s="217"/>
      <c r="BJ181" s="283"/>
      <c r="BK181" s="196"/>
      <c r="BL181" s="284"/>
      <c r="BM181" s="285"/>
      <c r="BN181" s="292"/>
      <c r="BO181" s="284"/>
      <c r="BP181" s="285"/>
      <c r="BQ181" s="287"/>
      <c r="BR181" s="288"/>
      <c r="BS181" s="289"/>
      <c r="BT181" s="290"/>
      <c r="BU181" s="287"/>
    </row>
    <row r="182" spans="1:73" ht="14.4">
      <c r="A182" s="1242"/>
      <c r="B182" s="633"/>
      <c r="C182" s="638"/>
      <c r="D182" s="635"/>
      <c r="E182" s="636"/>
      <c r="F182" s="637"/>
      <c r="G182" s="635"/>
      <c r="H182" s="636"/>
      <c r="I182" s="779"/>
      <c r="J182" s="607"/>
      <c r="K182" s="608"/>
      <c r="L182" s="605"/>
      <c r="M182" s="606"/>
      <c r="N182" s="212"/>
      <c r="O182" s="221"/>
      <c r="P182" s="214"/>
      <c r="Q182" s="215"/>
      <c r="R182" s="222"/>
      <c r="S182" s="214"/>
      <c r="T182" s="215"/>
      <c r="U182" s="217"/>
      <c r="V182" s="218"/>
      <c r="W182" s="219"/>
      <c r="X182" s="220"/>
      <c r="Y182" s="217"/>
      <c r="Z182" s="212"/>
      <c r="AA182" s="221"/>
      <c r="AB182" s="214"/>
      <c r="AC182" s="215"/>
      <c r="AD182" s="222"/>
      <c r="AE182" s="214"/>
      <c r="AF182" s="215"/>
      <c r="AG182" s="217"/>
      <c r="AH182" s="218"/>
      <c r="AI182" s="219"/>
      <c r="AJ182" s="220"/>
      <c r="AK182" s="217"/>
      <c r="AL182" s="212"/>
      <c r="AM182" s="221"/>
      <c r="AN182" s="214"/>
      <c r="AO182" s="215"/>
      <c r="AP182" s="222"/>
      <c r="AQ182" s="214"/>
      <c r="AR182" s="215"/>
      <c r="AS182" s="217"/>
      <c r="AT182" s="218"/>
      <c r="AU182" s="219"/>
      <c r="AV182" s="220"/>
      <c r="AW182" s="217"/>
      <c r="AX182" s="212"/>
      <c r="AY182" s="221"/>
      <c r="AZ182" s="214"/>
      <c r="BA182" s="215"/>
      <c r="BB182" s="222"/>
      <c r="BC182" s="214"/>
      <c r="BD182" s="215"/>
      <c r="BE182" s="217"/>
      <c r="BF182" s="218"/>
      <c r="BG182" s="219"/>
      <c r="BH182" s="220"/>
      <c r="BI182" s="217"/>
      <c r="BJ182" s="283"/>
      <c r="BK182" s="291"/>
      <c r="BL182" s="284"/>
      <c r="BM182" s="285"/>
      <c r="BN182" s="292"/>
      <c r="BO182" s="284"/>
      <c r="BP182" s="285"/>
      <c r="BQ182" s="287"/>
      <c r="BR182" s="288"/>
      <c r="BS182" s="289"/>
      <c r="BT182" s="290"/>
      <c r="BU182" s="287"/>
    </row>
    <row r="183" spans="1:73" ht="14.4">
      <c r="A183" s="1243"/>
      <c r="B183" s="639"/>
      <c r="C183" s="640"/>
      <c r="D183" s="611"/>
      <c r="E183" s="641"/>
      <c r="F183" s="642"/>
      <c r="G183" s="611"/>
      <c r="H183" s="612"/>
      <c r="I183" s="780"/>
      <c r="J183" s="614"/>
      <c r="K183" s="615"/>
      <c r="L183" s="611"/>
      <c r="M183" s="612"/>
      <c r="N183" s="241"/>
      <c r="O183" s="242"/>
      <c r="P183" s="243"/>
      <c r="Q183" s="244"/>
      <c r="R183" s="245"/>
      <c r="S183" s="243"/>
      <c r="T183" s="246"/>
      <c r="U183" s="246"/>
      <c r="V183" s="247"/>
      <c r="W183" s="248"/>
      <c r="X183" s="243"/>
      <c r="Y183" s="246"/>
      <c r="Z183" s="241"/>
      <c r="AA183" s="242"/>
      <c r="AB183" s="243"/>
      <c r="AC183" s="244"/>
      <c r="AD183" s="245"/>
      <c r="AE183" s="243"/>
      <c r="AF183" s="246"/>
      <c r="AG183" s="246"/>
      <c r="AH183" s="247"/>
      <c r="AI183" s="248"/>
      <c r="AJ183" s="243"/>
      <c r="AK183" s="246"/>
      <c r="AL183" s="241"/>
      <c r="AM183" s="242"/>
      <c r="AN183" s="243"/>
      <c r="AO183" s="244"/>
      <c r="AP183" s="245"/>
      <c r="AQ183" s="243"/>
      <c r="AR183" s="246"/>
      <c r="AS183" s="246"/>
      <c r="AT183" s="247"/>
      <c r="AU183" s="248"/>
      <c r="AV183" s="243"/>
      <c r="AW183" s="246"/>
      <c r="AX183" s="241"/>
      <c r="AY183" s="242"/>
      <c r="AZ183" s="243"/>
      <c r="BA183" s="244"/>
      <c r="BB183" s="245"/>
      <c r="BC183" s="243"/>
      <c r="BD183" s="246"/>
      <c r="BE183" s="246"/>
      <c r="BF183" s="247"/>
      <c r="BG183" s="248"/>
      <c r="BH183" s="243"/>
      <c r="BI183" s="246"/>
      <c r="BJ183" s="293"/>
      <c r="BK183" s="294"/>
      <c r="BL183" s="295"/>
      <c r="BM183" s="296"/>
      <c r="BN183" s="297"/>
      <c r="BO183" s="295"/>
      <c r="BP183" s="298"/>
      <c r="BQ183" s="298"/>
      <c r="BR183" s="299"/>
      <c r="BS183" s="300"/>
      <c r="BT183" s="295"/>
      <c r="BU183" s="298"/>
    </row>
    <row r="184" spans="1:73" ht="14.4">
      <c r="A184" s="1240">
        <v>29</v>
      </c>
      <c r="B184" s="533"/>
      <c r="C184" s="545"/>
      <c r="D184" s="546"/>
      <c r="E184" s="547"/>
      <c r="F184" s="545"/>
      <c r="G184" s="546"/>
      <c r="H184" s="547"/>
      <c r="I184" s="774"/>
      <c r="J184" s="533"/>
      <c r="K184" s="548"/>
      <c r="L184" s="546"/>
      <c r="M184" s="547"/>
      <c r="N184" s="305"/>
      <c r="O184" s="302"/>
      <c r="P184" s="303"/>
      <c r="Q184" s="304"/>
      <c r="R184" s="302"/>
      <c r="S184" s="303"/>
      <c r="T184" s="304"/>
      <c r="U184" s="304"/>
      <c r="V184" s="305"/>
      <c r="W184" s="306"/>
      <c r="X184" s="303"/>
      <c r="Y184" s="304"/>
      <c r="Z184" s="280"/>
      <c r="AA184" s="277"/>
      <c r="AB184" s="278"/>
      <c r="AC184" s="279"/>
      <c r="AD184" s="277"/>
      <c r="AE184" s="278"/>
      <c r="AF184" s="279"/>
      <c r="AG184" s="279"/>
      <c r="AH184" s="280"/>
      <c r="AI184" s="281"/>
      <c r="AJ184" s="278"/>
      <c r="AK184" s="279"/>
      <c r="AL184" s="193" t="s">
        <v>211</v>
      </c>
      <c r="AM184" s="190">
        <v>1</v>
      </c>
      <c r="AN184" s="191"/>
      <c r="AO184" s="192"/>
      <c r="AP184" s="190"/>
      <c r="AQ184" s="191"/>
      <c r="AR184" s="192">
        <v>1</v>
      </c>
      <c r="AS184" s="192" t="s">
        <v>238</v>
      </c>
      <c r="AT184" s="193" t="s">
        <v>31</v>
      </c>
      <c r="AU184" s="194" t="s">
        <v>501</v>
      </c>
      <c r="AV184" s="191" t="s">
        <v>420</v>
      </c>
      <c r="AW184" s="192" t="s">
        <v>421</v>
      </c>
      <c r="AX184" s="389" t="s">
        <v>385</v>
      </c>
      <c r="AY184" s="190"/>
      <c r="AZ184" s="191"/>
      <c r="BA184" s="192"/>
      <c r="BB184" s="190"/>
      <c r="BC184" s="191"/>
      <c r="BD184" s="192"/>
      <c r="BE184" s="192"/>
      <c r="BF184" s="193"/>
      <c r="BG184" s="194"/>
      <c r="BH184" s="191"/>
      <c r="BI184" s="192"/>
      <c r="BJ184" s="390"/>
      <c r="BK184" s="277"/>
      <c r="BL184" s="278"/>
      <c r="BM184" s="279"/>
      <c r="BN184" s="277"/>
      <c r="BO184" s="278"/>
      <c r="BP184" s="279"/>
      <c r="BQ184" s="279"/>
      <c r="BR184" s="280"/>
      <c r="BS184" s="281"/>
      <c r="BT184" s="278"/>
      <c r="BU184" s="279"/>
    </row>
    <row r="185" spans="1:73" ht="14.4">
      <c r="A185" s="1241"/>
      <c r="B185" s="549"/>
      <c r="C185" s="554"/>
      <c r="D185" s="686"/>
      <c r="E185" s="687"/>
      <c r="F185" s="554"/>
      <c r="G185" s="686"/>
      <c r="H185" s="687"/>
      <c r="I185" s="775"/>
      <c r="J185" s="688"/>
      <c r="K185" s="689"/>
      <c r="L185" s="686"/>
      <c r="M185" s="687"/>
      <c r="N185" s="307"/>
      <c r="O185" s="204"/>
      <c r="P185" s="695"/>
      <c r="Q185" s="696"/>
      <c r="R185" s="204"/>
      <c r="S185" s="695"/>
      <c r="T185" s="696"/>
      <c r="U185" s="696"/>
      <c r="V185" s="356"/>
      <c r="W185" s="205"/>
      <c r="X185" s="695"/>
      <c r="Y185" s="696"/>
      <c r="Z185" s="283"/>
      <c r="AA185" s="196"/>
      <c r="AB185" s="345"/>
      <c r="AC185" s="346"/>
      <c r="AD185" s="196"/>
      <c r="AE185" s="345"/>
      <c r="AF185" s="346"/>
      <c r="AG185" s="346"/>
      <c r="AH185" s="347"/>
      <c r="AI185" s="197"/>
      <c r="AJ185" s="345"/>
      <c r="AK185" s="346"/>
      <c r="AL185" s="212"/>
      <c r="AM185" s="213"/>
      <c r="AN185" s="332"/>
      <c r="AO185" s="333"/>
      <c r="AP185" s="213"/>
      <c r="AQ185" s="332"/>
      <c r="AR185" s="333"/>
      <c r="AS185" s="333"/>
      <c r="AT185" s="331"/>
      <c r="AU185" s="260"/>
      <c r="AV185" s="332"/>
      <c r="AW185" s="333"/>
      <c r="AX185" s="728"/>
      <c r="AY185" s="213"/>
      <c r="AZ185" s="332"/>
      <c r="BA185" s="333"/>
      <c r="BB185" s="213"/>
      <c r="BC185" s="332"/>
      <c r="BD185" s="333"/>
      <c r="BE185" s="333"/>
      <c r="BF185" s="331"/>
      <c r="BG185" s="260"/>
      <c r="BH185" s="332"/>
      <c r="BI185" s="333"/>
      <c r="BJ185" s="685"/>
      <c r="BK185" s="196"/>
      <c r="BL185" s="345"/>
      <c r="BM185" s="346"/>
      <c r="BN185" s="196"/>
      <c r="BO185" s="345"/>
      <c r="BP185" s="346"/>
      <c r="BQ185" s="346"/>
      <c r="BR185" s="347"/>
      <c r="BS185" s="197"/>
      <c r="BT185" s="345"/>
      <c r="BU185" s="346"/>
    </row>
    <row r="186" spans="1:73" ht="14.4">
      <c r="A186" s="1241"/>
      <c r="B186" s="549"/>
      <c r="C186" s="554"/>
      <c r="D186" s="686"/>
      <c r="E186" s="687"/>
      <c r="F186" s="554"/>
      <c r="G186" s="686"/>
      <c r="H186" s="687"/>
      <c r="I186" s="775"/>
      <c r="J186" s="688"/>
      <c r="K186" s="689"/>
      <c r="L186" s="686"/>
      <c r="M186" s="687"/>
      <c r="N186" s="307"/>
      <c r="O186" s="204"/>
      <c r="P186" s="695"/>
      <c r="Q186" s="696"/>
      <c r="R186" s="204"/>
      <c r="S186" s="695"/>
      <c r="T186" s="696"/>
      <c r="U186" s="696"/>
      <c r="V186" s="356"/>
      <c r="W186" s="205"/>
      <c r="X186" s="695"/>
      <c r="Y186" s="696"/>
      <c r="Z186" s="283"/>
      <c r="AA186" s="196"/>
      <c r="AB186" s="345"/>
      <c r="AC186" s="346"/>
      <c r="AD186" s="196"/>
      <c r="AE186" s="345"/>
      <c r="AF186" s="346"/>
      <c r="AG186" s="346"/>
      <c r="AH186" s="347"/>
      <c r="AI186" s="197"/>
      <c r="AJ186" s="345"/>
      <c r="AK186" s="346"/>
      <c r="AL186" s="212"/>
      <c r="AM186" s="213"/>
      <c r="AN186" s="332"/>
      <c r="AO186" s="333"/>
      <c r="AP186" s="213"/>
      <c r="AQ186" s="332"/>
      <c r="AR186" s="333"/>
      <c r="AS186" s="333"/>
      <c r="AT186" s="331"/>
      <c r="AU186" s="260"/>
      <c r="AV186" s="332"/>
      <c r="AW186" s="333"/>
      <c r="AX186" s="728"/>
      <c r="AY186" s="213"/>
      <c r="AZ186" s="332"/>
      <c r="BA186" s="333"/>
      <c r="BB186" s="213"/>
      <c r="BC186" s="332"/>
      <c r="BD186" s="333"/>
      <c r="BE186" s="333"/>
      <c r="BF186" s="331"/>
      <c r="BG186" s="260"/>
      <c r="BH186" s="332"/>
      <c r="BI186" s="333"/>
      <c r="BJ186" s="685"/>
      <c r="BK186" s="196"/>
      <c r="BL186" s="345"/>
      <c r="BM186" s="346"/>
      <c r="BN186" s="196"/>
      <c r="BO186" s="345"/>
      <c r="BP186" s="346"/>
      <c r="BQ186" s="346"/>
      <c r="BR186" s="347"/>
      <c r="BS186" s="197"/>
      <c r="BT186" s="345"/>
      <c r="BU186" s="346"/>
    </row>
    <row r="187" spans="1:73" ht="14.4">
      <c r="A187" s="1241"/>
      <c r="B187" s="549"/>
      <c r="C187" s="554"/>
      <c r="D187" s="686"/>
      <c r="E187" s="687"/>
      <c r="F187" s="554"/>
      <c r="G187" s="686"/>
      <c r="H187" s="687"/>
      <c r="I187" s="775"/>
      <c r="J187" s="688"/>
      <c r="K187" s="689"/>
      <c r="L187" s="686"/>
      <c r="M187" s="687"/>
      <c r="N187" s="307"/>
      <c r="O187" s="204"/>
      <c r="P187" s="695"/>
      <c r="Q187" s="696"/>
      <c r="R187" s="204"/>
      <c r="S187" s="695"/>
      <c r="T187" s="696"/>
      <c r="U187" s="696"/>
      <c r="V187" s="356"/>
      <c r="W187" s="205"/>
      <c r="X187" s="695"/>
      <c r="Y187" s="696"/>
      <c r="Z187" s="283"/>
      <c r="AA187" s="196"/>
      <c r="AB187" s="345"/>
      <c r="AC187" s="346"/>
      <c r="AD187" s="196"/>
      <c r="AE187" s="345"/>
      <c r="AF187" s="346"/>
      <c r="AG187" s="346"/>
      <c r="AH187" s="347"/>
      <c r="AI187" s="197"/>
      <c r="AJ187" s="345"/>
      <c r="AK187" s="346"/>
      <c r="AL187" s="212"/>
      <c r="AM187" s="213"/>
      <c r="AN187" s="332"/>
      <c r="AO187" s="333"/>
      <c r="AP187" s="213"/>
      <c r="AQ187" s="332"/>
      <c r="AR187" s="333"/>
      <c r="AS187" s="333"/>
      <c r="AT187" s="331"/>
      <c r="AU187" s="260"/>
      <c r="AV187" s="332"/>
      <c r="AW187" s="333"/>
      <c r="AX187" s="728"/>
      <c r="AY187" s="213"/>
      <c r="AZ187" s="332"/>
      <c r="BA187" s="333"/>
      <c r="BB187" s="213"/>
      <c r="BC187" s="332"/>
      <c r="BD187" s="333"/>
      <c r="BE187" s="333"/>
      <c r="BF187" s="331"/>
      <c r="BG187" s="260"/>
      <c r="BH187" s="332"/>
      <c r="BI187" s="333"/>
      <c r="BJ187" s="685"/>
      <c r="BK187" s="196"/>
      <c r="BL187" s="345"/>
      <c r="BM187" s="346"/>
      <c r="BN187" s="196"/>
      <c r="BO187" s="345"/>
      <c r="BP187" s="346"/>
      <c r="BQ187" s="346"/>
      <c r="BR187" s="347"/>
      <c r="BS187" s="197"/>
      <c r="BT187" s="345"/>
      <c r="BU187" s="346"/>
    </row>
    <row r="188" spans="1:73" ht="14.4">
      <c r="A188" s="1242"/>
      <c r="B188" s="549"/>
      <c r="C188" s="554"/>
      <c r="D188" s="551"/>
      <c r="E188" s="555"/>
      <c r="F188" s="556"/>
      <c r="G188" s="551"/>
      <c r="H188" s="555"/>
      <c r="I188" s="776"/>
      <c r="J188" s="537"/>
      <c r="K188" s="538"/>
      <c r="L188" s="535"/>
      <c r="M188" s="536"/>
      <c r="N188" s="307"/>
      <c r="O188" s="204"/>
      <c r="P188" s="308"/>
      <c r="Q188" s="309"/>
      <c r="R188" s="310"/>
      <c r="S188" s="308"/>
      <c r="T188" s="309"/>
      <c r="U188" s="311"/>
      <c r="V188" s="312"/>
      <c r="W188" s="313"/>
      <c r="X188" s="314"/>
      <c r="Y188" s="311"/>
      <c r="Z188" s="283"/>
      <c r="AA188" s="196"/>
      <c r="AB188" s="284"/>
      <c r="AC188" s="285"/>
      <c r="AD188" s="292"/>
      <c r="AE188" s="284"/>
      <c r="AF188" s="285"/>
      <c r="AG188" s="287"/>
      <c r="AH188" s="288"/>
      <c r="AI188" s="289"/>
      <c r="AJ188" s="290"/>
      <c r="AK188" s="287"/>
      <c r="AL188" s="212" t="s">
        <v>46</v>
      </c>
      <c r="AM188" s="213">
        <v>1</v>
      </c>
      <c r="AN188" s="214"/>
      <c r="AO188" s="215"/>
      <c r="AP188" s="222"/>
      <c r="AQ188" s="214"/>
      <c r="AR188" s="215">
        <v>1</v>
      </c>
      <c r="AS188" s="217" t="s">
        <v>244</v>
      </c>
      <c r="AT188" s="218" t="s">
        <v>103</v>
      </c>
      <c r="AU188" s="219" t="s">
        <v>502</v>
      </c>
      <c r="AV188" s="220" t="s">
        <v>253</v>
      </c>
      <c r="AW188" s="217" t="s">
        <v>254</v>
      </c>
      <c r="AX188" s="212" t="s">
        <v>46</v>
      </c>
      <c r="AY188" s="213"/>
      <c r="AZ188" s="214">
        <v>1</v>
      </c>
      <c r="BA188" s="215"/>
      <c r="BB188" s="222">
        <v>1</v>
      </c>
      <c r="BC188" s="214"/>
      <c r="BD188" s="215"/>
      <c r="BE188" s="217" t="s">
        <v>251</v>
      </c>
      <c r="BF188" s="218" t="s">
        <v>31</v>
      </c>
      <c r="BG188" s="219" t="s">
        <v>503</v>
      </c>
      <c r="BH188" s="220" t="s">
        <v>259</v>
      </c>
      <c r="BI188" s="217" t="s">
        <v>275</v>
      </c>
      <c r="BJ188" s="283"/>
      <c r="BK188" s="196"/>
      <c r="BL188" s="284"/>
      <c r="BM188" s="285"/>
      <c r="BN188" s="292"/>
      <c r="BO188" s="284"/>
      <c r="BP188" s="285"/>
      <c r="BQ188" s="287"/>
      <c r="BR188" s="288"/>
      <c r="BS188" s="289"/>
      <c r="BT188" s="290"/>
      <c r="BU188" s="287"/>
    </row>
    <row r="189" spans="1:73" ht="14.4">
      <c r="A189" s="1242"/>
      <c r="B189" s="549"/>
      <c r="C189" s="550"/>
      <c r="D189" s="551"/>
      <c r="E189" s="555"/>
      <c r="F189" s="556"/>
      <c r="G189" s="551"/>
      <c r="H189" s="555"/>
      <c r="I189" s="776"/>
      <c r="J189" s="537"/>
      <c r="K189" s="538"/>
      <c r="L189" s="535"/>
      <c r="M189" s="536"/>
      <c r="N189" s="307"/>
      <c r="O189" s="315"/>
      <c r="P189" s="308"/>
      <c r="Q189" s="309"/>
      <c r="R189" s="310"/>
      <c r="S189" s="308"/>
      <c r="T189" s="309"/>
      <c r="U189" s="311"/>
      <c r="V189" s="312"/>
      <c r="W189" s="313"/>
      <c r="X189" s="314"/>
      <c r="Y189" s="311"/>
      <c r="Z189" s="283"/>
      <c r="AA189" s="291"/>
      <c r="AB189" s="284"/>
      <c r="AC189" s="285"/>
      <c r="AD189" s="292"/>
      <c r="AE189" s="284"/>
      <c r="AF189" s="285"/>
      <c r="AG189" s="287"/>
      <c r="AH189" s="288"/>
      <c r="AI189" s="289"/>
      <c r="AJ189" s="290"/>
      <c r="AK189" s="287"/>
      <c r="AL189" s="212"/>
      <c r="AM189" s="221"/>
      <c r="AN189" s="214"/>
      <c r="AO189" s="215"/>
      <c r="AP189" s="222"/>
      <c r="AQ189" s="214"/>
      <c r="AR189" s="215"/>
      <c r="AS189" s="217"/>
      <c r="AT189" s="218"/>
      <c r="AU189" s="219"/>
      <c r="AV189" s="220"/>
      <c r="AW189" s="217"/>
      <c r="AX189" s="212"/>
      <c r="AY189" s="221"/>
      <c r="AZ189" s="214"/>
      <c r="BA189" s="215"/>
      <c r="BB189" s="222"/>
      <c r="BC189" s="214"/>
      <c r="BD189" s="215"/>
      <c r="BE189" s="217"/>
      <c r="BF189" s="218"/>
      <c r="BG189" s="219"/>
      <c r="BH189" s="220"/>
      <c r="BI189" s="217"/>
      <c r="BJ189" s="283"/>
      <c r="BK189" s="291"/>
      <c r="BL189" s="284"/>
      <c r="BM189" s="285"/>
      <c r="BN189" s="292"/>
      <c r="BO189" s="284"/>
      <c r="BP189" s="285"/>
      <c r="BQ189" s="287"/>
      <c r="BR189" s="288"/>
      <c r="BS189" s="289"/>
      <c r="BT189" s="290"/>
      <c r="BU189" s="287"/>
    </row>
    <row r="190" spans="1:73" ht="14.4">
      <c r="A190" s="1243"/>
      <c r="B190" s="557"/>
      <c r="C190" s="553"/>
      <c r="D190" s="539"/>
      <c r="E190" s="558"/>
      <c r="F190" s="559"/>
      <c r="G190" s="539"/>
      <c r="H190" s="540"/>
      <c r="I190" s="777"/>
      <c r="J190" s="542"/>
      <c r="K190" s="543"/>
      <c r="L190" s="539"/>
      <c r="M190" s="540"/>
      <c r="N190" s="316"/>
      <c r="O190" s="317"/>
      <c r="P190" s="318"/>
      <c r="Q190" s="319"/>
      <c r="R190" s="320"/>
      <c r="S190" s="318"/>
      <c r="T190" s="321"/>
      <c r="U190" s="321"/>
      <c r="V190" s="322"/>
      <c r="W190" s="323"/>
      <c r="X190" s="318"/>
      <c r="Y190" s="321"/>
      <c r="Z190" s="293"/>
      <c r="AA190" s="294"/>
      <c r="AB190" s="295"/>
      <c r="AC190" s="296"/>
      <c r="AD190" s="297"/>
      <c r="AE190" s="295"/>
      <c r="AF190" s="298"/>
      <c r="AG190" s="298"/>
      <c r="AH190" s="299"/>
      <c r="AI190" s="300"/>
      <c r="AJ190" s="295"/>
      <c r="AK190" s="298"/>
      <c r="AL190" s="241"/>
      <c r="AM190" s="242"/>
      <c r="AN190" s="243"/>
      <c r="AO190" s="244"/>
      <c r="AP190" s="245"/>
      <c r="AQ190" s="243"/>
      <c r="AR190" s="246"/>
      <c r="AS190" s="246"/>
      <c r="AT190" s="247"/>
      <c r="AU190" s="248"/>
      <c r="AV190" s="243"/>
      <c r="AW190" s="246"/>
      <c r="AX190" s="241"/>
      <c r="AY190" s="242"/>
      <c r="AZ190" s="243"/>
      <c r="BA190" s="244"/>
      <c r="BB190" s="245"/>
      <c r="BC190" s="243"/>
      <c r="BD190" s="246"/>
      <c r="BE190" s="246"/>
      <c r="BF190" s="247"/>
      <c r="BG190" s="248"/>
      <c r="BH190" s="243"/>
      <c r="BI190" s="246"/>
      <c r="BJ190" s="293"/>
      <c r="BK190" s="294"/>
      <c r="BL190" s="295"/>
      <c r="BM190" s="296"/>
      <c r="BN190" s="297"/>
      <c r="BO190" s="295"/>
      <c r="BP190" s="298"/>
      <c r="BQ190" s="298"/>
      <c r="BR190" s="299"/>
      <c r="BS190" s="300"/>
      <c r="BT190" s="295"/>
      <c r="BU190" s="298"/>
    </row>
    <row r="191" spans="1:73" ht="14.4">
      <c r="A191" s="1240">
        <v>30</v>
      </c>
      <c r="B191" s="533"/>
      <c r="C191" s="545"/>
      <c r="D191" s="546"/>
      <c r="E191" s="547"/>
      <c r="F191" s="545"/>
      <c r="G191" s="546"/>
      <c r="H191" s="547"/>
      <c r="I191" s="774"/>
      <c r="J191" s="533"/>
      <c r="K191" s="548"/>
      <c r="L191" s="546"/>
      <c r="M191" s="547"/>
      <c r="N191" s="305"/>
      <c r="O191" s="302"/>
      <c r="P191" s="303"/>
      <c r="Q191" s="304"/>
      <c r="R191" s="302"/>
      <c r="S191" s="303"/>
      <c r="T191" s="304"/>
      <c r="U191" s="304"/>
      <c r="V191" s="305"/>
      <c r="W191" s="306"/>
      <c r="X191" s="303"/>
      <c r="Y191" s="304"/>
      <c r="Z191" s="280"/>
      <c r="AA191" s="277"/>
      <c r="AB191" s="278"/>
      <c r="AC191" s="279"/>
      <c r="AD191" s="277"/>
      <c r="AE191" s="278"/>
      <c r="AF191" s="279"/>
      <c r="AG191" s="279"/>
      <c r="AH191" s="280"/>
      <c r="AI191" s="281"/>
      <c r="AJ191" s="278"/>
      <c r="AK191" s="279"/>
      <c r="AL191" s="193" t="s">
        <v>47</v>
      </c>
      <c r="AM191" s="190">
        <v>1</v>
      </c>
      <c r="AN191" s="191"/>
      <c r="AO191" s="192"/>
      <c r="AP191" s="190"/>
      <c r="AQ191" s="191"/>
      <c r="AR191" s="192">
        <v>1</v>
      </c>
      <c r="AS191" s="192" t="s">
        <v>244</v>
      </c>
      <c r="AT191" s="193" t="s">
        <v>31</v>
      </c>
      <c r="AU191" s="194" t="s">
        <v>504</v>
      </c>
      <c r="AV191" s="191" t="s">
        <v>343</v>
      </c>
      <c r="AW191" s="192" t="s">
        <v>292</v>
      </c>
      <c r="AX191" s="193" t="s">
        <v>505</v>
      </c>
      <c r="AY191" s="190">
        <v>1</v>
      </c>
      <c r="AZ191" s="191"/>
      <c r="BA191" s="192"/>
      <c r="BB191" s="190"/>
      <c r="BC191" s="191">
        <v>1</v>
      </c>
      <c r="BD191" s="192"/>
      <c r="BE191" s="192" t="s">
        <v>244</v>
      </c>
      <c r="BF191" s="193" t="s">
        <v>31</v>
      </c>
      <c r="BG191" s="194" t="s">
        <v>506</v>
      </c>
      <c r="BH191" s="191" t="s">
        <v>507</v>
      </c>
      <c r="BI191" s="192" t="s">
        <v>439</v>
      </c>
      <c r="BJ191" s="193"/>
      <c r="BK191" s="190"/>
      <c r="BL191" s="191"/>
      <c r="BM191" s="192"/>
      <c r="BN191" s="190"/>
      <c r="BO191" s="191"/>
      <c r="BP191" s="192"/>
      <c r="BQ191" s="192"/>
      <c r="BR191" s="193"/>
      <c r="BS191" s="194"/>
      <c r="BT191" s="191"/>
      <c r="BU191" s="192"/>
    </row>
    <row r="192" spans="1:73" ht="14.4">
      <c r="A192" s="1241"/>
      <c r="B192" s="549"/>
      <c r="C192" s="554"/>
      <c r="D192" s="686"/>
      <c r="E192" s="687"/>
      <c r="F192" s="554"/>
      <c r="G192" s="686"/>
      <c r="H192" s="687"/>
      <c r="I192" s="775"/>
      <c r="J192" s="688"/>
      <c r="K192" s="689"/>
      <c r="L192" s="686"/>
      <c r="M192" s="687"/>
      <c r="N192" s="307"/>
      <c r="O192" s="204"/>
      <c r="P192" s="695"/>
      <c r="Q192" s="696"/>
      <c r="R192" s="204"/>
      <c r="S192" s="695"/>
      <c r="T192" s="696"/>
      <c r="U192" s="696"/>
      <c r="V192" s="356"/>
      <c r="W192" s="205"/>
      <c r="X192" s="695"/>
      <c r="Y192" s="696"/>
      <c r="Z192" s="283"/>
      <c r="AA192" s="196"/>
      <c r="AB192" s="345"/>
      <c r="AC192" s="346"/>
      <c r="AD192" s="196"/>
      <c r="AE192" s="345"/>
      <c r="AF192" s="346"/>
      <c r="AG192" s="346"/>
      <c r="AH192" s="347"/>
      <c r="AI192" s="197"/>
      <c r="AJ192" s="345"/>
      <c r="AK192" s="346"/>
      <c r="AL192" s="212"/>
      <c r="AM192" s="213"/>
      <c r="AN192" s="332"/>
      <c r="AO192" s="333"/>
      <c r="AP192" s="213"/>
      <c r="AQ192" s="332"/>
      <c r="AR192" s="333"/>
      <c r="AS192" s="333"/>
      <c r="AT192" s="331"/>
      <c r="AU192" s="260"/>
      <c r="AV192" s="332"/>
      <c r="AW192" s="333"/>
      <c r="AX192" s="212"/>
      <c r="AY192" s="213"/>
      <c r="AZ192" s="332"/>
      <c r="BA192" s="333"/>
      <c r="BB192" s="213"/>
      <c r="BC192" s="332"/>
      <c r="BD192" s="333"/>
      <c r="BE192" s="333"/>
      <c r="BF192" s="331"/>
      <c r="BG192" s="260"/>
      <c r="BH192" s="332"/>
      <c r="BI192" s="333"/>
      <c r="BJ192" s="212"/>
      <c r="BK192" s="213"/>
      <c r="BL192" s="332"/>
      <c r="BM192" s="333"/>
      <c r="BN192" s="213"/>
      <c r="BO192" s="332"/>
      <c r="BP192" s="333"/>
      <c r="BQ192" s="333"/>
      <c r="BR192" s="331"/>
      <c r="BS192" s="260"/>
      <c r="BT192" s="332"/>
      <c r="BU192" s="333"/>
    </row>
    <row r="193" spans="1:73" ht="14.4">
      <c r="A193" s="1241"/>
      <c r="B193" s="549"/>
      <c r="C193" s="554"/>
      <c r="D193" s="686"/>
      <c r="E193" s="687"/>
      <c r="F193" s="554"/>
      <c r="G193" s="686"/>
      <c r="H193" s="687"/>
      <c r="I193" s="775"/>
      <c r="J193" s="688"/>
      <c r="K193" s="689"/>
      <c r="L193" s="686"/>
      <c r="M193" s="687"/>
      <c r="N193" s="307"/>
      <c r="O193" s="204"/>
      <c r="P193" s="695"/>
      <c r="Q193" s="696"/>
      <c r="R193" s="204"/>
      <c r="S193" s="695"/>
      <c r="T193" s="696"/>
      <c r="U193" s="696"/>
      <c r="V193" s="356"/>
      <c r="W193" s="205"/>
      <c r="X193" s="695"/>
      <c r="Y193" s="696"/>
      <c r="Z193" s="283"/>
      <c r="AA193" s="196"/>
      <c r="AB193" s="345"/>
      <c r="AC193" s="346"/>
      <c r="AD193" s="196"/>
      <c r="AE193" s="345"/>
      <c r="AF193" s="346"/>
      <c r="AG193" s="346"/>
      <c r="AH193" s="347"/>
      <c r="AI193" s="197"/>
      <c r="AJ193" s="345"/>
      <c r="AK193" s="346"/>
      <c r="AL193" s="212"/>
      <c r="AM193" s="213"/>
      <c r="AN193" s="332"/>
      <c r="AO193" s="333"/>
      <c r="AP193" s="213"/>
      <c r="AQ193" s="332"/>
      <c r="AR193" s="333"/>
      <c r="AS193" s="333"/>
      <c r="AT193" s="331"/>
      <c r="AU193" s="260"/>
      <c r="AV193" s="332"/>
      <c r="AW193" s="333"/>
      <c r="AX193" s="212"/>
      <c r="AY193" s="213"/>
      <c r="AZ193" s="332"/>
      <c r="BA193" s="333"/>
      <c r="BB193" s="213"/>
      <c r="BC193" s="332"/>
      <c r="BD193" s="333"/>
      <c r="BE193" s="333"/>
      <c r="BF193" s="331"/>
      <c r="BG193" s="260"/>
      <c r="BH193" s="332"/>
      <c r="BI193" s="333"/>
      <c r="BJ193" s="212"/>
      <c r="BK193" s="213"/>
      <c r="BL193" s="332"/>
      <c r="BM193" s="333"/>
      <c r="BN193" s="213"/>
      <c r="BO193" s="332"/>
      <c r="BP193" s="333"/>
      <c r="BQ193" s="333"/>
      <c r="BR193" s="331"/>
      <c r="BS193" s="260"/>
      <c r="BT193" s="332"/>
      <c r="BU193" s="333"/>
    </row>
    <row r="194" spans="1:73" ht="14.4">
      <c r="A194" s="1241"/>
      <c r="B194" s="549"/>
      <c r="C194" s="554"/>
      <c r="D194" s="686"/>
      <c r="E194" s="687"/>
      <c r="F194" s="554"/>
      <c r="G194" s="686"/>
      <c r="H194" s="687"/>
      <c r="I194" s="775"/>
      <c r="J194" s="688"/>
      <c r="K194" s="689"/>
      <c r="L194" s="686"/>
      <c r="M194" s="687"/>
      <c r="N194" s="307"/>
      <c r="O194" s="204"/>
      <c r="P194" s="695"/>
      <c r="Q194" s="696"/>
      <c r="R194" s="204"/>
      <c r="S194" s="695"/>
      <c r="T194" s="696"/>
      <c r="U194" s="696"/>
      <c r="V194" s="356"/>
      <c r="W194" s="205"/>
      <c r="X194" s="695"/>
      <c r="Y194" s="696"/>
      <c r="Z194" s="283"/>
      <c r="AA194" s="196"/>
      <c r="AB194" s="345"/>
      <c r="AC194" s="346"/>
      <c r="AD194" s="196"/>
      <c r="AE194" s="345"/>
      <c r="AF194" s="346"/>
      <c r="AG194" s="346"/>
      <c r="AH194" s="347"/>
      <c r="AI194" s="197"/>
      <c r="AJ194" s="345"/>
      <c r="AK194" s="346"/>
      <c r="AL194" s="212"/>
      <c r="AM194" s="213"/>
      <c r="AN194" s="332"/>
      <c r="AO194" s="333"/>
      <c r="AP194" s="213"/>
      <c r="AQ194" s="332"/>
      <c r="AR194" s="333"/>
      <c r="AS194" s="333"/>
      <c r="AT194" s="331"/>
      <c r="AU194" s="260"/>
      <c r="AV194" s="332"/>
      <c r="AW194" s="333"/>
      <c r="AX194" s="212"/>
      <c r="AY194" s="213"/>
      <c r="AZ194" s="332"/>
      <c r="BA194" s="333"/>
      <c r="BB194" s="213"/>
      <c r="BC194" s="332"/>
      <c r="BD194" s="333"/>
      <c r="BE194" s="333"/>
      <c r="BF194" s="331"/>
      <c r="BG194" s="260"/>
      <c r="BH194" s="332"/>
      <c r="BI194" s="333"/>
      <c r="BJ194" s="212"/>
      <c r="BK194" s="213"/>
      <c r="BL194" s="332"/>
      <c r="BM194" s="333"/>
      <c r="BN194" s="213"/>
      <c r="BO194" s="332"/>
      <c r="BP194" s="333"/>
      <c r="BQ194" s="333"/>
      <c r="BR194" s="331"/>
      <c r="BS194" s="260"/>
      <c r="BT194" s="332"/>
      <c r="BU194" s="333"/>
    </row>
    <row r="195" spans="1:73" ht="14.4">
      <c r="A195" s="1242"/>
      <c r="B195" s="549"/>
      <c r="C195" s="554"/>
      <c r="D195" s="551"/>
      <c r="E195" s="555"/>
      <c r="F195" s="556"/>
      <c r="G195" s="551"/>
      <c r="H195" s="555"/>
      <c r="I195" s="776"/>
      <c r="J195" s="537"/>
      <c r="K195" s="538"/>
      <c r="L195" s="535"/>
      <c r="M195" s="536"/>
      <c r="N195" s="307"/>
      <c r="O195" s="204"/>
      <c r="P195" s="308"/>
      <c r="Q195" s="309"/>
      <c r="R195" s="310"/>
      <c r="S195" s="308"/>
      <c r="T195" s="309"/>
      <c r="U195" s="311"/>
      <c r="V195" s="312"/>
      <c r="W195" s="313"/>
      <c r="X195" s="314"/>
      <c r="Y195" s="311"/>
      <c r="Z195" s="283"/>
      <c r="AA195" s="196"/>
      <c r="AB195" s="284"/>
      <c r="AC195" s="285"/>
      <c r="AD195" s="292"/>
      <c r="AE195" s="284"/>
      <c r="AF195" s="285"/>
      <c r="AG195" s="287"/>
      <c r="AH195" s="288"/>
      <c r="AI195" s="289"/>
      <c r="AJ195" s="290"/>
      <c r="AK195" s="287"/>
      <c r="AL195" s="212" t="s">
        <v>54</v>
      </c>
      <c r="AM195" s="213">
        <v>1</v>
      </c>
      <c r="AN195" s="214"/>
      <c r="AO195" s="215"/>
      <c r="AP195" s="222"/>
      <c r="AQ195" s="214"/>
      <c r="AR195" s="215">
        <v>1</v>
      </c>
      <c r="AS195" s="217" t="s">
        <v>244</v>
      </c>
      <c r="AT195" s="218" t="s">
        <v>104</v>
      </c>
      <c r="AU195" s="219" t="s">
        <v>508</v>
      </c>
      <c r="AV195" s="220" t="s">
        <v>509</v>
      </c>
      <c r="AW195" s="217" t="s">
        <v>510</v>
      </c>
      <c r="AX195" s="212" t="s">
        <v>72</v>
      </c>
      <c r="AY195" s="213"/>
      <c r="AZ195" s="214">
        <v>1</v>
      </c>
      <c r="BA195" s="215"/>
      <c r="BB195" s="222">
        <v>1</v>
      </c>
      <c r="BC195" s="214"/>
      <c r="BD195" s="215"/>
      <c r="BE195" s="217" t="s">
        <v>251</v>
      </c>
      <c r="BF195" s="218" t="s">
        <v>80</v>
      </c>
      <c r="BG195" s="219" t="s">
        <v>511</v>
      </c>
      <c r="BH195" s="220" t="s">
        <v>512</v>
      </c>
      <c r="BI195" s="217" t="s">
        <v>257</v>
      </c>
      <c r="BJ195" s="212"/>
      <c r="BK195" s="213"/>
      <c r="BL195" s="214"/>
      <c r="BM195" s="215"/>
      <c r="BN195" s="222"/>
      <c r="BO195" s="214"/>
      <c r="BP195" s="215"/>
      <c r="BQ195" s="217"/>
      <c r="BR195" s="218"/>
      <c r="BS195" s="219"/>
      <c r="BT195" s="220"/>
      <c r="BU195" s="217"/>
    </row>
    <row r="196" spans="1:73" ht="14.4">
      <c r="A196" s="1242"/>
      <c r="B196" s="549"/>
      <c r="C196" s="550"/>
      <c r="D196" s="551"/>
      <c r="E196" s="555"/>
      <c r="F196" s="556"/>
      <c r="G196" s="551"/>
      <c r="H196" s="555"/>
      <c r="I196" s="776"/>
      <c r="J196" s="537"/>
      <c r="K196" s="538"/>
      <c r="L196" s="535"/>
      <c r="M196" s="536"/>
      <c r="N196" s="307"/>
      <c r="O196" s="315"/>
      <c r="P196" s="308"/>
      <c r="Q196" s="309"/>
      <c r="R196" s="310"/>
      <c r="S196" s="308"/>
      <c r="T196" s="309"/>
      <c r="U196" s="311"/>
      <c r="V196" s="312"/>
      <c r="W196" s="313"/>
      <c r="X196" s="314"/>
      <c r="Y196" s="311"/>
      <c r="Z196" s="283"/>
      <c r="AA196" s="291"/>
      <c r="AB196" s="284"/>
      <c r="AC196" s="285"/>
      <c r="AD196" s="292"/>
      <c r="AE196" s="284"/>
      <c r="AF196" s="285"/>
      <c r="AG196" s="287"/>
      <c r="AH196" s="288"/>
      <c r="AI196" s="289"/>
      <c r="AJ196" s="290"/>
      <c r="AK196" s="287"/>
      <c r="AL196" s="212"/>
      <c r="AM196" s="221"/>
      <c r="AN196" s="214"/>
      <c r="AO196" s="215"/>
      <c r="AP196" s="222"/>
      <c r="AQ196" s="214"/>
      <c r="AR196" s="215"/>
      <c r="AS196" s="217"/>
      <c r="AT196" s="218"/>
      <c r="AU196" s="219"/>
      <c r="AV196" s="220"/>
      <c r="AW196" s="217"/>
      <c r="AX196" s="212" t="s">
        <v>505</v>
      </c>
      <c r="AY196" s="221">
        <v>1</v>
      </c>
      <c r="AZ196" s="214"/>
      <c r="BA196" s="215"/>
      <c r="BB196" s="222"/>
      <c r="BC196" s="214">
        <v>1</v>
      </c>
      <c r="BD196" s="215"/>
      <c r="BE196" s="217" t="s">
        <v>491</v>
      </c>
      <c r="BF196" s="218" t="s">
        <v>31</v>
      </c>
      <c r="BG196" s="219" t="s">
        <v>513</v>
      </c>
      <c r="BH196" s="220" t="s">
        <v>507</v>
      </c>
      <c r="BI196" s="217" t="s">
        <v>439</v>
      </c>
      <c r="BJ196" s="212"/>
      <c r="BK196" s="221"/>
      <c r="BL196" s="214"/>
      <c r="BM196" s="215"/>
      <c r="BN196" s="222"/>
      <c r="BO196" s="214"/>
      <c r="BP196" s="215"/>
      <c r="BQ196" s="217"/>
      <c r="BR196" s="218"/>
      <c r="BS196" s="219"/>
      <c r="BT196" s="220"/>
      <c r="BU196" s="217"/>
    </row>
    <row r="197" spans="1:73" ht="15" thickBot="1">
      <c r="A197" s="1243"/>
      <c r="B197" s="557"/>
      <c r="C197" s="553"/>
      <c r="D197" s="539"/>
      <c r="E197" s="558"/>
      <c r="F197" s="559"/>
      <c r="G197" s="539"/>
      <c r="H197" s="540"/>
      <c r="I197" s="777"/>
      <c r="J197" s="542"/>
      <c r="K197" s="543"/>
      <c r="L197" s="539"/>
      <c r="M197" s="540"/>
      <c r="N197" s="316"/>
      <c r="O197" s="317"/>
      <c r="P197" s="318"/>
      <c r="Q197" s="319"/>
      <c r="R197" s="320"/>
      <c r="S197" s="318"/>
      <c r="T197" s="321"/>
      <c r="U197" s="321"/>
      <c r="V197" s="322"/>
      <c r="W197" s="323"/>
      <c r="X197" s="318"/>
      <c r="Y197" s="321"/>
      <c r="Z197" s="293"/>
      <c r="AA197" s="294"/>
      <c r="AB197" s="295"/>
      <c r="AC197" s="296"/>
      <c r="AD197" s="297"/>
      <c r="AE197" s="295"/>
      <c r="AF197" s="298"/>
      <c r="AG197" s="298"/>
      <c r="AH197" s="299"/>
      <c r="AI197" s="300"/>
      <c r="AJ197" s="295"/>
      <c r="AK197" s="298"/>
      <c r="AL197" s="241"/>
      <c r="AM197" s="242"/>
      <c r="AN197" s="243"/>
      <c r="AO197" s="244"/>
      <c r="AP197" s="245"/>
      <c r="AQ197" s="243"/>
      <c r="AR197" s="246"/>
      <c r="AS197" s="246"/>
      <c r="AT197" s="247"/>
      <c r="AU197" s="248"/>
      <c r="AV197" s="243"/>
      <c r="AW197" s="246"/>
      <c r="AX197" s="241"/>
      <c r="AY197" s="242"/>
      <c r="AZ197" s="243"/>
      <c r="BA197" s="244"/>
      <c r="BB197" s="245"/>
      <c r="BC197" s="243"/>
      <c r="BD197" s="246"/>
      <c r="BE197" s="246"/>
      <c r="BF197" s="247"/>
      <c r="BG197" s="248"/>
      <c r="BH197" s="243"/>
      <c r="BI197" s="246"/>
      <c r="BJ197" s="241"/>
      <c r="BK197" s="242"/>
      <c r="BL197" s="243"/>
      <c r="BM197" s="244"/>
      <c r="BN197" s="245"/>
      <c r="BO197" s="243"/>
      <c r="BP197" s="246"/>
      <c r="BQ197" s="246"/>
      <c r="BR197" s="247"/>
      <c r="BS197" s="248"/>
      <c r="BT197" s="243"/>
      <c r="BU197" s="246"/>
    </row>
    <row r="198" spans="1:73" ht="14.4">
      <c r="A198" s="1240">
        <v>31</v>
      </c>
      <c r="B198" s="533"/>
      <c r="C198" s="545"/>
      <c r="D198" s="546"/>
      <c r="E198" s="547"/>
      <c r="F198" s="545"/>
      <c r="G198" s="546"/>
      <c r="H198" s="547"/>
      <c r="I198" s="774"/>
      <c r="J198" s="533"/>
      <c r="K198" s="548"/>
      <c r="L198" s="546"/>
      <c r="M198" s="547"/>
      <c r="N198" s="305"/>
      <c r="O198" s="302"/>
      <c r="P198" s="303"/>
      <c r="Q198" s="304"/>
      <c r="R198" s="302"/>
      <c r="S198" s="303"/>
      <c r="T198" s="304"/>
      <c r="U198" s="304"/>
      <c r="V198" s="305"/>
      <c r="W198" s="306"/>
      <c r="X198" s="303"/>
      <c r="Y198" s="304"/>
      <c r="Z198" s="193" t="s">
        <v>261</v>
      </c>
      <c r="AA198" s="190"/>
      <c r="AB198" s="191"/>
      <c r="AC198" s="192"/>
      <c r="AD198" s="190"/>
      <c r="AE198" s="191"/>
      <c r="AF198" s="192"/>
      <c r="AG198" s="192"/>
      <c r="AH198" s="193"/>
      <c r="AI198" s="194"/>
      <c r="AJ198" s="191"/>
      <c r="AK198" s="192"/>
      <c r="AL198" s="305"/>
      <c r="AM198" s="302"/>
      <c r="AN198" s="303"/>
      <c r="AO198" s="304"/>
      <c r="AP198" s="302"/>
      <c r="AQ198" s="303"/>
      <c r="AR198" s="304"/>
      <c r="AS198" s="304"/>
      <c r="AT198" s="305"/>
      <c r="AU198" s="306"/>
      <c r="AV198" s="303"/>
      <c r="AW198" s="304"/>
      <c r="AX198" s="305"/>
      <c r="AY198" s="302"/>
      <c r="AZ198" s="303"/>
      <c r="BA198" s="304"/>
      <c r="BB198" s="302"/>
      <c r="BC198" s="303"/>
      <c r="BD198" s="304"/>
      <c r="BE198" s="304"/>
      <c r="BF198" s="305"/>
      <c r="BG198" s="306"/>
      <c r="BH198" s="303"/>
      <c r="BI198" s="304"/>
      <c r="BJ198" s="193"/>
      <c r="BK198" s="190"/>
      <c r="BL198" s="191"/>
      <c r="BM198" s="192"/>
      <c r="BN198" s="190"/>
      <c r="BO198" s="191"/>
      <c r="BP198" s="192"/>
      <c r="BQ198" s="192"/>
      <c r="BR198" s="193"/>
      <c r="BS198" s="194"/>
      <c r="BT198" s="191"/>
      <c r="BU198" s="192"/>
    </row>
    <row r="199" spans="1:73" ht="14.4">
      <c r="A199" s="1241"/>
      <c r="B199" s="549"/>
      <c r="C199" s="554"/>
      <c r="D199" s="686"/>
      <c r="E199" s="687"/>
      <c r="F199" s="554"/>
      <c r="G199" s="686"/>
      <c r="H199" s="687"/>
      <c r="I199" s="775"/>
      <c r="J199" s="688"/>
      <c r="K199" s="689"/>
      <c r="L199" s="686"/>
      <c r="M199" s="687"/>
      <c r="N199" s="307"/>
      <c r="O199" s="204"/>
      <c r="P199" s="695"/>
      <c r="Q199" s="696"/>
      <c r="R199" s="204"/>
      <c r="S199" s="695"/>
      <c r="T199" s="696"/>
      <c r="U199" s="696"/>
      <c r="V199" s="356"/>
      <c r="W199" s="205"/>
      <c r="X199" s="695"/>
      <c r="Y199" s="696"/>
      <c r="Z199" s="212"/>
      <c r="AA199" s="213"/>
      <c r="AB199" s="332"/>
      <c r="AC199" s="333"/>
      <c r="AD199" s="213"/>
      <c r="AE199" s="332"/>
      <c r="AF199" s="333"/>
      <c r="AG199" s="333"/>
      <c r="AH199" s="331"/>
      <c r="AI199" s="260"/>
      <c r="AJ199" s="332"/>
      <c r="AK199" s="333"/>
      <c r="AL199" s="307"/>
      <c r="AM199" s="204"/>
      <c r="AN199" s="695"/>
      <c r="AO199" s="696"/>
      <c r="AP199" s="204"/>
      <c r="AQ199" s="695"/>
      <c r="AR199" s="696"/>
      <c r="AS199" s="696"/>
      <c r="AT199" s="356"/>
      <c r="AU199" s="205"/>
      <c r="AV199" s="695"/>
      <c r="AW199" s="696"/>
      <c r="AX199" s="307"/>
      <c r="AY199" s="204"/>
      <c r="AZ199" s="695"/>
      <c r="BA199" s="696"/>
      <c r="BB199" s="204"/>
      <c r="BC199" s="695"/>
      <c r="BD199" s="696"/>
      <c r="BE199" s="696"/>
      <c r="BF199" s="356"/>
      <c r="BG199" s="205"/>
      <c r="BH199" s="695"/>
      <c r="BI199" s="696"/>
      <c r="BJ199" s="212"/>
      <c r="BK199" s="213"/>
      <c r="BL199" s="332"/>
      <c r="BM199" s="333"/>
      <c r="BN199" s="213"/>
      <c r="BO199" s="332"/>
      <c r="BP199" s="333"/>
      <c r="BQ199" s="333"/>
      <c r="BR199" s="331"/>
      <c r="BS199" s="260"/>
      <c r="BT199" s="332"/>
      <c r="BU199" s="333"/>
    </row>
    <row r="200" spans="1:73" ht="14.4">
      <c r="A200" s="1241"/>
      <c r="B200" s="549"/>
      <c r="C200" s="554"/>
      <c r="D200" s="686"/>
      <c r="E200" s="687"/>
      <c r="F200" s="554"/>
      <c r="G200" s="686"/>
      <c r="H200" s="687"/>
      <c r="I200" s="775"/>
      <c r="J200" s="688"/>
      <c r="K200" s="689"/>
      <c r="L200" s="686"/>
      <c r="M200" s="687"/>
      <c r="N200" s="307"/>
      <c r="O200" s="204"/>
      <c r="P200" s="695"/>
      <c r="Q200" s="696"/>
      <c r="R200" s="204"/>
      <c r="S200" s="695"/>
      <c r="T200" s="696"/>
      <c r="U200" s="696"/>
      <c r="V200" s="356"/>
      <c r="W200" s="205"/>
      <c r="X200" s="695"/>
      <c r="Y200" s="696"/>
      <c r="Z200" s="212"/>
      <c r="AA200" s="213"/>
      <c r="AB200" s="332"/>
      <c r="AC200" s="333"/>
      <c r="AD200" s="213"/>
      <c r="AE200" s="332"/>
      <c r="AF200" s="333"/>
      <c r="AG200" s="333"/>
      <c r="AH200" s="331"/>
      <c r="AI200" s="260"/>
      <c r="AJ200" s="332"/>
      <c r="AK200" s="333"/>
      <c r="AL200" s="307"/>
      <c r="AM200" s="204"/>
      <c r="AN200" s="695"/>
      <c r="AO200" s="696"/>
      <c r="AP200" s="204"/>
      <c r="AQ200" s="695"/>
      <c r="AR200" s="696"/>
      <c r="AS200" s="696"/>
      <c r="AT200" s="356"/>
      <c r="AU200" s="205"/>
      <c r="AV200" s="695"/>
      <c r="AW200" s="696"/>
      <c r="AX200" s="307"/>
      <c r="AY200" s="204"/>
      <c r="AZ200" s="695"/>
      <c r="BA200" s="696"/>
      <c r="BB200" s="204"/>
      <c r="BC200" s="695"/>
      <c r="BD200" s="696"/>
      <c r="BE200" s="696"/>
      <c r="BF200" s="356"/>
      <c r="BG200" s="205"/>
      <c r="BH200" s="695"/>
      <c r="BI200" s="696"/>
      <c r="BJ200" s="212"/>
      <c r="BK200" s="213"/>
      <c r="BL200" s="332"/>
      <c r="BM200" s="333"/>
      <c r="BN200" s="213"/>
      <c r="BO200" s="332"/>
      <c r="BP200" s="333"/>
      <c r="BQ200" s="333"/>
      <c r="BR200" s="331"/>
      <c r="BS200" s="260"/>
      <c r="BT200" s="332"/>
      <c r="BU200" s="333"/>
    </row>
    <row r="201" spans="1:73" ht="14.4">
      <c r="A201" s="1241"/>
      <c r="B201" s="549"/>
      <c r="C201" s="554"/>
      <c r="D201" s="686"/>
      <c r="E201" s="687"/>
      <c r="F201" s="554"/>
      <c r="G201" s="686"/>
      <c r="H201" s="687"/>
      <c r="I201" s="775"/>
      <c r="J201" s="688"/>
      <c r="K201" s="689"/>
      <c r="L201" s="686"/>
      <c r="M201" s="687"/>
      <c r="N201" s="307"/>
      <c r="O201" s="204"/>
      <c r="P201" s="695"/>
      <c r="Q201" s="696"/>
      <c r="R201" s="204"/>
      <c r="S201" s="695"/>
      <c r="T201" s="696"/>
      <c r="U201" s="696"/>
      <c r="V201" s="356"/>
      <c r="W201" s="205"/>
      <c r="X201" s="695"/>
      <c r="Y201" s="696"/>
      <c r="Z201" s="212"/>
      <c r="AA201" s="213"/>
      <c r="AB201" s="332"/>
      <c r="AC201" s="333"/>
      <c r="AD201" s="213"/>
      <c r="AE201" s="332"/>
      <c r="AF201" s="333"/>
      <c r="AG201" s="333"/>
      <c r="AH201" s="331"/>
      <c r="AI201" s="260"/>
      <c r="AJ201" s="332"/>
      <c r="AK201" s="333"/>
      <c r="AL201" s="307"/>
      <c r="AM201" s="204"/>
      <c r="AN201" s="695"/>
      <c r="AO201" s="696"/>
      <c r="AP201" s="204"/>
      <c r="AQ201" s="695"/>
      <c r="AR201" s="696"/>
      <c r="AS201" s="696"/>
      <c r="AT201" s="356"/>
      <c r="AU201" s="205"/>
      <c r="AV201" s="695"/>
      <c r="AW201" s="696"/>
      <c r="AX201" s="307"/>
      <c r="AY201" s="204"/>
      <c r="AZ201" s="695"/>
      <c r="BA201" s="696"/>
      <c r="BB201" s="204"/>
      <c r="BC201" s="695"/>
      <c r="BD201" s="696"/>
      <c r="BE201" s="696"/>
      <c r="BF201" s="356"/>
      <c r="BG201" s="205"/>
      <c r="BH201" s="695"/>
      <c r="BI201" s="696"/>
      <c r="BJ201" s="212"/>
      <c r="BK201" s="213"/>
      <c r="BL201" s="332"/>
      <c r="BM201" s="333"/>
      <c r="BN201" s="213"/>
      <c r="BO201" s="332"/>
      <c r="BP201" s="333"/>
      <c r="BQ201" s="333"/>
      <c r="BR201" s="331"/>
      <c r="BS201" s="260"/>
      <c r="BT201" s="332"/>
      <c r="BU201" s="333"/>
    </row>
    <row r="202" spans="1:73" ht="14.4">
      <c r="A202" s="1242"/>
      <c r="B202" s="549"/>
      <c r="C202" s="554"/>
      <c r="D202" s="551"/>
      <c r="E202" s="555"/>
      <c r="F202" s="556"/>
      <c r="G202" s="551"/>
      <c r="H202" s="555"/>
      <c r="I202" s="776"/>
      <c r="J202" s="537"/>
      <c r="K202" s="538"/>
      <c r="L202" s="535"/>
      <c r="M202" s="536"/>
      <c r="N202" s="307"/>
      <c r="O202" s="204"/>
      <c r="P202" s="308"/>
      <c r="Q202" s="309"/>
      <c r="R202" s="310"/>
      <c r="S202" s="308"/>
      <c r="T202" s="309"/>
      <c r="U202" s="311"/>
      <c r="V202" s="312"/>
      <c r="W202" s="313"/>
      <c r="X202" s="314"/>
      <c r="Y202" s="311"/>
      <c r="Z202" s="212"/>
      <c r="AA202" s="213"/>
      <c r="AB202" s="214"/>
      <c r="AC202" s="215"/>
      <c r="AD202" s="222"/>
      <c r="AE202" s="214"/>
      <c r="AF202" s="215"/>
      <c r="AG202" s="217"/>
      <c r="AH202" s="218"/>
      <c r="AI202" s="219"/>
      <c r="AJ202" s="220"/>
      <c r="AK202" s="217"/>
      <c r="AL202" s="307"/>
      <c r="AM202" s="204"/>
      <c r="AN202" s="308"/>
      <c r="AO202" s="309"/>
      <c r="AP202" s="310"/>
      <c r="AQ202" s="308"/>
      <c r="AR202" s="309"/>
      <c r="AS202" s="311"/>
      <c r="AT202" s="312"/>
      <c r="AU202" s="313"/>
      <c r="AV202" s="314"/>
      <c r="AW202" s="311"/>
      <c r="AX202" s="307"/>
      <c r="AY202" s="204"/>
      <c r="AZ202" s="308"/>
      <c r="BA202" s="309"/>
      <c r="BB202" s="310"/>
      <c r="BC202" s="308"/>
      <c r="BD202" s="309"/>
      <c r="BE202" s="311"/>
      <c r="BF202" s="312"/>
      <c r="BG202" s="313"/>
      <c r="BH202" s="314"/>
      <c r="BI202" s="311"/>
      <c r="BJ202" s="212"/>
      <c r="BK202" s="213"/>
      <c r="BL202" s="214"/>
      <c r="BM202" s="215"/>
      <c r="BN202" s="222"/>
      <c r="BO202" s="214"/>
      <c r="BP202" s="215"/>
      <c r="BQ202" s="217"/>
      <c r="BR202" s="218"/>
      <c r="BS202" s="219"/>
      <c r="BT202" s="220"/>
      <c r="BU202" s="217"/>
    </row>
    <row r="203" spans="1:73" ht="14.4">
      <c r="A203" s="1242"/>
      <c r="B203" s="549"/>
      <c r="C203" s="550"/>
      <c r="D203" s="551"/>
      <c r="E203" s="555"/>
      <c r="F203" s="556"/>
      <c r="G203" s="551"/>
      <c r="H203" s="555"/>
      <c r="I203" s="776"/>
      <c r="J203" s="537"/>
      <c r="K203" s="538"/>
      <c r="L203" s="535"/>
      <c r="M203" s="536"/>
      <c r="N203" s="307"/>
      <c r="O203" s="315"/>
      <c r="P203" s="308"/>
      <c r="Q203" s="309"/>
      <c r="R203" s="310"/>
      <c r="S203" s="308"/>
      <c r="T203" s="309"/>
      <c r="U203" s="311"/>
      <c r="V203" s="312"/>
      <c r="W203" s="313"/>
      <c r="X203" s="314"/>
      <c r="Y203" s="311"/>
      <c r="Z203" s="212"/>
      <c r="AA203" s="221"/>
      <c r="AB203" s="214"/>
      <c r="AC203" s="215"/>
      <c r="AD203" s="222"/>
      <c r="AE203" s="214"/>
      <c r="AF203" s="215"/>
      <c r="AG203" s="217"/>
      <c r="AH203" s="218"/>
      <c r="AI203" s="219"/>
      <c r="AJ203" s="220"/>
      <c r="AK203" s="217"/>
      <c r="AL203" s="307"/>
      <c r="AM203" s="315"/>
      <c r="AN203" s="308"/>
      <c r="AO203" s="309"/>
      <c r="AP203" s="310"/>
      <c r="AQ203" s="308"/>
      <c r="AR203" s="309"/>
      <c r="AS203" s="311"/>
      <c r="AT203" s="312"/>
      <c r="AU203" s="313"/>
      <c r="AV203" s="314"/>
      <c r="AW203" s="311"/>
      <c r="AX203" s="307"/>
      <c r="AY203" s="315"/>
      <c r="AZ203" s="308"/>
      <c r="BA203" s="309"/>
      <c r="BB203" s="310"/>
      <c r="BC203" s="308"/>
      <c r="BD203" s="309"/>
      <c r="BE203" s="311"/>
      <c r="BF203" s="312"/>
      <c r="BG203" s="313"/>
      <c r="BH203" s="314"/>
      <c r="BI203" s="311"/>
      <c r="BJ203" s="212"/>
      <c r="BK203" s="221"/>
      <c r="BL203" s="214"/>
      <c r="BM203" s="215"/>
      <c r="BN203" s="222"/>
      <c r="BO203" s="214"/>
      <c r="BP203" s="215"/>
      <c r="BQ203" s="217"/>
      <c r="BR203" s="218"/>
      <c r="BS203" s="219"/>
      <c r="BT203" s="220"/>
      <c r="BU203" s="217"/>
    </row>
    <row r="204" spans="1:73" ht="14.4">
      <c r="A204" s="1243"/>
      <c r="B204" s="557"/>
      <c r="C204" s="553"/>
      <c r="D204" s="539"/>
      <c r="E204" s="558"/>
      <c r="F204" s="559"/>
      <c r="G204" s="539"/>
      <c r="H204" s="540"/>
      <c r="I204" s="777"/>
      <c r="J204" s="542"/>
      <c r="K204" s="543"/>
      <c r="L204" s="539"/>
      <c r="M204" s="540"/>
      <c r="N204" s="316"/>
      <c r="O204" s="317"/>
      <c r="P204" s="318"/>
      <c r="Q204" s="319"/>
      <c r="R204" s="320"/>
      <c r="S204" s="318"/>
      <c r="T204" s="321"/>
      <c r="U204" s="321"/>
      <c r="V204" s="322"/>
      <c r="W204" s="323"/>
      <c r="X204" s="318"/>
      <c r="Y204" s="321"/>
      <c r="Z204" s="241"/>
      <c r="AA204" s="242"/>
      <c r="AB204" s="243"/>
      <c r="AC204" s="244"/>
      <c r="AD204" s="245"/>
      <c r="AE204" s="243"/>
      <c r="AF204" s="246"/>
      <c r="AG204" s="246"/>
      <c r="AH204" s="247"/>
      <c r="AI204" s="248"/>
      <c r="AJ204" s="243"/>
      <c r="AK204" s="246"/>
      <c r="AL204" s="316"/>
      <c r="AM204" s="317"/>
      <c r="AN204" s="318"/>
      <c r="AO204" s="319"/>
      <c r="AP204" s="320"/>
      <c r="AQ204" s="318"/>
      <c r="AR204" s="321"/>
      <c r="AS204" s="321"/>
      <c r="AT204" s="322"/>
      <c r="AU204" s="323"/>
      <c r="AV204" s="318"/>
      <c r="AW204" s="321"/>
      <c r="AX204" s="316"/>
      <c r="AY204" s="317"/>
      <c r="AZ204" s="318"/>
      <c r="BA204" s="319"/>
      <c r="BB204" s="320"/>
      <c r="BC204" s="318"/>
      <c r="BD204" s="321"/>
      <c r="BE204" s="321"/>
      <c r="BF204" s="322"/>
      <c r="BG204" s="323"/>
      <c r="BH204" s="318"/>
      <c r="BI204" s="321"/>
      <c r="BJ204" s="241"/>
      <c r="BK204" s="242"/>
      <c r="BL204" s="243"/>
      <c r="BM204" s="244"/>
      <c r="BN204" s="245"/>
      <c r="BO204" s="243"/>
      <c r="BP204" s="246"/>
      <c r="BQ204" s="246"/>
      <c r="BR204" s="247"/>
      <c r="BS204" s="248"/>
      <c r="BT204" s="243"/>
      <c r="BU204" s="246"/>
    </row>
    <row r="205" spans="1:73" ht="13.2">
      <c r="B205" s="60"/>
      <c r="C205" s="391">
        <f>SUM(C4:C204)</f>
        <v>12</v>
      </c>
      <c r="D205" s="392">
        <f>SUM(D5:D204)</f>
        <v>0</v>
      </c>
      <c r="E205" s="393">
        <f>SUM(E5:E204)</f>
        <v>11</v>
      </c>
      <c r="F205" s="391">
        <f>SUM(F5:F204)</f>
        <v>4</v>
      </c>
      <c r="G205" s="394">
        <f>SUM(G5:G204)</f>
        <v>19</v>
      </c>
      <c r="H205" s="393">
        <f>SUM(H5:H204)</f>
        <v>0</v>
      </c>
      <c r="I205" s="802"/>
      <c r="J205" s="395"/>
      <c r="K205" s="395"/>
      <c r="N205" s="60"/>
      <c r="O205" s="391">
        <f>SUM(O4:O204)</f>
        <v>20</v>
      </c>
      <c r="P205" s="392">
        <f>SUM(P5:P204)</f>
        <v>4</v>
      </c>
      <c r="Q205" s="393">
        <f>SUM(Q5:Q204)</f>
        <v>1</v>
      </c>
      <c r="R205" s="391">
        <f>SUM(R5:R204)</f>
        <v>11</v>
      </c>
      <c r="S205" s="394">
        <f>SUM(S5:S204)</f>
        <v>1</v>
      </c>
      <c r="T205" s="393">
        <f>SUM(T5:T204)</f>
        <v>13</v>
      </c>
      <c r="U205" s="395"/>
      <c r="V205" s="395"/>
      <c r="W205" s="395"/>
      <c r="Z205" s="60"/>
      <c r="AA205" s="391">
        <f>SUM(AA4:AA204)</f>
        <v>18</v>
      </c>
      <c r="AB205" s="392">
        <f>SUM(AB5:AB204)</f>
        <v>6</v>
      </c>
      <c r="AC205" s="393">
        <f>SUM(AC5:AC204)</f>
        <v>0</v>
      </c>
      <c r="AD205" s="391">
        <f>SUM(AD5:AD204)</f>
        <v>13</v>
      </c>
      <c r="AE205" s="394">
        <f>SUM(AE5:AE204)</f>
        <v>0</v>
      </c>
      <c r="AF205" s="393">
        <f>SUM(AF5:AF204)</f>
        <v>11</v>
      </c>
      <c r="AG205" s="395"/>
      <c r="AH205" s="395"/>
      <c r="AI205" s="395"/>
      <c r="AL205" s="60"/>
      <c r="AM205" s="391">
        <f>SUM(AM4:AM204)</f>
        <v>24</v>
      </c>
      <c r="AN205" s="392">
        <f>SUM(AN5:AN204)</f>
        <v>6</v>
      </c>
      <c r="AO205" s="393">
        <f>SUM(AO5:AO204)</f>
        <v>0</v>
      </c>
      <c r="AP205" s="391">
        <f>SUM(AP5:AP204)</f>
        <v>16</v>
      </c>
      <c r="AQ205" s="394">
        <f>SUM(AQ5:AQ204)</f>
        <v>1</v>
      </c>
      <c r="AR205" s="393">
        <f>SUM(AR5:AR204)</f>
        <v>13</v>
      </c>
      <c r="AS205" s="395"/>
      <c r="AT205" s="395"/>
      <c r="AU205" s="395"/>
      <c r="AX205" s="60"/>
      <c r="AY205" s="391">
        <f>SUM(AY4:AY204)</f>
        <v>21</v>
      </c>
      <c r="AZ205" s="392">
        <f>SUM(AZ5:AZ204)</f>
        <v>8</v>
      </c>
      <c r="BA205" s="393">
        <f>SUM(BA5:BA204)</f>
        <v>1</v>
      </c>
      <c r="BB205" s="391">
        <f>SUM(BB5:BB204)</f>
        <v>14</v>
      </c>
      <c r="BC205" s="394">
        <f>SUM(BC5:BC204)</f>
        <v>13</v>
      </c>
      <c r="BD205" s="393">
        <f>SUM(BD5:BD204)</f>
        <v>3</v>
      </c>
      <c r="BE205" s="395"/>
      <c r="BF205" s="395"/>
      <c r="BG205" s="395"/>
      <c r="BJ205" s="60"/>
      <c r="BK205" s="391">
        <f>SUM(BK4:BK204)</f>
        <v>5</v>
      </c>
      <c r="BL205" s="392">
        <f>SUM(BL5:BL204)</f>
        <v>2</v>
      </c>
      <c r="BM205" s="393">
        <f>SUM(BM5:BM204)</f>
        <v>0</v>
      </c>
      <c r="BN205" s="391">
        <f>SUM(BN5:BN204)</f>
        <v>3</v>
      </c>
      <c r="BO205" s="394">
        <f>SUM(BO5:BO204)</f>
        <v>4</v>
      </c>
      <c r="BP205" s="393">
        <f>SUM(BP5:BP204)</f>
        <v>0</v>
      </c>
      <c r="BQ205" s="395"/>
      <c r="BR205" s="395"/>
      <c r="BS205" s="395"/>
    </row>
    <row r="206" spans="1:73" ht="14.4">
      <c r="B206" s="60"/>
      <c r="C206" s="396" t="s">
        <v>230</v>
      </c>
      <c r="D206" s="397" t="s">
        <v>231</v>
      </c>
      <c r="E206" s="398" t="s">
        <v>232</v>
      </c>
      <c r="F206" s="399" t="s">
        <v>526</v>
      </c>
      <c r="G206" s="400" t="s">
        <v>527</v>
      </c>
      <c r="H206" s="401" t="s">
        <v>528</v>
      </c>
      <c r="I206" s="802"/>
      <c r="J206" s="395"/>
      <c r="K206" s="395"/>
      <c r="N206" s="60"/>
      <c r="O206" s="402" t="s">
        <v>230</v>
      </c>
      <c r="P206" s="403" t="s">
        <v>231</v>
      </c>
      <c r="Q206" s="404" t="s">
        <v>232</v>
      </c>
      <c r="R206" s="405" t="s">
        <v>233</v>
      </c>
      <c r="S206" s="406" t="s">
        <v>234</v>
      </c>
      <c r="T206" s="407" t="s">
        <v>235</v>
      </c>
      <c r="U206" s="395"/>
      <c r="V206" s="395"/>
      <c r="W206" s="395"/>
      <c r="Z206" s="60"/>
      <c r="AA206" s="396" t="s">
        <v>230</v>
      </c>
      <c r="AB206" s="397" t="s">
        <v>231</v>
      </c>
      <c r="AC206" s="398" t="s">
        <v>232</v>
      </c>
      <c r="AD206" s="399" t="s">
        <v>233</v>
      </c>
      <c r="AE206" s="400" t="s">
        <v>234</v>
      </c>
      <c r="AF206" s="401" t="s">
        <v>235</v>
      </c>
      <c r="AG206" s="395"/>
      <c r="AH206" s="395"/>
      <c r="AI206" s="395"/>
      <c r="AL206" s="60"/>
      <c r="AM206" s="402" t="s">
        <v>230</v>
      </c>
      <c r="AN206" s="403" t="s">
        <v>231</v>
      </c>
      <c r="AO206" s="404" t="s">
        <v>232</v>
      </c>
      <c r="AP206" s="405" t="s">
        <v>233</v>
      </c>
      <c r="AQ206" s="406" t="s">
        <v>234</v>
      </c>
      <c r="AR206" s="407" t="s">
        <v>235</v>
      </c>
      <c r="AS206" s="395"/>
      <c r="AT206" s="395"/>
      <c r="AU206" s="395"/>
      <c r="AX206" s="60"/>
      <c r="AY206" s="396" t="s">
        <v>230</v>
      </c>
      <c r="AZ206" s="397" t="s">
        <v>231</v>
      </c>
      <c r="BA206" s="398" t="s">
        <v>232</v>
      </c>
      <c r="BB206" s="399" t="s">
        <v>233</v>
      </c>
      <c r="BC206" s="400" t="s">
        <v>234</v>
      </c>
      <c r="BD206" s="401" t="s">
        <v>235</v>
      </c>
      <c r="BE206" s="395"/>
      <c r="BF206" s="395"/>
      <c r="BG206" s="395"/>
      <c r="BJ206" s="60"/>
      <c r="BK206" s="396" t="s">
        <v>230</v>
      </c>
      <c r="BL206" s="397" t="s">
        <v>231</v>
      </c>
      <c r="BM206" s="398" t="s">
        <v>232</v>
      </c>
      <c r="BN206" s="399" t="s">
        <v>233</v>
      </c>
      <c r="BO206" s="400" t="s">
        <v>234</v>
      </c>
      <c r="BP206" s="401" t="s">
        <v>235</v>
      </c>
      <c r="BQ206" s="395"/>
      <c r="BR206" s="395"/>
      <c r="BS206" s="395"/>
    </row>
    <row r="207" spans="1:73" ht="13.2">
      <c r="B207" s="60"/>
      <c r="C207" s="60"/>
      <c r="F207" s="395"/>
      <c r="G207" s="395"/>
      <c r="H207" s="395"/>
      <c r="I207" s="802"/>
      <c r="J207" s="395"/>
      <c r="K207" s="395"/>
      <c r="N207" s="60"/>
      <c r="O207" s="60"/>
      <c r="R207" s="395"/>
      <c r="S207" s="395"/>
      <c r="T207" s="395"/>
      <c r="U207" s="395"/>
      <c r="V207" s="395"/>
      <c r="W207" s="395"/>
      <c r="Z207" s="60"/>
      <c r="AA207" s="60"/>
      <c r="AD207" s="395"/>
      <c r="AE207" s="395"/>
      <c r="AF207" s="395"/>
      <c r="AG207" s="395"/>
      <c r="AH207" s="395"/>
      <c r="AI207" s="395"/>
      <c r="AL207" s="60"/>
      <c r="AM207" s="60"/>
      <c r="AP207" s="395"/>
      <c r="AQ207" s="395"/>
      <c r="AR207" s="395"/>
      <c r="AS207" s="395"/>
      <c r="AT207" s="395"/>
      <c r="AU207" s="395"/>
      <c r="AX207" s="60"/>
      <c r="AY207" s="60"/>
      <c r="BB207" s="395"/>
      <c r="BC207" s="395"/>
      <c r="BD207" s="395"/>
      <c r="BE207" s="395"/>
      <c r="BF207" s="395"/>
      <c r="BG207" s="395"/>
      <c r="BJ207" s="60"/>
      <c r="BK207" s="60"/>
      <c r="BN207" s="395"/>
      <c r="BO207" s="395"/>
      <c r="BP207" s="395"/>
      <c r="BQ207" s="395"/>
      <c r="BR207" s="395"/>
      <c r="BS207" s="395"/>
    </row>
    <row r="208" spans="1:73" ht="13.2">
      <c r="B208" s="60"/>
      <c r="C208" s="60"/>
      <c r="F208" s="395"/>
      <c r="G208" s="395"/>
      <c r="H208" s="395"/>
      <c r="I208" s="802"/>
      <c r="J208" s="395"/>
      <c r="K208" s="395"/>
      <c r="N208" s="60"/>
      <c r="O208" s="60"/>
      <c r="R208" s="395"/>
      <c r="S208" s="395"/>
      <c r="T208" s="395"/>
      <c r="U208" s="395"/>
      <c r="V208" s="395"/>
      <c r="W208" s="395"/>
      <c r="Z208" s="60"/>
      <c r="AA208" s="60"/>
      <c r="AD208" s="395"/>
      <c r="AE208" s="395"/>
      <c r="AF208" s="395"/>
      <c r="AG208" s="395"/>
      <c r="AH208" s="395"/>
      <c r="AI208" s="395"/>
      <c r="AL208" s="60"/>
      <c r="AM208" s="60"/>
      <c r="AP208" s="395"/>
      <c r="AQ208" s="395"/>
      <c r="AR208" s="395"/>
      <c r="AS208" s="395"/>
      <c r="AT208" s="395"/>
      <c r="AU208" s="395"/>
      <c r="AX208" s="60"/>
      <c r="AY208" s="60"/>
      <c r="BB208" s="395"/>
      <c r="BC208" s="395"/>
      <c r="BD208" s="395"/>
      <c r="BE208" s="395"/>
      <c r="BF208" s="395"/>
      <c r="BG208" s="395"/>
      <c r="BJ208" s="60"/>
      <c r="BK208" s="60"/>
      <c r="BN208" s="395"/>
      <c r="BO208" s="395"/>
      <c r="BP208" s="395"/>
      <c r="BQ208" s="395"/>
      <c r="BR208" s="395"/>
      <c r="BS208" s="395"/>
    </row>
    <row r="209" spans="2:71" ht="13.2">
      <c r="B209" s="60"/>
      <c r="C209" s="60"/>
      <c r="F209" s="395"/>
      <c r="G209" s="395"/>
      <c r="H209" s="395"/>
      <c r="I209" s="802"/>
      <c r="J209" s="395"/>
      <c r="K209" s="395"/>
      <c r="N209" s="60"/>
      <c r="O209" s="60"/>
      <c r="R209" s="395"/>
      <c r="S209" s="395"/>
      <c r="T209" s="395"/>
      <c r="U209" s="395"/>
      <c r="V209" s="395"/>
      <c r="W209" s="395"/>
      <c r="Z209" s="60"/>
      <c r="AA209" s="60"/>
      <c r="AD209" s="395"/>
      <c r="AE209" s="395"/>
      <c r="AF209" s="395"/>
      <c r="AG209" s="395"/>
      <c r="AH209" s="395"/>
      <c r="AI209" s="395"/>
      <c r="AL209" s="60"/>
      <c r="AM209" s="60"/>
      <c r="AP209" s="395"/>
      <c r="AQ209" s="395"/>
      <c r="AR209" s="395"/>
      <c r="AS209" s="395"/>
      <c r="AT209" s="395"/>
      <c r="AU209" s="395"/>
      <c r="AX209" s="60"/>
      <c r="AY209" s="60"/>
      <c r="BB209" s="395"/>
      <c r="BC209" s="395"/>
      <c r="BD209" s="395"/>
      <c r="BE209" s="395"/>
      <c r="BF209" s="395"/>
      <c r="BG209" s="395"/>
      <c r="BJ209" s="60"/>
      <c r="BK209" s="60"/>
      <c r="BN209" s="395"/>
      <c r="BO209" s="395"/>
      <c r="BP209" s="395"/>
      <c r="BQ209" s="395"/>
      <c r="BR209" s="395"/>
      <c r="BS209" s="395"/>
    </row>
    <row r="210" spans="2:71" ht="13.2">
      <c r="B210" s="60"/>
      <c r="C210" s="60"/>
      <c r="F210" s="395"/>
      <c r="G210" s="395"/>
      <c r="H210" s="395"/>
      <c r="I210" s="802"/>
      <c r="J210" s="395"/>
      <c r="K210" s="395"/>
      <c r="N210" s="60"/>
      <c r="O210" s="60"/>
      <c r="R210" s="395"/>
      <c r="S210" s="395"/>
      <c r="T210" s="395"/>
      <c r="U210" s="395"/>
      <c r="V210" s="395"/>
      <c r="W210" s="395"/>
      <c r="Z210" s="60"/>
      <c r="AA210" s="60"/>
      <c r="AD210" s="395"/>
      <c r="AE210" s="395"/>
      <c r="AF210" s="395"/>
      <c r="AG210" s="395"/>
      <c r="AH210" s="395"/>
      <c r="AI210" s="395"/>
      <c r="AL210" s="60"/>
      <c r="AM210" s="60"/>
      <c r="AP210" s="395"/>
      <c r="AQ210" s="395"/>
      <c r="AR210" s="395"/>
      <c r="AS210" s="395"/>
      <c r="AT210" s="395"/>
      <c r="AU210" s="395"/>
      <c r="AX210" s="60"/>
      <c r="AY210" s="60"/>
      <c r="BB210" s="395"/>
      <c r="BC210" s="395"/>
      <c r="BD210" s="395"/>
      <c r="BE210" s="395"/>
      <c r="BF210" s="395"/>
      <c r="BG210" s="395"/>
      <c r="BJ210" s="60"/>
      <c r="BK210" s="60"/>
      <c r="BN210" s="395"/>
      <c r="BO210" s="395"/>
      <c r="BP210" s="395"/>
      <c r="BQ210" s="395"/>
      <c r="BR210" s="395"/>
      <c r="BS210" s="395"/>
    </row>
    <row r="211" spans="2:71" ht="13.2">
      <c r="B211" s="60"/>
      <c r="C211" s="60"/>
      <c r="F211" s="395"/>
      <c r="G211" s="395"/>
      <c r="H211" s="395"/>
      <c r="I211" s="802"/>
      <c r="J211" s="395"/>
      <c r="K211" s="395"/>
      <c r="N211" s="60"/>
      <c r="O211" s="60"/>
      <c r="R211" s="395"/>
      <c r="S211" s="395"/>
      <c r="T211" s="395"/>
      <c r="U211" s="395"/>
      <c r="V211" s="395"/>
      <c r="W211" s="395"/>
      <c r="Z211" s="60"/>
      <c r="AA211" s="60"/>
      <c r="AD211" s="395"/>
      <c r="AE211" s="395"/>
      <c r="AF211" s="395"/>
      <c r="AG211" s="395"/>
      <c r="AH211" s="395"/>
      <c r="AI211" s="395"/>
      <c r="AL211" s="60"/>
      <c r="AM211" s="60"/>
      <c r="AP211" s="395"/>
      <c r="AQ211" s="395"/>
      <c r="AR211" s="395"/>
      <c r="AS211" s="395"/>
      <c r="AT211" s="395"/>
      <c r="AU211" s="395"/>
      <c r="AX211" s="60"/>
      <c r="AY211" s="60"/>
      <c r="BB211" s="395"/>
      <c r="BC211" s="395"/>
      <c r="BD211" s="395"/>
      <c r="BE211" s="395"/>
      <c r="BF211" s="395"/>
      <c r="BG211" s="395"/>
      <c r="BJ211" s="60"/>
      <c r="BK211" s="60"/>
      <c r="BN211" s="395"/>
      <c r="BO211" s="395"/>
      <c r="BP211" s="395"/>
      <c r="BQ211" s="395"/>
      <c r="BR211" s="395"/>
      <c r="BS211" s="395"/>
    </row>
    <row r="212" spans="2:71" ht="13.2">
      <c r="B212" s="60"/>
      <c r="C212" s="60"/>
      <c r="F212" s="395"/>
      <c r="G212" s="395"/>
      <c r="H212" s="395"/>
      <c r="I212" s="802"/>
      <c r="J212" s="395"/>
      <c r="K212" s="395"/>
      <c r="N212" s="60"/>
      <c r="O212" s="60"/>
      <c r="R212" s="395"/>
      <c r="S212" s="395"/>
      <c r="T212" s="395"/>
      <c r="U212" s="395"/>
      <c r="V212" s="395"/>
      <c r="W212" s="395"/>
      <c r="Z212" s="60"/>
      <c r="AA212" s="60"/>
      <c r="AD212" s="395"/>
      <c r="AE212" s="395"/>
      <c r="AF212" s="395"/>
      <c r="AG212" s="395"/>
      <c r="AH212" s="395"/>
      <c r="AI212" s="395"/>
      <c r="AL212" s="60"/>
      <c r="AM212" s="60"/>
      <c r="AP212" s="395"/>
      <c r="AQ212" s="395"/>
      <c r="AR212" s="395"/>
      <c r="AS212" s="395"/>
      <c r="AT212" s="395"/>
      <c r="AU212" s="395"/>
      <c r="AX212" s="60"/>
      <c r="AY212" s="60"/>
      <c r="BB212" s="395"/>
      <c r="BC212" s="395"/>
      <c r="BD212" s="395"/>
      <c r="BE212" s="395"/>
      <c r="BF212" s="395"/>
      <c r="BG212" s="395"/>
      <c r="BJ212" s="60"/>
      <c r="BK212" s="60"/>
      <c r="BN212" s="395"/>
      <c r="BO212" s="395"/>
      <c r="BP212" s="395"/>
      <c r="BQ212" s="395"/>
      <c r="BR212" s="395"/>
      <c r="BS212" s="395"/>
    </row>
    <row r="213" spans="2:71" ht="13.2">
      <c r="B213" s="60"/>
      <c r="C213" s="60"/>
      <c r="F213" s="395"/>
      <c r="G213" s="395"/>
      <c r="H213" s="395"/>
      <c r="I213" s="802"/>
      <c r="J213" s="395"/>
      <c r="K213" s="395"/>
      <c r="N213" s="60"/>
      <c r="O213" s="60"/>
      <c r="R213" s="395"/>
      <c r="S213" s="395"/>
      <c r="T213" s="395"/>
      <c r="U213" s="395"/>
      <c r="V213" s="395"/>
      <c r="W213" s="395"/>
      <c r="Z213" s="60"/>
      <c r="AA213" s="60"/>
      <c r="AD213" s="395"/>
      <c r="AE213" s="395"/>
      <c r="AF213" s="395"/>
      <c r="AG213" s="395"/>
      <c r="AH213" s="395"/>
      <c r="AI213" s="395"/>
      <c r="AL213" s="60"/>
      <c r="AM213" s="60"/>
      <c r="AP213" s="395"/>
      <c r="AQ213" s="395"/>
      <c r="AR213" s="395"/>
      <c r="AS213" s="395"/>
      <c r="AT213" s="395"/>
      <c r="AU213" s="395"/>
      <c r="AX213" s="60"/>
      <c r="AY213" s="60"/>
      <c r="BB213" s="395"/>
      <c r="BC213" s="395"/>
      <c r="BD213" s="395"/>
      <c r="BE213" s="395"/>
      <c r="BF213" s="395"/>
      <c r="BG213" s="395"/>
      <c r="BJ213" s="60"/>
      <c r="BK213" s="60"/>
      <c r="BN213" s="395"/>
      <c r="BO213" s="395"/>
      <c r="BP213" s="395"/>
      <c r="BQ213" s="395"/>
      <c r="BR213" s="395"/>
      <c r="BS213" s="395"/>
    </row>
    <row r="214" spans="2:71" ht="13.2">
      <c r="B214" s="60"/>
      <c r="C214" s="60"/>
      <c r="F214" s="395"/>
      <c r="G214" s="395"/>
      <c r="H214" s="395"/>
      <c r="I214" s="802"/>
      <c r="J214" s="395"/>
      <c r="K214" s="395"/>
      <c r="N214" s="60"/>
      <c r="O214" s="60"/>
      <c r="R214" s="395"/>
      <c r="S214" s="395"/>
      <c r="T214" s="395"/>
      <c r="U214" s="395"/>
      <c r="V214" s="395"/>
      <c r="W214" s="395"/>
      <c r="Z214" s="60"/>
      <c r="AA214" s="60"/>
      <c r="AD214" s="395"/>
      <c r="AE214" s="395"/>
      <c r="AF214" s="395"/>
      <c r="AG214" s="395"/>
      <c r="AH214" s="395"/>
      <c r="AI214" s="395"/>
      <c r="AL214" s="60"/>
      <c r="AM214" s="60"/>
      <c r="AP214" s="395"/>
      <c r="AQ214" s="395"/>
      <c r="AR214" s="395"/>
      <c r="AS214" s="395"/>
      <c r="AT214" s="395"/>
      <c r="AU214" s="395"/>
      <c r="AX214" s="60"/>
      <c r="AY214" s="60"/>
      <c r="BB214" s="395"/>
      <c r="BC214" s="395"/>
      <c r="BD214" s="395"/>
      <c r="BE214" s="395"/>
      <c r="BF214" s="395"/>
      <c r="BG214" s="395"/>
      <c r="BJ214" s="60"/>
      <c r="BK214" s="60"/>
      <c r="BN214" s="395"/>
      <c r="BO214" s="395"/>
      <c r="BP214" s="395"/>
      <c r="BQ214" s="395"/>
      <c r="BR214" s="395"/>
      <c r="BS214" s="395"/>
    </row>
    <row r="215" spans="2:71" ht="13.2">
      <c r="B215" s="60"/>
      <c r="C215" s="60"/>
      <c r="F215" s="395"/>
      <c r="G215" s="395"/>
      <c r="H215" s="395"/>
      <c r="I215" s="802"/>
      <c r="J215" s="395"/>
      <c r="K215" s="395"/>
      <c r="N215" s="60"/>
      <c r="O215" s="60"/>
      <c r="R215" s="395"/>
      <c r="S215" s="395"/>
      <c r="T215" s="395"/>
      <c r="U215" s="395"/>
      <c r="V215" s="395"/>
      <c r="W215" s="395"/>
      <c r="Z215" s="60"/>
      <c r="AA215" s="60"/>
      <c r="AD215" s="395"/>
      <c r="AE215" s="395"/>
      <c r="AF215" s="395"/>
      <c r="AG215" s="395"/>
      <c r="AH215" s="395"/>
      <c r="AI215" s="395"/>
      <c r="AL215" s="60"/>
      <c r="AM215" s="60"/>
      <c r="AP215" s="395"/>
      <c r="AQ215" s="395"/>
      <c r="AR215" s="395"/>
      <c r="AS215" s="395"/>
      <c r="AT215" s="395"/>
      <c r="AU215" s="395"/>
      <c r="AX215" s="60"/>
      <c r="AY215" s="60"/>
      <c r="BB215" s="395"/>
      <c r="BC215" s="395"/>
      <c r="BD215" s="395"/>
      <c r="BE215" s="395"/>
      <c r="BF215" s="395"/>
      <c r="BG215" s="395"/>
      <c r="BJ215" s="60"/>
      <c r="BK215" s="60"/>
      <c r="BN215" s="395"/>
      <c r="BO215" s="395"/>
      <c r="BP215" s="395"/>
      <c r="BQ215" s="395"/>
      <c r="BR215" s="395"/>
      <c r="BS215" s="395"/>
    </row>
    <row r="216" spans="2:71" ht="13.2">
      <c r="B216" s="60"/>
      <c r="C216" s="60"/>
      <c r="F216" s="395"/>
      <c r="G216" s="395"/>
      <c r="H216" s="395"/>
      <c r="I216" s="802"/>
      <c r="J216" s="395"/>
      <c r="K216" s="395"/>
      <c r="N216" s="60"/>
      <c r="O216" s="60"/>
      <c r="R216" s="395"/>
      <c r="S216" s="395"/>
      <c r="T216" s="395"/>
      <c r="U216" s="395"/>
      <c r="V216" s="395"/>
      <c r="W216" s="395"/>
      <c r="Z216" s="60"/>
      <c r="AA216" s="60"/>
      <c r="AD216" s="395"/>
      <c r="AE216" s="395"/>
      <c r="AF216" s="395"/>
      <c r="AG216" s="395"/>
      <c r="AH216" s="395"/>
      <c r="AI216" s="395"/>
      <c r="AL216" s="60"/>
      <c r="AM216" s="60"/>
      <c r="AP216" s="395"/>
      <c r="AQ216" s="395"/>
      <c r="AR216" s="395"/>
      <c r="AS216" s="395"/>
      <c r="AT216" s="395"/>
      <c r="AU216" s="395"/>
      <c r="AX216" s="60"/>
      <c r="AY216" s="60"/>
      <c r="BB216" s="395"/>
      <c r="BC216" s="395"/>
      <c r="BD216" s="395"/>
      <c r="BE216" s="395"/>
      <c r="BF216" s="395"/>
      <c r="BG216" s="395"/>
      <c r="BJ216" s="60"/>
      <c r="BK216" s="60"/>
      <c r="BN216" s="395"/>
      <c r="BO216" s="395"/>
      <c r="BP216" s="395"/>
      <c r="BQ216" s="395"/>
      <c r="BR216" s="395"/>
      <c r="BS216" s="395"/>
    </row>
    <row r="217" spans="2:71" ht="13.2">
      <c r="B217" s="60"/>
      <c r="C217" s="60"/>
      <c r="F217" s="395"/>
      <c r="G217" s="395"/>
      <c r="H217" s="395"/>
      <c r="I217" s="802"/>
      <c r="J217" s="395"/>
      <c r="K217" s="395"/>
      <c r="N217" s="60"/>
      <c r="O217" s="60"/>
      <c r="R217" s="395"/>
      <c r="S217" s="395"/>
      <c r="T217" s="395"/>
      <c r="U217" s="395"/>
      <c r="V217" s="395"/>
      <c r="W217" s="395"/>
      <c r="Z217" s="60"/>
      <c r="AA217" s="60"/>
      <c r="AD217" s="395"/>
      <c r="AE217" s="395"/>
      <c r="AF217" s="395"/>
      <c r="AG217" s="395"/>
      <c r="AH217" s="395"/>
      <c r="AI217" s="395"/>
      <c r="AL217" s="60"/>
      <c r="AM217" s="60"/>
      <c r="AP217" s="395"/>
      <c r="AQ217" s="395"/>
      <c r="AR217" s="395"/>
      <c r="AS217" s="395"/>
      <c r="AT217" s="395"/>
      <c r="AU217" s="395"/>
      <c r="AX217" s="60"/>
      <c r="AY217" s="60"/>
      <c r="BB217" s="395"/>
      <c r="BC217" s="395"/>
      <c r="BD217" s="395"/>
      <c r="BE217" s="395"/>
      <c r="BF217" s="395"/>
      <c r="BG217" s="395"/>
      <c r="BJ217" s="60"/>
      <c r="BK217" s="60"/>
      <c r="BN217" s="395"/>
      <c r="BO217" s="395"/>
      <c r="BP217" s="395"/>
      <c r="BQ217" s="395"/>
      <c r="BR217" s="395"/>
      <c r="BS217" s="395"/>
    </row>
    <row r="218" spans="2:71" ht="13.2">
      <c r="B218" s="60"/>
      <c r="C218" s="60"/>
      <c r="F218" s="395"/>
      <c r="G218" s="395"/>
      <c r="H218" s="395"/>
      <c r="I218" s="802"/>
      <c r="J218" s="395"/>
      <c r="K218" s="395"/>
      <c r="N218" s="60"/>
      <c r="O218" s="60"/>
      <c r="R218" s="395"/>
      <c r="S218" s="395"/>
      <c r="T218" s="395"/>
      <c r="U218" s="395"/>
      <c r="V218" s="395"/>
      <c r="W218" s="395"/>
      <c r="Z218" s="60"/>
      <c r="AA218" s="60"/>
      <c r="AD218" s="395"/>
      <c r="AE218" s="395"/>
      <c r="AF218" s="395"/>
      <c r="AG218" s="395"/>
      <c r="AH218" s="395"/>
      <c r="AI218" s="395"/>
      <c r="AL218" s="60"/>
      <c r="AM218" s="60"/>
      <c r="AP218" s="395"/>
      <c r="AQ218" s="395"/>
      <c r="AR218" s="395"/>
      <c r="AS218" s="395"/>
      <c r="AT218" s="395"/>
      <c r="AU218" s="395"/>
      <c r="AX218" s="60"/>
      <c r="AY218" s="60"/>
      <c r="BB218" s="395"/>
      <c r="BC218" s="395"/>
      <c r="BD218" s="395"/>
      <c r="BE218" s="395"/>
      <c r="BF218" s="395"/>
      <c r="BG218" s="395"/>
      <c r="BJ218" s="60"/>
      <c r="BK218" s="60"/>
      <c r="BN218" s="395"/>
      <c r="BO218" s="395"/>
      <c r="BP218" s="395"/>
      <c r="BQ218" s="395"/>
      <c r="BR218" s="395"/>
      <c r="BS218" s="395"/>
    </row>
    <row r="219" spans="2:71" ht="13.2">
      <c r="B219" s="60"/>
      <c r="C219" s="60"/>
      <c r="N219" s="60"/>
      <c r="O219" s="60"/>
      <c r="Z219" s="60"/>
      <c r="AA219" s="60"/>
      <c r="AL219" s="60"/>
      <c r="AM219" s="60"/>
      <c r="AX219" s="60"/>
      <c r="AY219" s="60"/>
      <c r="BJ219" s="60"/>
      <c r="BK219" s="60"/>
    </row>
    <row r="220" spans="2:71" ht="13.2">
      <c r="B220" s="60"/>
      <c r="C220" s="60"/>
      <c r="N220" s="60"/>
      <c r="O220" s="60"/>
      <c r="Z220" s="60"/>
      <c r="AA220" s="60"/>
      <c r="AL220" s="60"/>
      <c r="AM220" s="60"/>
      <c r="AX220" s="60"/>
      <c r="AY220" s="60"/>
      <c r="BJ220" s="60"/>
      <c r="BK220" s="60"/>
    </row>
    <row r="221" spans="2:71" ht="13.2">
      <c r="B221" s="60"/>
      <c r="C221" s="60"/>
      <c r="N221" s="60"/>
      <c r="O221" s="60"/>
      <c r="Z221" s="60"/>
      <c r="AA221" s="60"/>
      <c r="AL221" s="60"/>
      <c r="AM221" s="60"/>
      <c r="AX221" s="60"/>
      <c r="AY221" s="60"/>
      <c r="BJ221" s="60"/>
      <c r="BK221" s="60"/>
    </row>
    <row r="222" spans="2:71" ht="13.2">
      <c r="B222" s="60"/>
      <c r="C222" s="60"/>
      <c r="N222" s="60"/>
      <c r="O222" s="60"/>
      <c r="Z222" s="60"/>
      <c r="AA222" s="60"/>
      <c r="AL222" s="60"/>
      <c r="AM222" s="60"/>
      <c r="AX222" s="60"/>
      <c r="AY222" s="60"/>
      <c r="BJ222" s="60"/>
      <c r="BK222" s="60"/>
    </row>
    <row r="223" spans="2:71" ht="13.2">
      <c r="B223" s="60"/>
      <c r="C223" s="60"/>
      <c r="N223" s="60"/>
      <c r="O223" s="60"/>
      <c r="Z223" s="60"/>
      <c r="AA223" s="60"/>
      <c r="AL223" s="60"/>
      <c r="AM223" s="60"/>
      <c r="AX223" s="60"/>
      <c r="AY223" s="60"/>
      <c r="BJ223" s="60"/>
      <c r="BK223" s="60"/>
    </row>
    <row r="224" spans="2:71" ht="13.2">
      <c r="B224" s="60"/>
      <c r="C224" s="60"/>
      <c r="N224" s="60"/>
      <c r="O224" s="60"/>
      <c r="Z224" s="60"/>
      <c r="AA224" s="60"/>
      <c r="AL224" s="60"/>
      <c r="AM224" s="60"/>
      <c r="AX224" s="60"/>
      <c r="AY224" s="60"/>
      <c r="BJ224" s="60"/>
      <c r="BK224" s="60"/>
    </row>
    <row r="225" spans="2:63" ht="13.2">
      <c r="B225" s="60"/>
      <c r="C225" s="60"/>
      <c r="N225" s="60"/>
      <c r="O225" s="60"/>
      <c r="Z225" s="60"/>
      <c r="AA225" s="60"/>
      <c r="AL225" s="60"/>
      <c r="AM225" s="60"/>
      <c r="AX225" s="60"/>
      <c r="AY225" s="60"/>
      <c r="BJ225" s="60"/>
      <c r="BK225" s="60"/>
    </row>
    <row r="226" spans="2:63" ht="13.2">
      <c r="B226" s="60"/>
      <c r="C226" s="60"/>
      <c r="N226" s="60"/>
      <c r="O226" s="60"/>
      <c r="Z226" s="60"/>
      <c r="AA226" s="60"/>
      <c r="AL226" s="60"/>
      <c r="AM226" s="60"/>
      <c r="AX226" s="60"/>
      <c r="AY226" s="60"/>
      <c r="BJ226" s="60"/>
      <c r="BK226" s="60"/>
    </row>
    <row r="227" spans="2:63" ht="13.2">
      <c r="B227" s="60"/>
      <c r="C227" s="60"/>
      <c r="N227" s="60"/>
      <c r="O227" s="60"/>
      <c r="Z227" s="60"/>
      <c r="AA227" s="60"/>
      <c r="AL227" s="60"/>
      <c r="AM227" s="60"/>
      <c r="AX227" s="60"/>
      <c r="AY227" s="60"/>
      <c r="BJ227" s="60"/>
      <c r="BK227" s="60"/>
    </row>
    <row r="228" spans="2:63" ht="13.2">
      <c r="B228" s="60"/>
      <c r="C228" s="60"/>
      <c r="N228" s="60"/>
      <c r="O228" s="60"/>
      <c r="Z228" s="60"/>
      <c r="AA228" s="60"/>
      <c r="AL228" s="60"/>
      <c r="AM228" s="60"/>
      <c r="AX228" s="60"/>
      <c r="AY228" s="60"/>
      <c r="BJ228" s="60"/>
      <c r="BK228" s="60"/>
    </row>
    <row r="229" spans="2:63" ht="13.2">
      <c r="B229" s="60"/>
      <c r="C229" s="60"/>
      <c r="N229" s="60"/>
      <c r="O229" s="60"/>
      <c r="Z229" s="60"/>
      <c r="AA229" s="60"/>
      <c r="AL229" s="60"/>
      <c r="AM229" s="60"/>
      <c r="AX229" s="60"/>
      <c r="AY229" s="60"/>
      <c r="BJ229" s="60"/>
      <c r="BK229" s="60"/>
    </row>
    <row r="230" spans="2:63" ht="13.2">
      <c r="B230" s="60"/>
      <c r="C230" s="60"/>
      <c r="N230" s="60"/>
      <c r="O230" s="60"/>
      <c r="Z230" s="60"/>
      <c r="AA230" s="60"/>
      <c r="AL230" s="60"/>
      <c r="AM230" s="60"/>
      <c r="AX230" s="60"/>
      <c r="AY230" s="60"/>
      <c r="BJ230" s="60"/>
      <c r="BK230" s="60"/>
    </row>
    <row r="231" spans="2:63" ht="13.2">
      <c r="B231" s="60"/>
      <c r="C231" s="60"/>
      <c r="N231" s="60"/>
      <c r="O231" s="60"/>
      <c r="Z231" s="60"/>
      <c r="AA231" s="60"/>
      <c r="AL231" s="60"/>
      <c r="AM231" s="60"/>
      <c r="AX231" s="60"/>
      <c r="AY231" s="60"/>
      <c r="BJ231" s="60"/>
      <c r="BK231" s="60"/>
    </row>
    <row r="232" spans="2:63" ht="13.2">
      <c r="B232" s="60"/>
      <c r="C232" s="60"/>
      <c r="N232" s="60"/>
      <c r="O232" s="60"/>
      <c r="Z232" s="60"/>
      <c r="AA232" s="60"/>
      <c r="AL232" s="60"/>
      <c r="AM232" s="60"/>
      <c r="AX232" s="60"/>
      <c r="AY232" s="60"/>
      <c r="BJ232" s="60"/>
      <c r="BK232" s="60"/>
    </row>
    <row r="233" spans="2:63" ht="13.2">
      <c r="B233" s="60"/>
      <c r="C233" s="60"/>
      <c r="N233" s="60"/>
      <c r="O233" s="60"/>
      <c r="Z233" s="60"/>
      <c r="AA233" s="60"/>
      <c r="AL233" s="60"/>
      <c r="AM233" s="60"/>
      <c r="AX233" s="60"/>
      <c r="AY233" s="60"/>
      <c r="BJ233" s="60"/>
      <c r="BK233" s="60"/>
    </row>
    <row r="234" spans="2:63" ht="13.2">
      <c r="B234" s="60"/>
      <c r="C234" s="60"/>
      <c r="N234" s="60"/>
      <c r="O234" s="60"/>
      <c r="Z234" s="60"/>
      <c r="AA234" s="60"/>
      <c r="AL234" s="60"/>
      <c r="AM234" s="60"/>
      <c r="AX234" s="60"/>
      <c r="AY234" s="60"/>
      <c r="BJ234" s="60"/>
      <c r="BK234" s="60"/>
    </row>
    <row r="235" spans="2:63" ht="13.2">
      <c r="B235" s="60"/>
      <c r="C235" s="60"/>
      <c r="N235" s="60"/>
      <c r="O235" s="60"/>
      <c r="Z235" s="60"/>
      <c r="AA235" s="60"/>
      <c r="AL235" s="60"/>
      <c r="AM235" s="60"/>
      <c r="AX235" s="60"/>
      <c r="AY235" s="60"/>
      <c r="BJ235" s="60"/>
      <c r="BK235" s="60"/>
    </row>
    <row r="236" spans="2:63" ht="13.2">
      <c r="B236" s="60"/>
      <c r="C236" s="60"/>
      <c r="N236" s="60"/>
      <c r="O236" s="60"/>
      <c r="Z236" s="60"/>
      <c r="AA236" s="60"/>
      <c r="AL236" s="60"/>
      <c r="AM236" s="60"/>
      <c r="AX236" s="60"/>
      <c r="AY236" s="60"/>
      <c r="BJ236" s="60"/>
      <c r="BK236" s="60"/>
    </row>
    <row r="237" spans="2:63" ht="13.2">
      <c r="B237" s="60"/>
      <c r="C237" s="60"/>
      <c r="N237" s="60"/>
      <c r="O237" s="60"/>
      <c r="Z237" s="60"/>
      <c r="AA237" s="60"/>
      <c r="AL237" s="60"/>
      <c r="AM237" s="60"/>
      <c r="AX237" s="60"/>
      <c r="AY237" s="60"/>
      <c r="BJ237" s="60"/>
      <c r="BK237" s="60"/>
    </row>
    <row r="238" spans="2:63" ht="13.2">
      <c r="B238" s="60"/>
      <c r="C238" s="60"/>
      <c r="N238" s="60"/>
      <c r="O238" s="60"/>
      <c r="Z238" s="60"/>
      <c r="AA238" s="60"/>
      <c r="AL238" s="60"/>
      <c r="AM238" s="60"/>
      <c r="AX238" s="60"/>
      <c r="AY238" s="60"/>
      <c r="BJ238" s="60"/>
      <c r="BK238" s="60"/>
    </row>
    <row r="239" spans="2:63" ht="13.2">
      <c r="B239" s="60"/>
      <c r="C239" s="60"/>
      <c r="N239" s="60"/>
      <c r="O239" s="60"/>
      <c r="Z239" s="60"/>
      <c r="AA239" s="60"/>
      <c r="AL239" s="60"/>
      <c r="AM239" s="60"/>
      <c r="AX239" s="60"/>
      <c r="AY239" s="60"/>
      <c r="BJ239" s="60"/>
      <c r="BK239" s="60"/>
    </row>
    <row r="240" spans="2:63" ht="13.2">
      <c r="B240" s="60"/>
      <c r="C240" s="60"/>
      <c r="N240" s="60"/>
      <c r="O240" s="60"/>
      <c r="Z240" s="60"/>
      <c r="AA240" s="60"/>
      <c r="AL240" s="60"/>
      <c r="AM240" s="60"/>
      <c r="AX240" s="60"/>
      <c r="AY240" s="60"/>
      <c r="BJ240" s="60"/>
      <c r="BK240" s="60"/>
    </row>
    <row r="241" spans="2:63" ht="13.2">
      <c r="B241" s="60"/>
      <c r="C241" s="60"/>
      <c r="N241" s="60"/>
      <c r="O241" s="60"/>
      <c r="Z241" s="60"/>
      <c r="AA241" s="60"/>
      <c r="AL241" s="60"/>
      <c r="AM241" s="60"/>
      <c r="AX241" s="60"/>
      <c r="AY241" s="60"/>
      <c r="BJ241" s="60"/>
      <c r="BK241" s="60"/>
    </row>
    <row r="242" spans="2:63" ht="13.2">
      <c r="B242" s="60"/>
      <c r="C242" s="60"/>
      <c r="N242" s="60"/>
      <c r="O242" s="60"/>
      <c r="Z242" s="60"/>
      <c r="AA242" s="60"/>
      <c r="AL242" s="60"/>
      <c r="AM242" s="60"/>
      <c r="AX242" s="60"/>
      <c r="AY242" s="60"/>
      <c r="BJ242" s="60"/>
      <c r="BK242" s="60"/>
    </row>
    <row r="243" spans="2:63" ht="13.2">
      <c r="B243" s="60"/>
      <c r="C243" s="60"/>
      <c r="N243" s="60"/>
      <c r="O243" s="60"/>
      <c r="Z243" s="60"/>
      <c r="AA243" s="60"/>
      <c r="AL243" s="60"/>
      <c r="AM243" s="60"/>
      <c r="AX243" s="60"/>
      <c r="AY243" s="60"/>
      <c r="BJ243" s="60"/>
      <c r="BK243" s="60"/>
    </row>
    <row r="244" spans="2:63" ht="13.2">
      <c r="B244" s="60"/>
      <c r="C244" s="60"/>
      <c r="N244" s="60"/>
      <c r="O244" s="60"/>
      <c r="Z244" s="60"/>
      <c r="AA244" s="60"/>
      <c r="AL244" s="60"/>
      <c r="AM244" s="60"/>
      <c r="AX244" s="60"/>
      <c r="AY244" s="60"/>
      <c r="BJ244" s="60"/>
      <c r="BK244" s="60"/>
    </row>
    <row r="245" spans="2:63" ht="13.2">
      <c r="B245" s="60"/>
      <c r="C245" s="60"/>
      <c r="N245" s="60"/>
      <c r="O245" s="60"/>
      <c r="Z245" s="60"/>
      <c r="AA245" s="60"/>
      <c r="AL245" s="60"/>
      <c r="AM245" s="60"/>
      <c r="AX245" s="60"/>
      <c r="AY245" s="60"/>
      <c r="BJ245" s="60"/>
      <c r="BK245" s="60"/>
    </row>
    <row r="246" spans="2:63" ht="13.2">
      <c r="B246" s="60"/>
      <c r="C246" s="60"/>
      <c r="N246" s="60"/>
      <c r="O246" s="60"/>
      <c r="Z246" s="60"/>
      <c r="AA246" s="60"/>
      <c r="AL246" s="60"/>
      <c r="AM246" s="60"/>
      <c r="AX246" s="60"/>
      <c r="AY246" s="60"/>
      <c r="BJ246" s="60"/>
      <c r="BK246" s="60"/>
    </row>
    <row r="247" spans="2:63" ht="13.2">
      <c r="B247" s="60"/>
      <c r="C247" s="60"/>
      <c r="N247" s="60"/>
      <c r="O247" s="60"/>
      <c r="Z247" s="60"/>
      <c r="AA247" s="60"/>
      <c r="AL247" s="60"/>
      <c r="AM247" s="60"/>
      <c r="AX247" s="60"/>
      <c r="AY247" s="60"/>
      <c r="BJ247" s="60"/>
      <c r="BK247" s="60"/>
    </row>
    <row r="248" spans="2:63" ht="13.2">
      <c r="B248" s="60"/>
      <c r="C248" s="60"/>
      <c r="N248" s="60"/>
      <c r="O248" s="60"/>
      <c r="Z248" s="60"/>
      <c r="AA248" s="60"/>
      <c r="AL248" s="60"/>
      <c r="AM248" s="60"/>
      <c r="AX248" s="60"/>
      <c r="AY248" s="60"/>
      <c r="BJ248" s="60"/>
      <c r="BK248" s="60"/>
    </row>
    <row r="249" spans="2:63" ht="13.2">
      <c r="B249" s="60"/>
      <c r="C249" s="60"/>
      <c r="N249" s="60"/>
      <c r="O249" s="60"/>
      <c r="Z249" s="60"/>
      <c r="AA249" s="60"/>
      <c r="AL249" s="60"/>
      <c r="AM249" s="60"/>
      <c r="AX249" s="60"/>
      <c r="AY249" s="60"/>
      <c r="BJ249" s="60"/>
      <c r="BK249" s="60"/>
    </row>
    <row r="250" spans="2:63" ht="13.2">
      <c r="B250" s="60"/>
      <c r="C250" s="60"/>
      <c r="N250" s="60"/>
      <c r="O250" s="60"/>
      <c r="Z250" s="60"/>
      <c r="AA250" s="60"/>
      <c r="AL250" s="60"/>
      <c r="AM250" s="60"/>
      <c r="AX250" s="60"/>
      <c r="AY250" s="60"/>
      <c r="BJ250" s="60"/>
      <c r="BK250" s="60"/>
    </row>
    <row r="251" spans="2:63" ht="13.2">
      <c r="B251" s="60"/>
      <c r="C251" s="60"/>
      <c r="N251" s="60"/>
      <c r="O251" s="60"/>
      <c r="Z251" s="60"/>
      <c r="AA251" s="60"/>
      <c r="AL251" s="60"/>
      <c r="AM251" s="60"/>
      <c r="AX251" s="60"/>
      <c r="AY251" s="60"/>
      <c r="BJ251" s="60"/>
      <c r="BK251" s="60"/>
    </row>
    <row r="252" spans="2:63" ht="13.2">
      <c r="B252" s="60"/>
      <c r="C252" s="60"/>
      <c r="N252" s="60"/>
      <c r="O252" s="60"/>
      <c r="Z252" s="60"/>
      <c r="AA252" s="60"/>
      <c r="AL252" s="60"/>
      <c r="AM252" s="60"/>
      <c r="AX252" s="60"/>
      <c r="AY252" s="60"/>
      <c r="BJ252" s="60"/>
      <c r="BK252" s="60"/>
    </row>
    <row r="253" spans="2:63" ht="13.2">
      <c r="B253" s="60"/>
      <c r="C253" s="60"/>
      <c r="N253" s="60"/>
      <c r="O253" s="60"/>
      <c r="Z253" s="60"/>
      <c r="AA253" s="60"/>
      <c r="AL253" s="60"/>
      <c r="AM253" s="60"/>
      <c r="AX253" s="60"/>
      <c r="AY253" s="60"/>
      <c r="BJ253" s="60"/>
      <c r="BK253" s="60"/>
    </row>
    <row r="254" spans="2:63" ht="13.2">
      <c r="B254" s="60"/>
      <c r="C254" s="60"/>
      <c r="N254" s="60"/>
      <c r="O254" s="60"/>
      <c r="Z254" s="60"/>
      <c r="AA254" s="60"/>
      <c r="AL254" s="60"/>
      <c r="AM254" s="60"/>
      <c r="AX254" s="60"/>
      <c r="AY254" s="60"/>
      <c r="BJ254" s="60"/>
      <c r="BK254" s="60"/>
    </row>
    <row r="255" spans="2:63" ht="13.2">
      <c r="B255" s="60"/>
      <c r="C255" s="60"/>
      <c r="N255" s="60"/>
      <c r="O255" s="60"/>
      <c r="Z255" s="60"/>
      <c r="AA255" s="60"/>
      <c r="AL255" s="60"/>
      <c r="AM255" s="60"/>
      <c r="AX255" s="60"/>
      <c r="AY255" s="60"/>
      <c r="BJ255" s="60"/>
      <c r="BK255" s="60"/>
    </row>
    <row r="256" spans="2:63" ht="13.2">
      <c r="B256" s="60"/>
      <c r="C256" s="60"/>
      <c r="N256" s="60"/>
      <c r="O256" s="60"/>
      <c r="Z256" s="60"/>
      <c r="AA256" s="60"/>
      <c r="AL256" s="60"/>
      <c r="AM256" s="60"/>
      <c r="AX256" s="60"/>
      <c r="AY256" s="60"/>
      <c r="BJ256" s="60"/>
      <c r="BK256" s="60"/>
    </row>
    <row r="257" spans="2:63" ht="13.2">
      <c r="B257" s="60"/>
      <c r="C257" s="60"/>
      <c r="N257" s="60"/>
      <c r="O257" s="60"/>
      <c r="Z257" s="60"/>
      <c r="AA257" s="60"/>
      <c r="AL257" s="60"/>
      <c r="AM257" s="60"/>
      <c r="AX257" s="60"/>
      <c r="AY257" s="60"/>
      <c r="BJ257" s="60"/>
      <c r="BK257" s="60"/>
    </row>
    <row r="258" spans="2:63" ht="13.2">
      <c r="B258" s="60"/>
      <c r="C258" s="60"/>
      <c r="N258" s="60"/>
      <c r="O258" s="60"/>
      <c r="Z258" s="60"/>
      <c r="AA258" s="60"/>
      <c r="AL258" s="60"/>
      <c r="AM258" s="60"/>
      <c r="AX258" s="60"/>
      <c r="AY258" s="60"/>
      <c r="BJ258" s="60"/>
      <c r="BK258" s="60"/>
    </row>
    <row r="259" spans="2:63" ht="13.2">
      <c r="B259" s="60"/>
      <c r="C259" s="60"/>
      <c r="N259" s="60"/>
      <c r="O259" s="60"/>
      <c r="Z259" s="60"/>
      <c r="AA259" s="60"/>
      <c r="AL259" s="60"/>
      <c r="AM259" s="60"/>
      <c r="AX259" s="60"/>
      <c r="AY259" s="60"/>
      <c r="BJ259" s="60"/>
      <c r="BK259" s="60"/>
    </row>
    <row r="260" spans="2:63" ht="13.2">
      <c r="B260" s="60"/>
      <c r="C260" s="60"/>
      <c r="N260" s="60"/>
      <c r="O260" s="60"/>
      <c r="Z260" s="60"/>
      <c r="AA260" s="60"/>
      <c r="AL260" s="60"/>
      <c r="AM260" s="60"/>
      <c r="AX260" s="60"/>
      <c r="AY260" s="60"/>
      <c r="BJ260" s="60"/>
      <c r="BK260" s="60"/>
    </row>
    <row r="261" spans="2:63" ht="13.2">
      <c r="B261" s="60"/>
      <c r="C261" s="60"/>
      <c r="N261" s="60"/>
      <c r="O261" s="60"/>
      <c r="Z261" s="60"/>
      <c r="AA261" s="60"/>
      <c r="AL261" s="60"/>
      <c r="AM261" s="60"/>
      <c r="AX261" s="60"/>
      <c r="AY261" s="60"/>
      <c r="BJ261" s="60"/>
      <c r="BK261" s="60"/>
    </row>
    <row r="262" spans="2:63" ht="13.2">
      <c r="B262" s="60"/>
      <c r="C262" s="60"/>
      <c r="N262" s="60"/>
      <c r="O262" s="60"/>
      <c r="Z262" s="60"/>
      <c r="AA262" s="60"/>
      <c r="AL262" s="60"/>
      <c r="AM262" s="60"/>
      <c r="AX262" s="60"/>
      <c r="AY262" s="60"/>
      <c r="BJ262" s="60"/>
      <c r="BK262" s="60"/>
    </row>
    <row r="263" spans="2:63" ht="13.2">
      <c r="B263" s="60"/>
      <c r="C263" s="60"/>
      <c r="N263" s="60"/>
      <c r="O263" s="60"/>
      <c r="Z263" s="60"/>
      <c r="AA263" s="60"/>
      <c r="AL263" s="60"/>
      <c r="AM263" s="60"/>
      <c r="AX263" s="60"/>
      <c r="AY263" s="60"/>
      <c r="BJ263" s="60"/>
      <c r="BK263" s="60"/>
    </row>
    <row r="264" spans="2:63" ht="13.2">
      <c r="B264" s="60"/>
      <c r="C264" s="60"/>
      <c r="N264" s="60"/>
      <c r="O264" s="60"/>
      <c r="Z264" s="60"/>
      <c r="AA264" s="60"/>
      <c r="AL264" s="60"/>
      <c r="AM264" s="60"/>
      <c r="AX264" s="60"/>
      <c r="AY264" s="60"/>
      <c r="BJ264" s="60"/>
      <c r="BK264" s="60"/>
    </row>
    <row r="265" spans="2:63" ht="13.2">
      <c r="B265" s="60"/>
      <c r="C265" s="60"/>
      <c r="N265" s="60"/>
      <c r="O265" s="60"/>
      <c r="Z265" s="60"/>
      <c r="AA265" s="60"/>
      <c r="AL265" s="60"/>
      <c r="AM265" s="60"/>
      <c r="AX265" s="60"/>
      <c r="AY265" s="60"/>
      <c r="BJ265" s="60"/>
      <c r="BK265" s="60"/>
    </row>
    <row r="266" spans="2:63" ht="13.2">
      <c r="B266" s="60"/>
      <c r="C266" s="60"/>
      <c r="N266" s="60"/>
      <c r="O266" s="60"/>
      <c r="Z266" s="60"/>
      <c r="AA266" s="60"/>
      <c r="AL266" s="60"/>
      <c r="AM266" s="60"/>
      <c r="AX266" s="60"/>
      <c r="AY266" s="60"/>
      <c r="BJ266" s="60"/>
      <c r="BK266" s="60"/>
    </row>
    <row r="267" spans="2:63" ht="13.2">
      <c r="B267" s="60"/>
      <c r="C267" s="60"/>
      <c r="N267" s="60"/>
      <c r="O267" s="60"/>
      <c r="Z267" s="60"/>
      <c r="AA267" s="60"/>
      <c r="AL267" s="60"/>
      <c r="AM267" s="60"/>
      <c r="AX267" s="60"/>
      <c r="AY267" s="60"/>
      <c r="BJ267" s="60"/>
      <c r="BK267" s="60"/>
    </row>
    <row r="268" spans="2:63" ht="13.2">
      <c r="B268" s="60"/>
      <c r="C268" s="60"/>
      <c r="N268" s="60"/>
      <c r="O268" s="60"/>
      <c r="Z268" s="60"/>
      <c r="AA268" s="60"/>
      <c r="AL268" s="60"/>
      <c r="AM268" s="60"/>
      <c r="AX268" s="60"/>
      <c r="AY268" s="60"/>
      <c r="BJ268" s="60"/>
      <c r="BK268" s="60"/>
    </row>
    <row r="269" spans="2:63" ht="13.2">
      <c r="B269" s="60"/>
      <c r="C269" s="60"/>
      <c r="N269" s="60"/>
      <c r="O269" s="60"/>
      <c r="Z269" s="60"/>
      <c r="AA269" s="60"/>
      <c r="AL269" s="60"/>
      <c r="AM269" s="60"/>
      <c r="AX269" s="60"/>
      <c r="AY269" s="60"/>
      <c r="BJ269" s="60"/>
      <c r="BK269" s="60"/>
    </row>
    <row r="270" spans="2:63" ht="13.2">
      <c r="B270" s="60"/>
      <c r="C270" s="60"/>
      <c r="N270" s="60"/>
      <c r="O270" s="60"/>
      <c r="Z270" s="60"/>
      <c r="AA270" s="60"/>
      <c r="AL270" s="60"/>
      <c r="AM270" s="60"/>
      <c r="AX270" s="60"/>
      <c r="AY270" s="60"/>
      <c r="BJ270" s="60"/>
      <c r="BK270" s="60"/>
    </row>
    <row r="271" spans="2:63" ht="13.2">
      <c r="B271" s="60"/>
      <c r="C271" s="60"/>
      <c r="N271" s="60"/>
      <c r="O271" s="60"/>
      <c r="Z271" s="60"/>
      <c r="AA271" s="60"/>
      <c r="AL271" s="60"/>
      <c r="AM271" s="60"/>
      <c r="AX271" s="60"/>
      <c r="AY271" s="60"/>
      <c r="BJ271" s="60"/>
      <c r="BK271" s="60"/>
    </row>
    <row r="272" spans="2:63" ht="13.2">
      <c r="B272" s="60"/>
      <c r="C272" s="60"/>
      <c r="N272" s="60"/>
      <c r="O272" s="60"/>
      <c r="Z272" s="60"/>
      <c r="AA272" s="60"/>
      <c r="AL272" s="60"/>
      <c r="AM272" s="60"/>
      <c r="AX272" s="60"/>
      <c r="AY272" s="60"/>
      <c r="BJ272" s="60"/>
      <c r="BK272" s="60"/>
    </row>
    <row r="273" spans="2:63" ht="13.2">
      <c r="B273" s="60"/>
      <c r="C273" s="60"/>
      <c r="N273" s="60"/>
      <c r="O273" s="60"/>
      <c r="Z273" s="60"/>
      <c r="AA273" s="60"/>
      <c r="AL273" s="60"/>
      <c r="AM273" s="60"/>
      <c r="AX273" s="60"/>
      <c r="AY273" s="60"/>
      <c r="BJ273" s="60"/>
      <c r="BK273" s="60"/>
    </row>
    <row r="274" spans="2:63" ht="13.2">
      <c r="B274" s="60"/>
      <c r="C274" s="60"/>
      <c r="N274" s="60"/>
      <c r="O274" s="60"/>
      <c r="Z274" s="60"/>
      <c r="AA274" s="60"/>
      <c r="AL274" s="60"/>
      <c r="AM274" s="60"/>
      <c r="AX274" s="60"/>
      <c r="AY274" s="60"/>
      <c r="BJ274" s="60"/>
      <c r="BK274" s="60"/>
    </row>
    <row r="275" spans="2:63" ht="13.2">
      <c r="B275" s="60"/>
      <c r="C275" s="60"/>
      <c r="N275" s="60"/>
      <c r="O275" s="60"/>
      <c r="Z275" s="60"/>
      <c r="AA275" s="60"/>
      <c r="AL275" s="60"/>
      <c r="AM275" s="60"/>
      <c r="AX275" s="60"/>
      <c r="AY275" s="60"/>
      <c r="BJ275" s="60"/>
      <c r="BK275" s="60"/>
    </row>
    <row r="276" spans="2:63" ht="13.2">
      <c r="B276" s="60"/>
      <c r="C276" s="60"/>
      <c r="N276" s="60"/>
      <c r="O276" s="60"/>
      <c r="Z276" s="60"/>
      <c r="AA276" s="60"/>
      <c r="AL276" s="60"/>
      <c r="AM276" s="60"/>
      <c r="AX276" s="60"/>
      <c r="AY276" s="60"/>
      <c r="BJ276" s="60"/>
      <c r="BK276" s="60"/>
    </row>
    <row r="277" spans="2:63" ht="13.2">
      <c r="B277" s="60"/>
      <c r="C277" s="60"/>
      <c r="N277" s="60"/>
      <c r="O277" s="60"/>
      <c r="Z277" s="60"/>
      <c r="AA277" s="60"/>
      <c r="AL277" s="60"/>
      <c r="AM277" s="60"/>
      <c r="AX277" s="60"/>
      <c r="AY277" s="60"/>
      <c r="BJ277" s="60"/>
      <c r="BK277" s="60"/>
    </row>
    <row r="278" spans="2:63" ht="13.2">
      <c r="B278" s="60"/>
      <c r="C278" s="60"/>
      <c r="N278" s="60"/>
      <c r="O278" s="60"/>
      <c r="Z278" s="60"/>
      <c r="AA278" s="60"/>
      <c r="AL278" s="60"/>
      <c r="AM278" s="60"/>
      <c r="AX278" s="60"/>
      <c r="AY278" s="60"/>
      <c r="BJ278" s="60"/>
      <c r="BK278" s="60"/>
    </row>
    <row r="279" spans="2:63" ht="13.2">
      <c r="B279" s="60"/>
      <c r="C279" s="60"/>
      <c r="N279" s="60"/>
      <c r="O279" s="60"/>
      <c r="Z279" s="60"/>
      <c r="AA279" s="60"/>
      <c r="AL279" s="60"/>
      <c r="AM279" s="60"/>
      <c r="AX279" s="60"/>
      <c r="AY279" s="60"/>
      <c r="BJ279" s="60"/>
      <c r="BK279" s="60"/>
    </row>
    <row r="280" spans="2:63" ht="13.2">
      <c r="B280" s="60"/>
      <c r="C280" s="60"/>
      <c r="N280" s="60"/>
      <c r="O280" s="60"/>
      <c r="Z280" s="60"/>
      <c r="AA280" s="60"/>
      <c r="AL280" s="60"/>
      <c r="AM280" s="60"/>
      <c r="AX280" s="60"/>
      <c r="AY280" s="60"/>
      <c r="BJ280" s="60"/>
      <c r="BK280" s="60"/>
    </row>
    <row r="281" spans="2:63" ht="13.2">
      <c r="B281" s="60"/>
      <c r="C281" s="60"/>
      <c r="N281" s="60"/>
      <c r="O281" s="60"/>
      <c r="Z281" s="60"/>
      <c r="AA281" s="60"/>
      <c r="AL281" s="60"/>
      <c r="AM281" s="60"/>
      <c r="AX281" s="60"/>
      <c r="AY281" s="60"/>
      <c r="BJ281" s="60"/>
      <c r="BK281" s="60"/>
    </row>
    <row r="282" spans="2:63" ht="13.2">
      <c r="B282" s="60"/>
      <c r="C282" s="60"/>
      <c r="N282" s="60"/>
      <c r="O282" s="60"/>
      <c r="Z282" s="60"/>
      <c r="AA282" s="60"/>
      <c r="AL282" s="60"/>
      <c r="AM282" s="60"/>
      <c r="AX282" s="60"/>
      <c r="AY282" s="60"/>
      <c r="BJ282" s="60"/>
      <c r="BK282" s="60"/>
    </row>
    <row r="283" spans="2:63" ht="13.2">
      <c r="B283" s="60"/>
      <c r="C283" s="60"/>
      <c r="N283" s="60"/>
      <c r="O283" s="60"/>
      <c r="Z283" s="60"/>
      <c r="AA283" s="60"/>
      <c r="AL283" s="60"/>
      <c r="AM283" s="60"/>
      <c r="AX283" s="60"/>
      <c r="AY283" s="60"/>
      <c r="BJ283" s="60"/>
      <c r="BK283" s="60"/>
    </row>
    <row r="284" spans="2:63" ht="13.2">
      <c r="B284" s="60"/>
      <c r="C284" s="60"/>
      <c r="N284" s="60"/>
      <c r="O284" s="60"/>
      <c r="Z284" s="60"/>
      <c r="AA284" s="60"/>
      <c r="AL284" s="60"/>
      <c r="AM284" s="60"/>
      <c r="AX284" s="60"/>
      <c r="AY284" s="60"/>
      <c r="BJ284" s="60"/>
      <c r="BK284" s="60"/>
    </row>
    <row r="285" spans="2:63" ht="13.2">
      <c r="B285" s="60"/>
      <c r="C285" s="60"/>
      <c r="N285" s="60"/>
      <c r="O285" s="60"/>
      <c r="Z285" s="60"/>
      <c r="AA285" s="60"/>
      <c r="AL285" s="60"/>
      <c r="AM285" s="60"/>
      <c r="AX285" s="60"/>
      <c r="AY285" s="60"/>
      <c r="BJ285" s="60"/>
      <c r="BK285" s="60"/>
    </row>
    <row r="286" spans="2:63" ht="13.2">
      <c r="B286" s="60"/>
      <c r="C286" s="60"/>
      <c r="N286" s="60"/>
      <c r="O286" s="60"/>
      <c r="Z286" s="60"/>
      <c r="AA286" s="60"/>
      <c r="AL286" s="60"/>
      <c r="AM286" s="60"/>
      <c r="AX286" s="60"/>
      <c r="AY286" s="60"/>
      <c r="BJ286" s="60"/>
      <c r="BK286" s="60"/>
    </row>
    <row r="287" spans="2:63" ht="13.2">
      <c r="B287" s="60"/>
      <c r="C287" s="60"/>
      <c r="N287" s="60"/>
      <c r="O287" s="60"/>
      <c r="Z287" s="60"/>
      <c r="AA287" s="60"/>
      <c r="AL287" s="60"/>
      <c r="AM287" s="60"/>
      <c r="AX287" s="60"/>
      <c r="AY287" s="60"/>
      <c r="BJ287" s="60"/>
      <c r="BK287" s="60"/>
    </row>
    <row r="288" spans="2:63" ht="13.2">
      <c r="B288" s="60"/>
      <c r="C288" s="60"/>
      <c r="N288" s="60"/>
      <c r="O288" s="60"/>
      <c r="Z288" s="60"/>
      <c r="AA288" s="60"/>
      <c r="AL288" s="60"/>
      <c r="AM288" s="60"/>
      <c r="AX288" s="60"/>
      <c r="AY288" s="60"/>
      <c r="BJ288" s="60"/>
      <c r="BK288" s="60"/>
    </row>
    <row r="289" spans="2:63" ht="13.2">
      <c r="B289" s="60"/>
      <c r="C289" s="60"/>
      <c r="N289" s="60"/>
      <c r="O289" s="60"/>
      <c r="Z289" s="60"/>
      <c r="AA289" s="60"/>
      <c r="AL289" s="60"/>
      <c r="AM289" s="60"/>
      <c r="AX289" s="60"/>
      <c r="AY289" s="60"/>
      <c r="BJ289" s="60"/>
      <c r="BK289" s="60"/>
    </row>
    <row r="290" spans="2:63" ht="13.2">
      <c r="B290" s="60"/>
      <c r="C290" s="60"/>
      <c r="N290" s="60"/>
      <c r="O290" s="60"/>
      <c r="Z290" s="60"/>
      <c r="AA290" s="60"/>
      <c r="AL290" s="60"/>
      <c r="AM290" s="60"/>
      <c r="AX290" s="60"/>
      <c r="AY290" s="60"/>
      <c r="BJ290" s="60"/>
      <c r="BK290" s="60"/>
    </row>
    <row r="291" spans="2:63" ht="13.2">
      <c r="B291" s="60"/>
      <c r="C291" s="60"/>
      <c r="N291" s="60"/>
      <c r="O291" s="60"/>
      <c r="Z291" s="60"/>
      <c r="AA291" s="60"/>
      <c r="AL291" s="60"/>
      <c r="AM291" s="60"/>
      <c r="AX291" s="60"/>
      <c r="AY291" s="60"/>
      <c r="BJ291" s="60"/>
      <c r="BK291" s="60"/>
    </row>
    <row r="292" spans="2:63" ht="13.2">
      <c r="B292" s="60"/>
      <c r="C292" s="60"/>
      <c r="N292" s="60"/>
      <c r="O292" s="60"/>
      <c r="Z292" s="60"/>
      <c r="AA292" s="60"/>
      <c r="AL292" s="60"/>
      <c r="AM292" s="60"/>
      <c r="AX292" s="60"/>
      <c r="AY292" s="60"/>
      <c r="BJ292" s="60"/>
      <c r="BK292" s="60"/>
    </row>
    <row r="293" spans="2:63" ht="13.2">
      <c r="B293" s="60"/>
      <c r="C293" s="60"/>
      <c r="N293" s="60"/>
      <c r="O293" s="60"/>
      <c r="Z293" s="60"/>
      <c r="AA293" s="60"/>
      <c r="AL293" s="60"/>
      <c r="AM293" s="60"/>
      <c r="AX293" s="60"/>
      <c r="AY293" s="60"/>
      <c r="BJ293" s="60"/>
      <c r="BK293" s="60"/>
    </row>
    <row r="294" spans="2:63" ht="13.2">
      <c r="B294" s="60"/>
      <c r="C294" s="60"/>
      <c r="N294" s="60"/>
      <c r="O294" s="60"/>
      <c r="Z294" s="60"/>
      <c r="AA294" s="60"/>
      <c r="AL294" s="60"/>
      <c r="AM294" s="60"/>
      <c r="AX294" s="60"/>
      <c r="AY294" s="60"/>
      <c r="BJ294" s="60"/>
      <c r="BK294" s="60"/>
    </row>
    <row r="295" spans="2:63" ht="13.2">
      <c r="B295" s="60"/>
      <c r="C295" s="60"/>
      <c r="N295" s="60"/>
      <c r="O295" s="60"/>
      <c r="Z295" s="60"/>
      <c r="AA295" s="60"/>
      <c r="AL295" s="60"/>
      <c r="AM295" s="60"/>
      <c r="AX295" s="60"/>
      <c r="AY295" s="60"/>
      <c r="BJ295" s="60"/>
      <c r="BK295" s="60"/>
    </row>
    <row r="296" spans="2:63" ht="13.2">
      <c r="B296" s="60"/>
      <c r="C296" s="60"/>
      <c r="N296" s="60"/>
      <c r="O296" s="60"/>
      <c r="Z296" s="60"/>
      <c r="AA296" s="60"/>
      <c r="AL296" s="60"/>
      <c r="AM296" s="60"/>
      <c r="AX296" s="60"/>
      <c r="AY296" s="60"/>
      <c r="BJ296" s="60"/>
      <c r="BK296" s="60"/>
    </row>
    <row r="297" spans="2:63" ht="13.2">
      <c r="B297" s="60"/>
      <c r="C297" s="60"/>
      <c r="N297" s="60"/>
      <c r="O297" s="60"/>
      <c r="Z297" s="60"/>
      <c r="AA297" s="60"/>
      <c r="AL297" s="60"/>
      <c r="AM297" s="60"/>
      <c r="AX297" s="60"/>
      <c r="AY297" s="60"/>
      <c r="BJ297" s="60"/>
      <c r="BK297" s="60"/>
    </row>
    <row r="298" spans="2:63" ht="13.2">
      <c r="B298" s="60"/>
      <c r="C298" s="60"/>
      <c r="N298" s="60"/>
      <c r="O298" s="60"/>
      <c r="Z298" s="60"/>
      <c r="AA298" s="60"/>
      <c r="AL298" s="60"/>
      <c r="AM298" s="60"/>
      <c r="AX298" s="60"/>
      <c r="AY298" s="60"/>
      <c r="BJ298" s="60"/>
      <c r="BK298" s="60"/>
    </row>
    <row r="299" spans="2:63" ht="13.2">
      <c r="B299" s="60"/>
      <c r="C299" s="60"/>
      <c r="N299" s="60"/>
      <c r="O299" s="60"/>
      <c r="Z299" s="60"/>
      <c r="AA299" s="60"/>
      <c r="AL299" s="60"/>
      <c r="AM299" s="60"/>
      <c r="AX299" s="60"/>
      <c r="AY299" s="60"/>
      <c r="BJ299" s="60"/>
      <c r="BK299" s="60"/>
    </row>
    <row r="300" spans="2:63" ht="13.2">
      <c r="B300" s="60"/>
      <c r="C300" s="60"/>
      <c r="N300" s="60"/>
      <c r="O300" s="60"/>
      <c r="Z300" s="60"/>
      <c r="AA300" s="60"/>
      <c r="AL300" s="60"/>
      <c r="AM300" s="60"/>
      <c r="AX300" s="60"/>
      <c r="AY300" s="60"/>
      <c r="BJ300" s="60"/>
      <c r="BK300" s="60"/>
    </row>
    <row r="301" spans="2:63" ht="13.2">
      <c r="B301" s="60"/>
      <c r="C301" s="60"/>
      <c r="N301" s="60"/>
      <c r="O301" s="60"/>
      <c r="Z301" s="60"/>
      <c r="AA301" s="60"/>
      <c r="AL301" s="60"/>
      <c r="AM301" s="60"/>
      <c r="AX301" s="60"/>
      <c r="AY301" s="60"/>
      <c r="BJ301" s="60"/>
      <c r="BK301" s="60"/>
    </row>
    <row r="302" spans="2:63" ht="13.2">
      <c r="B302" s="60"/>
      <c r="C302" s="60"/>
      <c r="N302" s="60"/>
      <c r="O302" s="60"/>
      <c r="Z302" s="60"/>
      <c r="AA302" s="60"/>
      <c r="AL302" s="60"/>
      <c r="AM302" s="60"/>
      <c r="AX302" s="60"/>
      <c r="AY302" s="60"/>
      <c r="BJ302" s="60"/>
      <c r="BK302" s="60"/>
    </row>
    <row r="303" spans="2:63" ht="13.2">
      <c r="B303" s="60"/>
      <c r="C303" s="60"/>
      <c r="N303" s="60"/>
      <c r="O303" s="60"/>
      <c r="Z303" s="60"/>
      <c r="AA303" s="60"/>
      <c r="AL303" s="60"/>
      <c r="AM303" s="60"/>
      <c r="AX303" s="60"/>
      <c r="AY303" s="60"/>
      <c r="BJ303" s="60"/>
      <c r="BK303" s="60"/>
    </row>
    <row r="304" spans="2:63" ht="13.2">
      <c r="B304" s="60"/>
      <c r="C304" s="60"/>
      <c r="N304" s="60"/>
      <c r="O304" s="60"/>
      <c r="Z304" s="60"/>
      <c r="AA304" s="60"/>
      <c r="AL304" s="60"/>
      <c r="AM304" s="60"/>
      <c r="AX304" s="60"/>
      <c r="AY304" s="60"/>
      <c r="BJ304" s="60"/>
      <c r="BK304" s="60"/>
    </row>
    <row r="305" spans="2:63" ht="13.2">
      <c r="B305" s="60"/>
      <c r="C305" s="60"/>
      <c r="N305" s="60"/>
      <c r="O305" s="60"/>
      <c r="Z305" s="60"/>
      <c r="AA305" s="60"/>
      <c r="AL305" s="60"/>
      <c r="AM305" s="60"/>
      <c r="AX305" s="60"/>
      <c r="AY305" s="60"/>
      <c r="BJ305" s="60"/>
      <c r="BK305" s="60"/>
    </row>
    <row r="306" spans="2:63" ht="13.2">
      <c r="B306" s="60"/>
      <c r="C306" s="60"/>
      <c r="N306" s="60"/>
      <c r="O306" s="60"/>
      <c r="Z306" s="60"/>
      <c r="AA306" s="60"/>
      <c r="AL306" s="60"/>
      <c r="AM306" s="60"/>
      <c r="AX306" s="60"/>
      <c r="AY306" s="60"/>
      <c r="BJ306" s="60"/>
      <c r="BK306" s="60"/>
    </row>
    <row r="307" spans="2:63" ht="13.2">
      <c r="B307" s="60"/>
      <c r="C307" s="60"/>
      <c r="N307" s="60"/>
      <c r="O307" s="60"/>
      <c r="Z307" s="60"/>
      <c r="AA307" s="60"/>
      <c r="AL307" s="60"/>
      <c r="AM307" s="60"/>
      <c r="AX307" s="60"/>
      <c r="AY307" s="60"/>
      <c r="BJ307" s="60"/>
      <c r="BK307" s="60"/>
    </row>
    <row r="308" spans="2:63" ht="13.2">
      <c r="B308" s="60"/>
      <c r="C308" s="60"/>
      <c r="N308" s="60"/>
      <c r="O308" s="60"/>
      <c r="Z308" s="60"/>
      <c r="AA308" s="60"/>
      <c r="AL308" s="60"/>
      <c r="AM308" s="60"/>
      <c r="AX308" s="60"/>
      <c r="AY308" s="60"/>
      <c r="BJ308" s="60"/>
      <c r="BK308" s="60"/>
    </row>
    <row r="309" spans="2:63" ht="13.2">
      <c r="B309" s="60"/>
      <c r="C309" s="60"/>
      <c r="N309" s="60"/>
      <c r="O309" s="60"/>
      <c r="Z309" s="60"/>
      <c r="AA309" s="60"/>
      <c r="AL309" s="60"/>
      <c r="AM309" s="60"/>
      <c r="AX309" s="60"/>
      <c r="AY309" s="60"/>
      <c r="BJ309" s="60"/>
      <c r="BK309" s="60"/>
    </row>
    <row r="310" spans="2:63" ht="13.2">
      <c r="B310" s="60"/>
      <c r="C310" s="60"/>
      <c r="N310" s="60"/>
      <c r="O310" s="60"/>
      <c r="Z310" s="60"/>
      <c r="AA310" s="60"/>
      <c r="AL310" s="60"/>
      <c r="AM310" s="60"/>
      <c r="AX310" s="60"/>
      <c r="AY310" s="60"/>
      <c r="BJ310" s="60"/>
      <c r="BK310" s="60"/>
    </row>
    <row r="311" spans="2:63" ht="13.2">
      <c r="B311" s="60"/>
      <c r="C311" s="60"/>
      <c r="N311" s="60"/>
      <c r="O311" s="60"/>
      <c r="Z311" s="60"/>
      <c r="AA311" s="60"/>
      <c r="AL311" s="60"/>
      <c r="AM311" s="60"/>
      <c r="AX311" s="60"/>
      <c r="AY311" s="60"/>
      <c r="BJ311" s="60"/>
      <c r="BK311" s="60"/>
    </row>
    <row r="312" spans="2:63" ht="13.2">
      <c r="B312" s="60"/>
      <c r="C312" s="60"/>
      <c r="N312" s="60"/>
      <c r="O312" s="60"/>
      <c r="Z312" s="60"/>
      <c r="AA312" s="60"/>
      <c r="AL312" s="60"/>
      <c r="AM312" s="60"/>
      <c r="AX312" s="60"/>
      <c r="AY312" s="60"/>
      <c r="BJ312" s="60"/>
      <c r="BK312" s="60"/>
    </row>
    <row r="313" spans="2:63" ht="13.2">
      <c r="B313" s="60"/>
      <c r="C313" s="60"/>
      <c r="N313" s="60"/>
      <c r="O313" s="60"/>
      <c r="Z313" s="60"/>
      <c r="AA313" s="60"/>
      <c r="AL313" s="60"/>
      <c r="AM313" s="60"/>
      <c r="AX313" s="60"/>
      <c r="AY313" s="60"/>
      <c r="BJ313" s="60"/>
      <c r="BK313" s="60"/>
    </row>
    <row r="314" spans="2:63" ht="13.2">
      <c r="B314" s="60"/>
      <c r="C314" s="60"/>
      <c r="N314" s="60"/>
      <c r="O314" s="60"/>
      <c r="Z314" s="60"/>
      <c r="AA314" s="60"/>
      <c r="AL314" s="60"/>
      <c r="AM314" s="60"/>
      <c r="AX314" s="60"/>
      <c r="AY314" s="60"/>
      <c r="BJ314" s="60"/>
      <c r="BK314" s="60"/>
    </row>
    <row r="315" spans="2:63" ht="13.2">
      <c r="B315" s="60"/>
      <c r="C315" s="60"/>
      <c r="N315" s="60"/>
      <c r="O315" s="60"/>
      <c r="Z315" s="60"/>
      <c r="AA315" s="60"/>
      <c r="AL315" s="60"/>
      <c r="AM315" s="60"/>
      <c r="AX315" s="60"/>
      <c r="AY315" s="60"/>
      <c r="BJ315" s="60"/>
      <c r="BK315" s="60"/>
    </row>
    <row r="316" spans="2:63" ht="13.2">
      <c r="B316" s="60"/>
      <c r="C316" s="60"/>
      <c r="N316" s="60"/>
      <c r="O316" s="60"/>
      <c r="Z316" s="60"/>
      <c r="AA316" s="60"/>
      <c r="AL316" s="60"/>
      <c r="AM316" s="60"/>
      <c r="AX316" s="60"/>
      <c r="AY316" s="60"/>
      <c r="BJ316" s="60"/>
      <c r="BK316" s="60"/>
    </row>
    <row r="317" spans="2:63" ht="13.2">
      <c r="B317" s="60"/>
      <c r="C317" s="60"/>
      <c r="N317" s="60"/>
      <c r="O317" s="60"/>
      <c r="Z317" s="60"/>
      <c r="AA317" s="60"/>
      <c r="AL317" s="60"/>
      <c r="AM317" s="60"/>
      <c r="AX317" s="60"/>
      <c r="AY317" s="60"/>
      <c r="BJ317" s="60"/>
      <c r="BK317" s="60"/>
    </row>
    <row r="318" spans="2:63" ht="13.2">
      <c r="B318" s="60"/>
      <c r="C318" s="60"/>
      <c r="N318" s="60"/>
      <c r="O318" s="60"/>
      <c r="Z318" s="60"/>
      <c r="AA318" s="60"/>
      <c r="AL318" s="60"/>
      <c r="AM318" s="60"/>
      <c r="AX318" s="60"/>
      <c r="AY318" s="60"/>
      <c r="BJ318" s="60"/>
      <c r="BK318" s="60"/>
    </row>
    <row r="319" spans="2:63" ht="13.2">
      <c r="B319" s="60"/>
      <c r="C319" s="60"/>
      <c r="N319" s="60"/>
      <c r="O319" s="60"/>
      <c r="Z319" s="60"/>
      <c r="AA319" s="60"/>
      <c r="AL319" s="60"/>
      <c r="AM319" s="60"/>
      <c r="AX319" s="60"/>
      <c r="AY319" s="60"/>
      <c r="BJ319" s="60"/>
      <c r="BK319" s="60"/>
    </row>
    <row r="320" spans="2:63" ht="13.2">
      <c r="B320" s="60"/>
      <c r="C320" s="60"/>
      <c r="N320" s="60"/>
      <c r="O320" s="60"/>
      <c r="Z320" s="60"/>
      <c r="AA320" s="60"/>
      <c r="AL320" s="60"/>
      <c r="AM320" s="60"/>
      <c r="AX320" s="60"/>
      <c r="AY320" s="60"/>
      <c r="BJ320" s="60"/>
      <c r="BK320" s="60"/>
    </row>
    <row r="321" spans="2:63" ht="13.2">
      <c r="B321" s="60"/>
      <c r="C321" s="60"/>
      <c r="N321" s="60"/>
      <c r="O321" s="60"/>
      <c r="Z321" s="60"/>
      <c r="AA321" s="60"/>
      <c r="AL321" s="60"/>
      <c r="AM321" s="60"/>
      <c r="AX321" s="60"/>
      <c r="AY321" s="60"/>
      <c r="BJ321" s="60"/>
      <c r="BK321" s="60"/>
    </row>
    <row r="322" spans="2:63" ht="13.2">
      <c r="B322" s="60"/>
      <c r="C322" s="60"/>
      <c r="N322" s="60"/>
      <c r="O322" s="60"/>
      <c r="Z322" s="60"/>
      <c r="AA322" s="60"/>
      <c r="AL322" s="60"/>
      <c r="AM322" s="60"/>
      <c r="AX322" s="60"/>
      <c r="AY322" s="60"/>
      <c r="BJ322" s="60"/>
      <c r="BK322" s="60"/>
    </row>
    <row r="323" spans="2:63" ht="13.2">
      <c r="B323" s="60"/>
      <c r="C323" s="60"/>
      <c r="N323" s="60"/>
      <c r="O323" s="60"/>
      <c r="Z323" s="60"/>
      <c r="AA323" s="60"/>
      <c r="AL323" s="60"/>
      <c r="AM323" s="60"/>
      <c r="AX323" s="60"/>
      <c r="AY323" s="60"/>
      <c r="BJ323" s="60"/>
      <c r="BK323" s="60"/>
    </row>
    <row r="324" spans="2:63" ht="13.2">
      <c r="B324" s="60"/>
      <c r="C324" s="60"/>
      <c r="N324" s="60"/>
      <c r="O324" s="60"/>
      <c r="Z324" s="60"/>
      <c r="AA324" s="60"/>
      <c r="AL324" s="60"/>
      <c r="AM324" s="60"/>
      <c r="AX324" s="60"/>
      <c r="AY324" s="60"/>
      <c r="BJ324" s="60"/>
      <c r="BK324" s="60"/>
    </row>
    <row r="325" spans="2:63" ht="13.2">
      <c r="B325" s="60"/>
      <c r="C325" s="60"/>
      <c r="N325" s="60"/>
      <c r="O325" s="60"/>
      <c r="Z325" s="60"/>
      <c r="AA325" s="60"/>
      <c r="AL325" s="60"/>
      <c r="AM325" s="60"/>
      <c r="AX325" s="60"/>
      <c r="AY325" s="60"/>
      <c r="BJ325" s="60"/>
      <c r="BK325" s="60"/>
    </row>
    <row r="326" spans="2:63" ht="13.2">
      <c r="B326" s="60"/>
      <c r="C326" s="60"/>
      <c r="N326" s="60"/>
      <c r="O326" s="60"/>
      <c r="Z326" s="60"/>
      <c r="AA326" s="60"/>
      <c r="AL326" s="60"/>
      <c r="AM326" s="60"/>
      <c r="AX326" s="60"/>
      <c r="AY326" s="60"/>
      <c r="BJ326" s="60"/>
      <c r="BK326" s="60"/>
    </row>
    <row r="327" spans="2:63" ht="13.2">
      <c r="B327" s="60"/>
      <c r="C327" s="60"/>
      <c r="N327" s="60"/>
      <c r="O327" s="60"/>
      <c r="Z327" s="60"/>
      <c r="AA327" s="60"/>
      <c r="AL327" s="60"/>
      <c r="AM327" s="60"/>
      <c r="AX327" s="60"/>
      <c r="AY327" s="60"/>
      <c r="BJ327" s="60"/>
      <c r="BK327" s="60"/>
    </row>
    <row r="328" spans="2:63" ht="13.2">
      <c r="B328" s="60"/>
      <c r="C328" s="60"/>
      <c r="N328" s="60"/>
      <c r="O328" s="60"/>
      <c r="Z328" s="60"/>
      <c r="AA328" s="60"/>
      <c r="AL328" s="60"/>
      <c r="AM328" s="60"/>
      <c r="AX328" s="60"/>
      <c r="AY328" s="60"/>
      <c r="BJ328" s="60"/>
      <c r="BK328" s="60"/>
    </row>
    <row r="329" spans="2:63" ht="13.2">
      <c r="B329" s="60"/>
      <c r="C329" s="60"/>
      <c r="N329" s="60"/>
      <c r="O329" s="60"/>
      <c r="Z329" s="60"/>
      <c r="AA329" s="60"/>
      <c r="AL329" s="60"/>
      <c r="AM329" s="60"/>
      <c r="AX329" s="60"/>
      <c r="AY329" s="60"/>
      <c r="BJ329" s="60"/>
      <c r="BK329" s="60"/>
    </row>
    <row r="330" spans="2:63" ht="13.2">
      <c r="B330" s="60"/>
      <c r="C330" s="60"/>
      <c r="N330" s="60"/>
      <c r="O330" s="60"/>
      <c r="Z330" s="60"/>
      <c r="AA330" s="60"/>
      <c r="AL330" s="60"/>
      <c r="AM330" s="60"/>
      <c r="AX330" s="60"/>
      <c r="AY330" s="60"/>
      <c r="BJ330" s="60"/>
      <c r="BK330" s="60"/>
    </row>
    <row r="331" spans="2:63" ht="13.2">
      <c r="B331" s="60"/>
      <c r="C331" s="60"/>
      <c r="N331" s="60"/>
      <c r="O331" s="60"/>
      <c r="Z331" s="60"/>
      <c r="AA331" s="60"/>
      <c r="AL331" s="60"/>
      <c r="AM331" s="60"/>
      <c r="AX331" s="60"/>
      <c r="AY331" s="60"/>
      <c r="BJ331" s="60"/>
      <c r="BK331" s="60"/>
    </row>
    <row r="332" spans="2:63" ht="13.2">
      <c r="B332" s="60"/>
      <c r="C332" s="60"/>
      <c r="N332" s="60"/>
      <c r="O332" s="60"/>
      <c r="Z332" s="60"/>
      <c r="AA332" s="60"/>
      <c r="AL332" s="60"/>
      <c r="AM332" s="60"/>
      <c r="AX332" s="60"/>
      <c r="AY332" s="60"/>
      <c r="BJ332" s="60"/>
      <c r="BK332" s="60"/>
    </row>
    <row r="333" spans="2:63" ht="13.2">
      <c r="B333" s="60"/>
      <c r="C333" s="60"/>
      <c r="N333" s="60"/>
      <c r="O333" s="60"/>
      <c r="Z333" s="60"/>
      <c r="AA333" s="60"/>
      <c r="AL333" s="60"/>
      <c r="AM333" s="60"/>
      <c r="AX333" s="60"/>
      <c r="AY333" s="60"/>
      <c r="BJ333" s="60"/>
      <c r="BK333" s="60"/>
    </row>
    <row r="334" spans="2:63" ht="13.2">
      <c r="B334" s="60"/>
      <c r="C334" s="60"/>
      <c r="N334" s="60"/>
      <c r="O334" s="60"/>
      <c r="Z334" s="60"/>
      <c r="AA334" s="60"/>
      <c r="AL334" s="60"/>
      <c r="AM334" s="60"/>
      <c r="AX334" s="60"/>
      <c r="AY334" s="60"/>
      <c r="BJ334" s="60"/>
      <c r="BK334" s="60"/>
    </row>
    <row r="335" spans="2:63" ht="13.2">
      <c r="B335" s="60"/>
      <c r="C335" s="60"/>
      <c r="N335" s="60"/>
      <c r="O335" s="60"/>
      <c r="Z335" s="60"/>
      <c r="AA335" s="60"/>
      <c r="AL335" s="60"/>
      <c r="AM335" s="60"/>
      <c r="AX335" s="60"/>
      <c r="AY335" s="60"/>
      <c r="BJ335" s="60"/>
      <c r="BK335" s="60"/>
    </row>
    <row r="336" spans="2:63" ht="13.2">
      <c r="B336" s="60"/>
      <c r="C336" s="60"/>
      <c r="N336" s="60"/>
      <c r="O336" s="60"/>
      <c r="Z336" s="60"/>
      <c r="AA336" s="60"/>
      <c r="AL336" s="60"/>
      <c r="AM336" s="60"/>
      <c r="AX336" s="60"/>
      <c r="AY336" s="60"/>
      <c r="BJ336" s="60"/>
      <c r="BK336" s="60"/>
    </row>
    <row r="337" spans="2:63" ht="13.2">
      <c r="B337" s="60"/>
      <c r="C337" s="60"/>
      <c r="N337" s="60"/>
      <c r="O337" s="60"/>
      <c r="Z337" s="60"/>
      <c r="AA337" s="60"/>
      <c r="AL337" s="60"/>
      <c r="AM337" s="60"/>
      <c r="AX337" s="60"/>
      <c r="AY337" s="60"/>
      <c r="BJ337" s="60"/>
      <c r="BK337" s="60"/>
    </row>
    <row r="338" spans="2:63" ht="13.2">
      <c r="B338" s="60"/>
      <c r="C338" s="60"/>
      <c r="N338" s="60"/>
      <c r="O338" s="60"/>
      <c r="Z338" s="60"/>
      <c r="AA338" s="60"/>
      <c r="AL338" s="60"/>
      <c r="AM338" s="60"/>
      <c r="AX338" s="60"/>
      <c r="AY338" s="60"/>
      <c r="BJ338" s="60"/>
      <c r="BK338" s="60"/>
    </row>
    <row r="339" spans="2:63" ht="13.2">
      <c r="B339" s="60"/>
      <c r="C339" s="60"/>
      <c r="N339" s="60"/>
      <c r="O339" s="60"/>
      <c r="Z339" s="60"/>
      <c r="AA339" s="60"/>
      <c r="AL339" s="60"/>
      <c r="AM339" s="60"/>
      <c r="AX339" s="60"/>
      <c r="AY339" s="60"/>
      <c r="BJ339" s="60"/>
      <c r="BK339" s="60"/>
    </row>
    <row r="340" spans="2:63" ht="13.2">
      <c r="B340" s="60"/>
      <c r="C340" s="60"/>
      <c r="N340" s="60"/>
      <c r="O340" s="60"/>
      <c r="Z340" s="60"/>
      <c r="AA340" s="60"/>
      <c r="AL340" s="60"/>
      <c r="AM340" s="60"/>
      <c r="AX340" s="60"/>
      <c r="AY340" s="60"/>
      <c r="BJ340" s="60"/>
      <c r="BK340" s="60"/>
    </row>
    <row r="341" spans="2:63" ht="13.2">
      <c r="B341" s="60"/>
      <c r="C341" s="60"/>
      <c r="N341" s="60"/>
      <c r="O341" s="60"/>
      <c r="Z341" s="60"/>
      <c r="AA341" s="60"/>
      <c r="AL341" s="60"/>
      <c r="AM341" s="60"/>
      <c r="AX341" s="60"/>
      <c r="AY341" s="60"/>
      <c r="BJ341" s="60"/>
      <c r="BK341" s="60"/>
    </row>
    <row r="342" spans="2:63" ht="13.2">
      <c r="B342" s="60"/>
      <c r="C342" s="60"/>
      <c r="N342" s="60"/>
      <c r="O342" s="60"/>
      <c r="Z342" s="60"/>
      <c r="AA342" s="60"/>
      <c r="AL342" s="60"/>
      <c r="AM342" s="60"/>
      <c r="AX342" s="60"/>
      <c r="AY342" s="60"/>
      <c r="BJ342" s="60"/>
      <c r="BK342" s="60"/>
    </row>
    <row r="343" spans="2:63" ht="13.2">
      <c r="B343" s="60"/>
      <c r="C343" s="60"/>
      <c r="N343" s="60"/>
      <c r="O343" s="60"/>
      <c r="Z343" s="60"/>
      <c r="AA343" s="60"/>
      <c r="AL343" s="60"/>
      <c r="AM343" s="60"/>
      <c r="AX343" s="60"/>
      <c r="AY343" s="60"/>
      <c r="BJ343" s="60"/>
      <c r="BK343" s="60"/>
    </row>
    <row r="344" spans="2:63" ht="13.2">
      <c r="B344" s="60"/>
      <c r="C344" s="60"/>
      <c r="N344" s="60"/>
      <c r="O344" s="60"/>
      <c r="Z344" s="60"/>
      <c r="AA344" s="60"/>
      <c r="AL344" s="60"/>
      <c r="AM344" s="60"/>
      <c r="AX344" s="60"/>
      <c r="AY344" s="60"/>
      <c r="BJ344" s="60"/>
      <c r="BK344" s="60"/>
    </row>
    <row r="345" spans="2:63" ht="13.2">
      <c r="B345" s="60"/>
      <c r="C345" s="60"/>
      <c r="N345" s="60"/>
      <c r="O345" s="60"/>
      <c r="Z345" s="60"/>
      <c r="AA345" s="60"/>
      <c r="AL345" s="60"/>
      <c r="AM345" s="60"/>
      <c r="AX345" s="60"/>
      <c r="AY345" s="60"/>
      <c r="BJ345" s="60"/>
      <c r="BK345" s="60"/>
    </row>
    <row r="346" spans="2:63" ht="13.2">
      <c r="B346" s="60"/>
      <c r="C346" s="60"/>
      <c r="N346" s="60"/>
      <c r="O346" s="60"/>
      <c r="Z346" s="60"/>
      <c r="AA346" s="60"/>
      <c r="AL346" s="60"/>
      <c r="AM346" s="60"/>
      <c r="AX346" s="60"/>
      <c r="AY346" s="60"/>
      <c r="BJ346" s="60"/>
      <c r="BK346" s="60"/>
    </row>
    <row r="347" spans="2:63" ht="13.2">
      <c r="B347" s="60"/>
      <c r="C347" s="60"/>
      <c r="N347" s="60"/>
      <c r="O347" s="60"/>
      <c r="Z347" s="60"/>
      <c r="AA347" s="60"/>
      <c r="AL347" s="60"/>
      <c r="AM347" s="60"/>
      <c r="AX347" s="60"/>
      <c r="AY347" s="60"/>
      <c r="BJ347" s="60"/>
      <c r="BK347" s="60"/>
    </row>
    <row r="348" spans="2:63" ht="13.2">
      <c r="B348" s="60"/>
      <c r="C348" s="60"/>
      <c r="N348" s="60"/>
      <c r="O348" s="60"/>
      <c r="Z348" s="60"/>
      <c r="AA348" s="60"/>
      <c r="AL348" s="60"/>
      <c r="AM348" s="60"/>
      <c r="AX348" s="60"/>
      <c r="AY348" s="60"/>
      <c r="BJ348" s="60"/>
      <c r="BK348" s="60"/>
    </row>
    <row r="349" spans="2:63" ht="13.2">
      <c r="B349" s="60"/>
      <c r="C349" s="60"/>
      <c r="N349" s="60"/>
      <c r="O349" s="60"/>
      <c r="Z349" s="60"/>
      <c r="AA349" s="60"/>
      <c r="AL349" s="60"/>
      <c r="AM349" s="60"/>
      <c r="AX349" s="60"/>
      <c r="AY349" s="60"/>
      <c r="BJ349" s="60"/>
      <c r="BK349" s="60"/>
    </row>
    <row r="350" spans="2:63" ht="13.2">
      <c r="B350" s="60"/>
      <c r="C350" s="60"/>
      <c r="N350" s="60"/>
      <c r="O350" s="60"/>
      <c r="Z350" s="60"/>
      <c r="AA350" s="60"/>
      <c r="AL350" s="60"/>
      <c r="AM350" s="60"/>
      <c r="AX350" s="60"/>
      <c r="AY350" s="60"/>
      <c r="BJ350" s="60"/>
      <c r="BK350" s="60"/>
    </row>
    <row r="351" spans="2:63" ht="13.2">
      <c r="B351" s="60"/>
      <c r="C351" s="60"/>
      <c r="N351" s="60"/>
      <c r="O351" s="60"/>
      <c r="Z351" s="60"/>
      <c r="AA351" s="60"/>
      <c r="AL351" s="60"/>
      <c r="AM351" s="60"/>
      <c r="AX351" s="60"/>
      <c r="AY351" s="60"/>
      <c r="BJ351" s="60"/>
      <c r="BK351" s="60"/>
    </row>
    <row r="352" spans="2:63" ht="13.2">
      <c r="B352" s="60"/>
      <c r="C352" s="60"/>
      <c r="N352" s="60"/>
      <c r="O352" s="60"/>
      <c r="Z352" s="60"/>
      <c r="AA352" s="60"/>
      <c r="AL352" s="60"/>
      <c r="AM352" s="60"/>
      <c r="AX352" s="60"/>
      <c r="AY352" s="60"/>
      <c r="BJ352" s="60"/>
      <c r="BK352" s="60"/>
    </row>
    <row r="353" spans="2:63" ht="13.2">
      <c r="B353" s="60"/>
      <c r="C353" s="60"/>
      <c r="N353" s="60"/>
      <c r="O353" s="60"/>
      <c r="Z353" s="60"/>
      <c r="AA353" s="60"/>
      <c r="AL353" s="60"/>
      <c r="AM353" s="60"/>
      <c r="AX353" s="60"/>
      <c r="AY353" s="60"/>
      <c r="BJ353" s="60"/>
      <c r="BK353" s="60"/>
    </row>
    <row r="354" spans="2:63" ht="13.2">
      <c r="B354" s="60"/>
      <c r="C354" s="60"/>
      <c r="N354" s="60"/>
      <c r="O354" s="60"/>
      <c r="Z354" s="60"/>
      <c r="AA354" s="60"/>
      <c r="AL354" s="60"/>
      <c r="AM354" s="60"/>
      <c r="AX354" s="60"/>
      <c r="AY354" s="60"/>
      <c r="BJ354" s="60"/>
      <c r="BK354" s="60"/>
    </row>
    <row r="355" spans="2:63" ht="13.2">
      <c r="B355" s="60"/>
      <c r="C355" s="60"/>
      <c r="N355" s="60"/>
      <c r="O355" s="60"/>
      <c r="Z355" s="60"/>
      <c r="AA355" s="60"/>
      <c r="AL355" s="60"/>
      <c r="AM355" s="60"/>
      <c r="AX355" s="60"/>
      <c r="AY355" s="60"/>
      <c r="BJ355" s="60"/>
      <c r="BK355" s="60"/>
    </row>
    <row r="356" spans="2:63" ht="13.2">
      <c r="B356" s="60"/>
      <c r="C356" s="60"/>
      <c r="N356" s="60"/>
      <c r="O356" s="60"/>
      <c r="Z356" s="60"/>
      <c r="AA356" s="60"/>
      <c r="AL356" s="60"/>
      <c r="AM356" s="60"/>
      <c r="AX356" s="60"/>
      <c r="AY356" s="60"/>
      <c r="BJ356" s="60"/>
      <c r="BK356" s="60"/>
    </row>
    <row r="357" spans="2:63" ht="13.2">
      <c r="B357" s="60"/>
      <c r="C357" s="60"/>
      <c r="N357" s="60"/>
      <c r="O357" s="60"/>
      <c r="Z357" s="60"/>
      <c r="AA357" s="60"/>
      <c r="AL357" s="60"/>
      <c r="AM357" s="60"/>
      <c r="AX357" s="60"/>
      <c r="AY357" s="60"/>
      <c r="BJ357" s="60"/>
      <c r="BK357" s="60"/>
    </row>
    <row r="358" spans="2:63" ht="13.2">
      <c r="B358" s="60"/>
      <c r="C358" s="60"/>
      <c r="N358" s="60"/>
      <c r="O358" s="60"/>
      <c r="Z358" s="60"/>
      <c r="AA358" s="60"/>
      <c r="AL358" s="60"/>
      <c r="AM358" s="60"/>
      <c r="AX358" s="60"/>
      <c r="AY358" s="60"/>
      <c r="BJ358" s="60"/>
      <c r="BK358" s="60"/>
    </row>
    <row r="359" spans="2:63" ht="13.2">
      <c r="B359" s="60"/>
      <c r="C359" s="60"/>
      <c r="N359" s="60"/>
      <c r="O359" s="60"/>
      <c r="Z359" s="60"/>
      <c r="AA359" s="60"/>
      <c r="AL359" s="60"/>
      <c r="AM359" s="60"/>
      <c r="AX359" s="60"/>
      <c r="AY359" s="60"/>
      <c r="BJ359" s="60"/>
      <c r="BK359" s="60"/>
    </row>
    <row r="360" spans="2:63" ht="13.2">
      <c r="B360" s="60"/>
      <c r="C360" s="60"/>
      <c r="N360" s="60"/>
      <c r="O360" s="60"/>
      <c r="Z360" s="60"/>
      <c r="AA360" s="60"/>
      <c r="AL360" s="60"/>
      <c r="AM360" s="60"/>
      <c r="AX360" s="60"/>
      <c r="AY360" s="60"/>
      <c r="BJ360" s="60"/>
      <c r="BK360" s="60"/>
    </row>
    <row r="361" spans="2:63" ht="13.2">
      <c r="B361" s="60"/>
      <c r="C361" s="60"/>
      <c r="N361" s="60"/>
      <c r="O361" s="60"/>
      <c r="Z361" s="60"/>
      <c r="AA361" s="60"/>
      <c r="AL361" s="60"/>
      <c r="AM361" s="60"/>
      <c r="AX361" s="60"/>
      <c r="AY361" s="60"/>
      <c r="BJ361" s="60"/>
      <c r="BK361" s="60"/>
    </row>
    <row r="362" spans="2:63" ht="13.2">
      <c r="B362" s="60"/>
      <c r="C362" s="60"/>
      <c r="N362" s="60"/>
      <c r="O362" s="60"/>
      <c r="Z362" s="60"/>
      <c r="AA362" s="60"/>
      <c r="AL362" s="60"/>
      <c r="AM362" s="60"/>
      <c r="AX362" s="60"/>
      <c r="AY362" s="60"/>
      <c r="BJ362" s="60"/>
      <c r="BK362" s="60"/>
    </row>
    <row r="363" spans="2:63" ht="13.2">
      <c r="B363" s="60"/>
      <c r="C363" s="60"/>
      <c r="N363" s="60"/>
      <c r="O363" s="60"/>
      <c r="Z363" s="60"/>
      <c r="AA363" s="60"/>
      <c r="AL363" s="60"/>
      <c r="AM363" s="60"/>
      <c r="AX363" s="60"/>
      <c r="AY363" s="60"/>
      <c r="BJ363" s="60"/>
      <c r="BK363" s="60"/>
    </row>
    <row r="364" spans="2:63" ht="13.2">
      <c r="B364" s="60"/>
      <c r="C364" s="60"/>
      <c r="N364" s="60"/>
      <c r="O364" s="60"/>
      <c r="Z364" s="60"/>
      <c r="AA364" s="60"/>
      <c r="AL364" s="60"/>
      <c r="AM364" s="60"/>
      <c r="AX364" s="60"/>
      <c r="AY364" s="60"/>
      <c r="BJ364" s="60"/>
      <c r="BK364" s="60"/>
    </row>
    <row r="365" spans="2:63" ht="13.2">
      <c r="B365" s="60"/>
      <c r="C365" s="60"/>
      <c r="N365" s="60"/>
      <c r="O365" s="60"/>
      <c r="Z365" s="60"/>
      <c r="AA365" s="60"/>
      <c r="AL365" s="60"/>
      <c r="AM365" s="60"/>
      <c r="AX365" s="60"/>
      <c r="AY365" s="60"/>
      <c r="BJ365" s="60"/>
      <c r="BK365" s="60"/>
    </row>
    <row r="366" spans="2:63" ht="13.2">
      <c r="B366" s="60"/>
      <c r="C366" s="60"/>
      <c r="N366" s="60"/>
      <c r="O366" s="60"/>
      <c r="Z366" s="60"/>
      <c r="AA366" s="60"/>
      <c r="AL366" s="60"/>
      <c r="AM366" s="60"/>
      <c r="AX366" s="60"/>
      <c r="AY366" s="60"/>
      <c r="BJ366" s="60"/>
      <c r="BK366" s="60"/>
    </row>
    <row r="367" spans="2:63" ht="13.2">
      <c r="B367" s="60"/>
      <c r="C367" s="60"/>
      <c r="N367" s="60"/>
      <c r="O367" s="60"/>
      <c r="Z367" s="60"/>
      <c r="AA367" s="60"/>
      <c r="AL367" s="60"/>
      <c r="AM367" s="60"/>
      <c r="AX367" s="60"/>
      <c r="AY367" s="60"/>
      <c r="BJ367" s="60"/>
      <c r="BK367" s="60"/>
    </row>
    <row r="368" spans="2:63" ht="13.2">
      <c r="B368" s="60"/>
      <c r="C368" s="60"/>
      <c r="N368" s="60"/>
      <c r="O368" s="60"/>
      <c r="Z368" s="60"/>
      <c r="AA368" s="60"/>
      <c r="AL368" s="60"/>
      <c r="AM368" s="60"/>
      <c r="AX368" s="60"/>
      <c r="AY368" s="60"/>
      <c r="BJ368" s="60"/>
      <c r="BK368" s="60"/>
    </row>
    <row r="369" spans="2:63" ht="13.2">
      <c r="B369" s="60"/>
      <c r="C369" s="60"/>
      <c r="N369" s="60"/>
      <c r="O369" s="60"/>
      <c r="Z369" s="60"/>
      <c r="AA369" s="60"/>
      <c r="AL369" s="60"/>
      <c r="AM369" s="60"/>
      <c r="AX369" s="60"/>
      <c r="AY369" s="60"/>
      <c r="BJ369" s="60"/>
      <c r="BK369" s="60"/>
    </row>
    <row r="370" spans="2:63" ht="13.2">
      <c r="B370" s="60"/>
      <c r="C370" s="60"/>
      <c r="N370" s="60"/>
      <c r="O370" s="60"/>
      <c r="Z370" s="60"/>
      <c r="AA370" s="60"/>
      <c r="AL370" s="60"/>
      <c r="AM370" s="60"/>
      <c r="AX370" s="60"/>
      <c r="AY370" s="60"/>
      <c r="BJ370" s="60"/>
      <c r="BK370" s="60"/>
    </row>
    <row r="371" spans="2:63" ht="13.2">
      <c r="B371" s="60"/>
      <c r="C371" s="60"/>
      <c r="N371" s="60"/>
      <c r="O371" s="60"/>
      <c r="Z371" s="60"/>
      <c r="AA371" s="60"/>
      <c r="AL371" s="60"/>
      <c r="AM371" s="60"/>
      <c r="AX371" s="60"/>
      <c r="AY371" s="60"/>
      <c r="BJ371" s="60"/>
      <c r="BK371" s="60"/>
    </row>
    <row r="372" spans="2:63" ht="13.2">
      <c r="B372" s="60"/>
      <c r="C372" s="60"/>
      <c r="N372" s="60"/>
      <c r="O372" s="60"/>
      <c r="Z372" s="60"/>
      <c r="AA372" s="60"/>
      <c r="AL372" s="60"/>
      <c r="AM372" s="60"/>
      <c r="AX372" s="60"/>
      <c r="AY372" s="60"/>
      <c r="BJ372" s="60"/>
      <c r="BK372" s="60"/>
    </row>
    <row r="373" spans="2:63" ht="13.2">
      <c r="B373" s="60"/>
      <c r="C373" s="60"/>
      <c r="N373" s="60"/>
      <c r="O373" s="60"/>
      <c r="Z373" s="60"/>
      <c r="AA373" s="60"/>
      <c r="AL373" s="60"/>
      <c r="AM373" s="60"/>
      <c r="AX373" s="60"/>
      <c r="AY373" s="60"/>
      <c r="BJ373" s="60"/>
      <c r="BK373" s="60"/>
    </row>
    <row r="374" spans="2:63" ht="13.2">
      <c r="B374" s="60"/>
      <c r="C374" s="60"/>
      <c r="N374" s="60"/>
      <c r="O374" s="60"/>
      <c r="Z374" s="60"/>
      <c r="AA374" s="60"/>
      <c r="AL374" s="60"/>
      <c r="AM374" s="60"/>
      <c r="AX374" s="60"/>
      <c r="AY374" s="60"/>
      <c r="BJ374" s="60"/>
      <c r="BK374" s="60"/>
    </row>
    <row r="375" spans="2:63" ht="13.2">
      <c r="B375" s="60"/>
      <c r="C375" s="60"/>
      <c r="N375" s="60"/>
      <c r="O375" s="60"/>
      <c r="Z375" s="60"/>
      <c r="AA375" s="60"/>
      <c r="AL375" s="60"/>
      <c r="AM375" s="60"/>
      <c r="AX375" s="60"/>
      <c r="AY375" s="60"/>
      <c r="BJ375" s="60"/>
      <c r="BK375" s="60"/>
    </row>
    <row r="376" spans="2:63" ht="13.2">
      <c r="B376" s="60"/>
      <c r="C376" s="60"/>
      <c r="N376" s="60"/>
      <c r="O376" s="60"/>
      <c r="Z376" s="60"/>
      <c r="AA376" s="60"/>
      <c r="AL376" s="60"/>
      <c r="AM376" s="60"/>
      <c r="AX376" s="60"/>
      <c r="AY376" s="60"/>
      <c r="BJ376" s="60"/>
      <c r="BK376" s="60"/>
    </row>
    <row r="377" spans="2:63" ht="13.2">
      <c r="B377" s="60"/>
      <c r="C377" s="60"/>
      <c r="N377" s="60"/>
      <c r="O377" s="60"/>
      <c r="Z377" s="60"/>
      <c r="AA377" s="60"/>
      <c r="AL377" s="60"/>
      <c r="AM377" s="60"/>
      <c r="AX377" s="60"/>
      <c r="AY377" s="60"/>
      <c r="BJ377" s="60"/>
      <c r="BK377" s="60"/>
    </row>
    <row r="378" spans="2:63" ht="13.2">
      <c r="B378" s="60"/>
      <c r="C378" s="60"/>
      <c r="N378" s="60"/>
      <c r="O378" s="60"/>
      <c r="Z378" s="60"/>
      <c r="AA378" s="60"/>
      <c r="AL378" s="60"/>
      <c r="AM378" s="60"/>
      <c r="AX378" s="60"/>
      <c r="AY378" s="60"/>
      <c r="BJ378" s="60"/>
      <c r="BK378" s="60"/>
    </row>
    <row r="379" spans="2:63" ht="13.2">
      <c r="B379" s="60"/>
      <c r="C379" s="60"/>
      <c r="N379" s="60"/>
      <c r="O379" s="60"/>
      <c r="Z379" s="60"/>
      <c r="AA379" s="60"/>
      <c r="AL379" s="60"/>
      <c r="AM379" s="60"/>
      <c r="AX379" s="60"/>
      <c r="AY379" s="60"/>
      <c r="BJ379" s="60"/>
      <c r="BK379" s="60"/>
    </row>
    <row r="380" spans="2:63" ht="13.2">
      <c r="B380" s="60"/>
      <c r="C380" s="60"/>
      <c r="N380" s="60"/>
      <c r="O380" s="60"/>
      <c r="Z380" s="60"/>
      <c r="AA380" s="60"/>
      <c r="AL380" s="60"/>
      <c r="AM380" s="60"/>
      <c r="AX380" s="60"/>
      <c r="AY380" s="60"/>
      <c r="BJ380" s="60"/>
      <c r="BK380" s="60"/>
    </row>
    <row r="381" spans="2:63" ht="13.2">
      <c r="B381" s="60"/>
      <c r="C381" s="60"/>
      <c r="N381" s="60"/>
      <c r="O381" s="60"/>
      <c r="Z381" s="60"/>
      <c r="AA381" s="60"/>
      <c r="AL381" s="60"/>
      <c r="AM381" s="60"/>
      <c r="AX381" s="60"/>
      <c r="AY381" s="60"/>
      <c r="BJ381" s="60"/>
      <c r="BK381" s="60"/>
    </row>
    <row r="382" spans="2:63" ht="13.2">
      <c r="B382" s="60"/>
      <c r="C382" s="60"/>
      <c r="N382" s="60"/>
      <c r="O382" s="60"/>
      <c r="Z382" s="60"/>
      <c r="AA382" s="60"/>
      <c r="AL382" s="60"/>
      <c r="AM382" s="60"/>
      <c r="AX382" s="60"/>
      <c r="AY382" s="60"/>
      <c r="BJ382" s="60"/>
      <c r="BK382" s="60"/>
    </row>
    <row r="383" spans="2:63" ht="13.2">
      <c r="B383" s="60"/>
      <c r="C383" s="60"/>
      <c r="N383" s="60"/>
      <c r="O383" s="60"/>
      <c r="Z383" s="60"/>
      <c r="AA383" s="60"/>
      <c r="AL383" s="60"/>
      <c r="AM383" s="60"/>
      <c r="AX383" s="60"/>
      <c r="AY383" s="60"/>
      <c r="BJ383" s="60"/>
      <c r="BK383" s="60"/>
    </row>
    <row r="384" spans="2:63" ht="13.2">
      <c r="B384" s="60"/>
      <c r="C384" s="60"/>
      <c r="N384" s="60"/>
      <c r="O384" s="60"/>
      <c r="Z384" s="60"/>
      <c r="AA384" s="60"/>
      <c r="AL384" s="60"/>
      <c r="AM384" s="60"/>
      <c r="AX384" s="60"/>
      <c r="AY384" s="60"/>
      <c r="BJ384" s="60"/>
      <c r="BK384" s="60"/>
    </row>
    <row r="385" spans="2:63" ht="13.2">
      <c r="B385" s="60"/>
      <c r="C385" s="60"/>
      <c r="N385" s="60"/>
      <c r="O385" s="60"/>
      <c r="Z385" s="60"/>
      <c r="AA385" s="60"/>
      <c r="AL385" s="60"/>
      <c r="AM385" s="60"/>
      <c r="AX385" s="60"/>
      <c r="AY385" s="60"/>
      <c r="BJ385" s="60"/>
      <c r="BK385" s="60"/>
    </row>
    <row r="386" spans="2:63" ht="13.2">
      <c r="B386" s="60"/>
      <c r="C386" s="60"/>
      <c r="N386" s="60"/>
      <c r="O386" s="60"/>
      <c r="Z386" s="60"/>
      <c r="AA386" s="60"/>
      <c r="AL386" s="60"/>
      <c r="AM386" s="60"/>
      <c r="AX386" s="60"/>
      <c r="AY386" s="60"/>
      <c r="BJ386" s="60"/>
      <c r="BK386" s="60"/>
    </row>
    <row r="387" spans="2:63" ht="13.2">
      <c r="B387" s="60"/>
      <c r="C387" s="60"/>
      <c r="N387" s="60"/>
      <c r="O387" s="60"/>
      <c r="Z387" s="60"/>
      <c r="AA387" s="60"/>
      <c r="AL387" s="60"/>
      <c r="AM387" s="60"/>
      <c r="AX387" s="60"/>
      <c r="AY387" s="60"/>
      <c r="BJ387" s="60"/>
      <c r="BK387" s="60"/>
    </row>
    <row r="388" spans="2:63" ht="13.2">
      <c r="B388" s="60"/>
      <c r="C388" s="60"/>
      <c r="N388" s="60"/>
      <c r="O388" s="60"/>
      <c r="Z388" s="60"/>
      <c r="AA388" s="60"/>
      <c r="AL388" s="60"/>
      <c r="AM388" s="60"/>
      <c r="AX388" s="60"/>
      <c r="AY388" s="60"/>
      <c r="BJ388" s="60"/>
      <c r="BK388" s="60"/>
    </row>
    <row r="389" spans="2:63" ht="13.2">
      <c r="B389" s="60"/>
      <c r="C389" s="60"/>
      <c r="N389" s="60"/>
      <c r="O389" s="60"/>
      <c r="Z389" s="60"/>
      <c r="AA389" s="60"/>
      <c r="AL389" s="60"/>
      <c r="AM389" s="60"/>
      <c r="AX389" s="60"/>
      <c r="AY389" s="60"/>
      <c r="BJ389" s="60"/>
      <c r="BK389" s="60"/>
    </row>
    <row r="390" spans="2:63" ht="13.2">
      <c r="B390" s="60"/>
      <c r="C390" s="60"/>
      <c r="N390" s="60"/>
      <c r="O390" s="60"/>
      <c r="Z390" s="60"/>
      <c r="AA390" s="60"/>
      <c r="AL390" s="60"/>
      <c r="AM390" s="60"/>
      <c r="AX390" s="60"/>
      <c r="AY390" s="60"/>
      <c r="BJ390" s="60"/>
      <c r="BK390" s="60"/>
    </row>
    <row r="391" spans="2:63" ht="13.2">
      <c r="B391" s="60"/>
      <c r="C391" s="60"/>
      <c r="N391" s="60"/>
      <c r="O391" s="60"/>
      <c r="Z391" s="60"/>
      <c r="AA391" s="60"/>
      <c r="AL391" s="60"/>
      <c r="AM391" s="60"/>
      <c r="AX391" s="60"/>
      <c r="AY391" s="60"/>
      <c r="BJ391" s="60"/>
      <c r="BK391" s="60"/>
    </row>
    <row r="392" spans="2:63" ht="13.2">
      <c r="B392" s="60"/>
      <c r="C392" s="60"/>
      <c r="N392" s="60"/>
      <c r="O392" s="60"/>
      <c r="Z392" s="60"/>
      <c r="AA392" s="60"/>
      <c r="AL392" s="60"/>
      <c r="AM392" s="60"/>
      <c r="AX392" s="60"/>
      <c r="AY392" s="60"/>
      <c r="BJ392" s="60"/>
      <c r="BK392" s="60"/>
    </row>
    <row r="393" spans="2:63" ht="13.2">
      <c r="B393" s="60"/>
      <c r="C393" s="60"/>
      <c r="N393" s="60"/>
      <c r="O393" s="60"/>
      <c r="Z393" s="60"/>
      <c r="AA393" s="60"/>
      <c r="AL393" s="60"/>
      <c r="AM393" s="60"/>
      <c r="AX393" s="60"/>
      <c r="AY393" s="60"/>
      <c r="BJ393" s="60"/>
      <c r="BK393" s="60"/>
    </row>
    <row r="394" spans="2:63" ht="13.2">
      <c r="B394" s="60"/>
      <c r="C394" s="60"/>
      <c r="N394" s="60"/>
      <c r="O394" s="60"/>
      <c r="Z394" s="60"/>
      <c r="AA394" s="60"/>
      <c r="AL394" s="60"/>
      <c r="AM394" s="60"/>
      <c r="AX394" s="60"/>
      <c r="AY394" s="60"/>
      <c r="BJ394" s="60"/>
      <c r="BK394" s="60"/>
    </row>
    <row r="395" spans="2:63" ht="13.2">
      <c r="B395" s="60"/>
      <c r="C395" s="60"/>
      <c r="N395" s="60"/>
      <c r="O395" s="60"/>
      <c r="Z395" s="60"/>
      <c r="AA395" s="60"/>
      <c r="AL395" s="60"/>
      <c r="AM395" s="60"/>
      <c r="AX395" s="60"/>
      <c r="AY395" s="60"/>
      <c r="BJ395" s="60"/>
      <c r="BK395" s="60"/>
    </row>
    <row r="396" spans="2:63" ht="13.2">
      <c r="B396" s="60"/>
      <c r="C396" s="60"/>
      <c r="N396" s="60"/>
      <c r="O396" s="60"/>
      <c r="Z396" s="60"/>
      <c r="AA396" s="60"/>
      <c r="AL396" s="60"/>
      <c r="AM396" s="60"/>
      <c r="AX396" s="60"/>
      <c r="AY396" s="60"/>
      <c r="BJ396" s="60"/>
      <c r="BK396" s="60"/>
    </row>
    <row r="397" spans="2:63" ht="13.2">
      <c r="B397" s="60"/>
      <c r="C397" s="60"/>
      <c r="N397" s="60"/>
      <c r="O397" s="60"/>
      <c r="Z397" s="60"/>
      <c r="AA397" s="60"/>
      <c r="AL397" s="60"/>
      <c r="AM397" s="60"/>
      <c r="AX397" s="60"/>
      <c r="AY397" s="60"/>
      <c r="BJ397" s="60"/>
      <c r="BK397" s="60"/>
    </row>
    <row r="398" spans="2:63" ht="13.2">
      <c r="B398" s="60"/>
      <c r="C398" s="60"/>
      <c r="N398" s="60"/>
      <c r="O398" s="60"/>
      <c r="Z398" s="60"/>
      <c r="AA398" s="60"/>
      <c r="AL398" s="60"/>
      <c r="AM398" s="60"/>
      <c r="AX398" s="60"/>
      <c r="AY398" s="60"/>
      <c r="BJ398" s="60"/>
      <c r="BK398" s="60"/>
    </row>
    <row r="399" spans="2:63" ht="13.2">
      <c r="B399" s="60"/>
      <c r="C399" s="60"/>
      <c r="N399" s="60"/>
      <c r="O399" s="60"/>
      <c r="Z399" s="60"/>
      <c r="AA399" s="60"/>
      <c r="AL399" s="60"/>
      <c r="AM399" s="60"/>
      <c r="AX399" s="60"/>
      <c r="AY399" s="60"/>
      <c r="BJ399" s="60"/>
      <c r="BK399" s="60"/>
    </row>
    <row r="400" spans="2:63" ht="13.2">
      <c r="B400" s="60"/>
      <c r="C400" s="60"/>
      <c r="N400" s="60"/>
      <c r="O400" s="60"/>
      <c r="Z400" s="60"/>
      <c r="AA400" s="60"/>
      <c r="AL400" s="60"/>
      <c r="AM400" s="60"/>
      <c r="AX400" s="60"/>
      <c r="AY400" s="60"/>
      <c r="BJ400" s="60"/>
      <c r="BK400" s="60"/>
    </row>
    <row r="401" spans="2:63" ht="13.2">
      <c r="B401" s="60"/>
      <c r="C401" s="60"/>
      <c r="N401" s="60"/>
      <c r="O401" s="60"/>
      <c r="Z401" s="60"/>
      <c r="AA401" s="60"/>
      <c r="AL401" s="60"/>
      <c r="AM401" s="60"/>
      <c r="AX401" s="60"/>
      <c r="AY401" s="60"/>
      <c r="BJ401" s="60"/>
      <c r="BK401" s="60"/>
    </row>
    <row r="402" spans="2:63" ht="13.2">
      <c r="B402" s="60"/>
      <c r="C402" s="60"/>
      <c r="N402" s="60"/>
      <c r="O402" s="60"/>
      <c r="Z402" s="60"/>
      <c r="AA402" s="60"/>
      <c r="AL402" s="60"/>
      <c r="AM402" s="60"/>
      <c r="AX402" s="60"/>
      <c r="AY402" s="60"/>
      <c r="BJ402" s="60"/>
      <c r="BK402" s="60"/>
    </row>
    <row r="403" spans="2:63" ht="13.2">
      <c r="B403" s="60"/>
      <c r="C403" s="60"/>
      <c r="N403" s="60"/>
      <c r="O403" s="60"/>
      <c r="Z403" s="60"/>
      <c r="AA403" s="60"/>
      <c r="AL403" s="60"/>
      <c r="AM403" s="60"/>
      <c r="AX403" s="60"/>
      <c r="AY403" s="60"/>
      <c r="BJ403" s="60"/>
      <c r="BK403" s="60"/>
    </row>
    <row r="404" spans="2:63" ht="13.2">
      <c r="B404" s="60"/>
      <c r="C404" s="60"/>
      <c r="N404" s="60"/>
      <c r="O404" s="60"/>
      <c r="Z404" s="60"/>
      <c r="AA404" s="60"/>
      <c r="AL404" s="60"/>
      <c r="AM404" s="60"/>
      <c r="AX404" s="60"/>
      <c r="AY404" s="60"/>
      <c r="BJ404" s="60"/>
      <c r="BK404" s="60"/>
    </row>
    <row r="405" spans="2:63" ht="13.2">
      <c r="B405" s="60"/>
      <c r="C405" s="60"/>
      <c r="N405" s="60"/>
      <c r="O405" s="60"/>
      <c r="Z405" s="60"/>
      <c r="AA405" s="60"/>
      <c r="AL405" s="60"/>
      <c r="AM405" s="60"/>
      <c r="AX405" s="60"/>
      <c r="AY405" s="60"/>
      <c r="BJ405" s="60"/>
      <c r="BK405" s="60"/>
    </row>
    <row r="406" spans="2:63" ht="13.2">
      <c r="B406" s="60"/>
      <c r="C406" s="60"/>
      <c r="N406" s="60"/>
      <c r="O406" s="60"/>
      <c r="Z406" s="60"/>
      <c r="AA406" s="60"/>
      <c r="AL406" s="60"/>
      <c r="AM406" s="60"/>
      <c r="AX406" s="60"/>
      <c r="AY406" s="60"/>
      <c r="BJ406" s="60"/>
      <c r="BK406" s="60"/>
    </row>
    <row r="407" spans="2:63" ht="13.2">
      <c r="B407" s="60"/>
      <c r="C407" s="60"/>
      <c r="N407" s="60"/>
      <c r="O407" s="60"/>
      <c r="Z407" s="60"/>
      <c r="AA407" s="60"/>
      <c r="AL407" s="60"/>
      <c r="AM407" s="60"/>
      <c r="AX407" s="60"/>
      <c r="AY407" s="60"/>
      <c r="BJ407" s="60"/>
      <c r="BK407" s="60"/>
    </row>
    <row r="408" spans="2:63" ht="13.2">
      <c r="B408" s="60"/>
      <c r="C408" s="60"/>
      <c r="N408" s="60"/>
      <c r="O408" s="60"/>
      <c r="Z408" s="60"/>
      <c r="AA408" s="60"/>
      <c r="AL408" s="60"/>
      <c r="AM408" s="60"/>
      <c r="AX408" s="60"/>
      <c r="AY408" s="60"/>
      <c r="BJ408" s="60"/>
      <c r="BK408" s="60"/>
    </row>
    <row r="409" spans="2:63" ht="13.2">
      <c r="B409" s="60"/>
      <c r="C409" s="60"/>
      <c r="N409" s="60"/>
      <c r="O409" s="60"/>
      <c r="Z409" s="60"/>
      <c r="AA409" s="60"/>
      <c r="AL409" s="60"/>
      <c r="AM409" s="60"/>
      <c r="AX409" s="60"/>
      <c r="AY409" s="60"/>
      <c r="BJ409" s="60"/>
      <c r="BK409" s="60"/>
    </row>
    <row r="410" spans="2:63" ht="13.2">
      <c r="B410" s="60"/>
      <c r="C410" s="60"/>
      <c r="N410" s="60"/>
      <c r="O410" s="60"/>
      <c r="Z410" s="60"/>
      <c r="AA410" s="60"/>
      <c r="AL410" s="60"/>
      <c r="AM410" s="60"/>
      <c r="AX410" s="60"/>
      <c r="AY410" s="60"/>
      <c r="BJ410" s="60"/>
      <c r="BK410" s="60"/>
    </row>
    <row r="411" spans="2:63" ht="13.2">
      <c r="B411" s="60"/>
      <c r="C411" s="60"/>
      <c r="N411" s="60"/>
      <c r="O411" s="60"/>
      <c r="Z411" s="60"/>
      <c r="AA411" s="60"/>
      <c r="AL411" s="60"/>
      <c r="AM411" s="60"/>
      <c r="AX411" s="60"/>
      <c r="AY411" s="60"/>
      <c r="BJ411" s="60"/>
      <c r="BK411" s="60"/>
    </row>
    <row r="412" spans="2:63" ht="13.2">
      <c r="B412" s="60"/>
      <c r="C412" s="60"/>
      <c r="N412" s="60"/>
      <c r="O412" s="60"/>
      <c r="Z412" s="60"/>
      <c r="AA412" s="60"/>
      <c r="AL412" s="60"/>
      <c r="AM412" s="60"/>
      <c r="AX412" s="60"/>
      <c r="AY412" s="60"/>
      <c r="BJ412" s="60"/>
      <c r="BK412" s="60"/>
    </row>
    <row r="413" spans="2:63" ht="13.2">
      <c r="B413" s="60"/>
      <c r="C413" s="60"/>
      <c r="N413" s="60"/>
      <c r="O413" s="60"/>
      <c r="Z413" s="60"/>
      <c r="AA413" s="60"/>
      <c r="AL413" s="60"/>
      <c r="AM413" s="60"/>
      <c r="AX413" s="60"/>
      <c r="AY413" s="60"/>
      <c r="BJ413" s="60"/>
      <c r="BK413" s="60"/>
    </row>
    <row r="414" spans="2:63" ht="13.2">
      <c r="B414" s="60"/>
      <c r="C414" s="60"/>
      <c r="N414" s="60"/>
      <c r="O414" s="60"/>
      <c r="Z414" s="60"/>
      <c r="AA414" s="60"/>
      <c r="AL414" s="60"/>
      <c r="AM414" s="60"/>
      <c r="AX414" s="60"/>
      <c r="AY414" s="60"/>
      <c r="BJ414" s="60"/>
      <c r="BK414" s="60"/>
    </row>
    <row r="415" spans="2:63" ht="13.2">
      <c r="B415" s="60"/>
      <c r="C415" s="60"/>
      <c r="N415" s="60"/>
      <c r="O415" s="60"/>
      <c r="Z415" s="60"/>
      <c r="AA415" s="60"/>
      <c r="AL415" s="60"/>
      <c r="AM415" s="60"/>
      <c r="AX415" s="60"/>
      <c r="AY415" s="60"/>
      <c r="BJ415" s="60"/>
      <c r="BK415" s="60"/>
    </row>
    <row r="416" spans="2:63" ht="13.2">
      <c r="B416" s="60"/>
      <c r="C416" s="60"/>
      <c r="N416" s="60"/>
      <c r="O416" s="60"/>
      <c r="Z416" s="60"/>
      <c r="AA416" s="60"/>
      <c r="AL416" s="60"/>
      <c r="AM416" s="60"/>
      <c r="AX416" s="60"/>
      <c r="AY416" s="60"/>
      <c r="BJ416" s="60"/>
      <c r="BK416" s="60"/>
    </row>
    <row r="417" spans="2:63" ht="13.2">
      <c r="B417" s="60"/>
      <c r="C417" s="60"/>
      <c r="N417" s="60"/>
      <c r="O417" s="60"/>
      <c r="Z417" s="60"/>
      <c r="AA417" s="60"/>
      <c r="AL417" s="60"/>
      <c r="AM417" s="60"/>
      <c r="AX417" s="60"/>
      <c r="AY417" s="60"/>
      <c r="BJ417" s="60"/>
      <c r="BK417" s="60"/>
    </row>
    <row r="418" spans="2:63" ht="13.2">
      <c r="B418" s="60"/>
      <c r="C418" s="60"/>
      <c r="N418" s="60"/>
      <c r="O418" s="60"/>
      <c r="Z418" s="60"/>
      <c r="AA418" s="60"/>
      <c r="AL418" s="60"/>
      <c r="AM418" s="60"/>
      <c r="AX418" s="60"/>
      <c r="AY418" s="60"/>
      <c r="BJ418" s="60"/>
      <c r="BK418" s="60"/>
    </row>
    <row r="419" spans="2:63" ht="13.2">
      <c r="B419" s="60"/>
      <c r="C419" s="60"/>
      <c r="N419" s="60"/>
      <c r="O419" s="60"/>
      <c r="Z419" s="60"/>
      <c r="AA419" s="60"/>
      <c r="AL419" s="60"/>
      <c r="AM419" s="60"/>
      <c r="AX419" s="60"/>
      <c r="AY419" s="60"/>
      <c r="BJ419" s="60"/>
      <c r="BK419" s="60"/>
    </row>
    <row r="420" spans="2:63" ht="13.2">
      <c r="B420" s="60"/>
      <c r="C420" s="60"/>
      <c r="N420" s="60"/>
      <c r="O420" s="60"/>
      <c r="Z420" s="60"/>
      <c r="AA420" s="60"/>
      <c r="AL420" s="60"/>
      <c r="AM420" s="60"/>
      <c r="AX420" s="60"/>
      <c r="AY420" s="60"/>
      <c r="BJ420" s="60"/>
      <c r="BK420" s="60"/>
    </row>
    <row r="421" spans="2:63" ht="13.2">
      <c r="B421" s="60"/>
      <c r="C421" s="60"/>
      <c r="N421" s="60"/>
      <c r="O421" s="60"/>
      <c r="Z421" s="60"/>
      <c r="AA421" s="60"/>
      <c r="AL421" s="60"/>
      <c r="AM421" s="60"/>
      <c r="AX421" s="60"/>
      <c r="AY421" s="60"/>
      <c r="BJ421" s="60"/>
      <c r="BK421" s="60"/>
    </row>
    <row r="422" spans="2:63" ht="13.2">
      <c r="B422" s="60"/>
      <c r="C422" s="60"/>
      <c r="N422" s="60"/>
      <c r="O422" s="60"/>
      <c r="Z422" s="60"/>
      <c r="AA422" s="60"/>
      <c r="AL422" s="60"/>
      <c r="AM422" s="60"/>
      <c r="AX422" s="60"/>
      <c r="AY422" s="60"/>
      <c r="BJ422" s="60"/>
      <c r="BK422" s="60"/>
    </row>
    <row r="423" spans="2:63" ht="13.2">
      <c r="B423" s="60"/>
      <c r="C423" s="60"/>
      <c r="N423" s="60"/>
      <c r="O423" s="60"/>
      <c r="Z423" s="60"/>
      <c r="AA423" s="60"/>
      <c r="AL423" s="60"/>
      <c r="AM423" s="60"/>
      <c r="AX423" s="60"/>
      <c r="AY423" s="60"/>
      <c r="BJ423" s="60"/>
      <c r="BK423" s="60"/>
    </row>
    <row r="424" spans="2:63" ht="13.2">
      <c r="B424" s="60"/>
      <c r="C424" s="60"/>
      <c r="N424" s="60"/>
      <c r="O424" s="60"/>
      <c r="Z424" s="60"/>
      <c r="AA424" s="60"/>
      <c r="AL424" s="60"/>
      <c r="AM424" s="60"/>
      <c r="AX424" s="60"/>
      <c r="AY424" s="60"/>
      <c r="BJ424" s="60"/>
      <c r="BK424" s="60"/>
    </row>
    <row r="425" spans="2:63" ht="13.2">
      <c r="B425" s="60"/>
      <c r="C425" s="60"/>
      <c r="N425" s="60"/>
      <c r="O425" s="60"/>
      <c r="Z425" s="60"/>
      <c r="AA425" s="60"/>
      <c r="AL425" s="60"/>
      <c r="AM425" s="60"/>
      <c r="AX425" s="60"/>
      <c r="AY425" s="60"/>
      <c r="BJ425" s="60"/>
      <c r="BK425" s="60"/>
    </row>
    <row r="426" spans="2:63" ht="13.2">
      <c r="B426" s="60"/>
      <c r="C426" s="60"/>
      <c r="N426" s="60"/>
      <c r="O426" s="60"/>
      <c r="Z426" s="60"/>
      <c r="AA426" s="60"/>
      <c r="AL426" s="60"/>
      <c r="AM426" s="60"/>
      <c r="AX426" s="60"/>
      <c r="AY426" s="60"/>
      <c r="BJ426" s="60"/>
      <c r="BK426" s="60"/>
    </row>
    <row r="427" spans="2:63" ht="13.2">
      <c r="B427" s="60"/>
      <c r="C427" s="60"/>
      <c r="N427" s="60"/>
      <c r="O427" s="60"/>
      <c r="Z427" s="60"/>
      <c r="AA427" s="60"/>
      <c r="AL427" s="60"/>
      <c r="AM427" s="60"/>
      <c r="AX427" s="60"/>
      <c r="AY427" s="60"/>
      <c r="BJ427" s="60"/>
      <c r="BK427" s="60"/>
    </row>
    <row r="428" spans="2:63" ht="13.2">
      <c r="B428" s="60"/>
      <c r="C428" s="60"/>
      <c r="N428" s="60"/>
      <c r="O428" s="60"/>
      <c r="Z428" s="60"/>
      <c r="AA428" s="60"/>
      <c r="AL428" s="60"/>
      <c r="AM428" s="60"/>
      <c r="AX428" s="60"/>
      <c r="AY428" s="60"/>
      <c r="BJ428" s="60"/>
      <c r="BK428" s="60"/>
    </row>
    <row r="429" spans="2:63" ht="13.2">
      <c r="B429" s="60"/>
      <c r="C429" s="60"/>
      <c r="N429" s="60"/>
      <c r="O429" s="60"/>
      <c r="Z429" s="60"/>
      <c r="AA429" s="60"/>
      <c r="AL429" s="60"/>
      <c r="AM429" s="60"/>
      <c r="AX429" s="60"/>
      <c r="AY429" s="60"/>
      <c r="BJ429" s="60"/>
      <c r="BK429" s="60"/>
    </row>
    <row r="430" spans="2:63" ht="13.2">
      <c r="B430" s="60"/>
      <c r="C430" s="60"/>
      <c r="N430" s="60"/>
      <c r="O430" s="60"/>
      <c r="Z430" s="60"/>
      <c r="AA430" s="60"/>
      <c r="AL430" s="60"/>
      <c r="AM430" s="60"/>
      <c r="AX430" s="60"/>
      <c r="AY430" s="60"/>
      <c r="BJ430" s="60"/>
      <c r="BK430" s="60"/>
    </row>
    <row r="431" spans="2:63" ht="13.2">
      <c r="B431" s="60"/>
      <c r="C431" s="60"/>
      <c r="N431" s="60"/>
      <c r="O431" s="60"/>
      <c r="Z431" s="60"/>
      <c r="AA431" s="60"/>
      <c r="AL431" s="60"/>
      <c r="AM431" s="60"/>
      <c r="AX431" s="60"/>
      <c r="AY431" s="60"/>
      <c r="BJ431" s="60"/>
      <c r="BK431" s="60"/>
    </row>
    <row r="432" spans="2:63" ht="13.2">
      <c r="B432" s="60"/>
      <c r="C432" s="60"/>
      <c r="N432" s="60"/>
      <c r="O432" s="60"/>
      <c r="Z432" s="60"/>
      <c r="AA432" s="60"/>
      <c r="AL432" s="60"/>
      <c r="AM432" s="60"/>
      <c r="AX432" s="60"/>
      <c r="AY432" s="60"/>
      <c r="BJ432" s="60"/>
      <c r="BK432" s="60"/>
    </row>
    <row r="433" spans="2:63" ht="13.2">
      <c r="B433" s="60"/>
      <c r="C433" s="60"/>
      <c r="N433" s="60"/>
      <c r="O433" s="60"/>
      <c r="Z433" s="60"/>
      <c r="AA433" s="60"/>
      <c r="AL433" s="60"/>
      <c r="AM433" s="60"/>
      <c r="AX433" s="60"/>
      <c r="AY433" s="60"/>
      <c r="BJ433" s="60"/>
      <c r="BK433" s="60"/>
    </row>
    <row r="434" spans="2:63" ht="13.2">
      <c r="B434" s="60"/>
      <c r="C434" s="60"/>
      <c r="N434" s="60"/>
      <c r="O434" s="60"/>
      <c r="Z434" s="60"/>
      <c r="AA434" s="60"/>
      <c r="AL434" s="60"/>
      <c r="AM434" s="60"/>
      <c r="AX434" s="60"/>
      <c r="AY434" s="60"/>
      <c r="BJ434" s="60"/>
      <c r="BK434" s="60"/>
    </row>
    <row r="435" spans="2:63" ht="13.2">
      <c r="B435" s="60"/>
      <c r="C435" s="60"/>
      <c r="N435" s="60"/>
      <c r="O435" s="60"/>
      <c r="Z435" s="60"/>
      <c r="AA435" s="60"/>
      <c r="AL435" s="60"/>
      <c r="AM435" s="60"/>
      <c r="AX435" s="60"/>
      <c r="AY435" s="60"/>
      <c r="BJ435" s="60"/>
      <c r="BK435" s="60"/>
    </row>
    <row r="436" spans="2:63" ht="13.2">
      <c r="B436" s="60"/>
      <c r="C436" s="60"/>
      <c r="N436" s="60"/>
      <c r="O436" s="60"/>
      <c r="Z436" s="60"/>
      <c r="AA436" s="60"/>
      <c r="AL436" s="60"/>
      <c r="AM436" s="60"/>
      <c r="AX436" s="60"/>
      <c r="AY436" s="60"/>
      <c r="BJ436" s="60"/>
      <c r="BK436" s="60"/>
    </row>
    <row r="437" spans="2:63" ht="13.2">
      <c r="B437" s="60"/>
      <c r="C437" s="60"/>
      <c r="N437" s="60"/>
      <c r="O437" s="60"/>
      <c r="Z437" s="60"/>
      <c r="AA437" s="60"/>
      <c r="AL437" s="60"/>
      <c r="AM437" s="60"/>
      <c r="AX437" s="60"/>
      <c r="AY437" s="60"/>
      <c r="BJ437" s="60"/>
      <c r="BK437" s="60"/>
    </row>
    <row r="438" spans="2:63" ht="13.2">
      <c r="B438" s="60"/>
      <c r="C438" s="60"/>
      <c r="N438" s="60"/>
      <c r="O438" s="60"/>
      <c r="Z438" s="60"/>
      <c r="AA438" s="60"/>
      <c r="AL438" s="60"/>
      <c r="AM438" s="60"/>
      <c r="AX438" s="60"/>
      <c r="AY438" s="60"/>
      <c r="BJ438" s="60"/>
      <c r="BK438" s="60"/>
    </row>
    <row r="439" spans="2:63" ht="13.2">
      <c r="B439" s="60"/>
      <c r="C439" s="60"/>
      <c r="N439" s="60"/>
      <c r="O439" s="60"/>
      <c r="Z439" s="60"/>
      <c r="AA439" s="60"/>
      <c r="AL439" s="60"/>
      <c r="AM439" s="60"/>
      <c r="AX439" s="60"/>
      <c r="AY439" s="60"/>
      <c r="BJ439" s="60"/>
      <c r="BK439" s="60"/>
    </row>
    <row r="440" spans="2:63" ht="13.2">
      <c r="B440" s="60"/>
      <c r="C440" s="60"/>
      <c r="N440" s="60"/>
      <c r="O440" s="60"/>
      <c r="Z440" s="60"/>
      <c r="AA440" s="60"/>
      <c r="AL440" s="60"/>
      <c r="AM440" s="60"/>
      <c r="AX440" s="60"/>
      <c r="AY440" s="60"/>
      <c r="BJ440" s="60"/>
      <c r="BK440" s="60"/>
    </row>
    <row r="441" spans="2:63" ht="13.2">
      <c r="B441" s="60"/>
      <c r="C441" s="60"/>
      <c r="N441" s="60"/>
      <c r="O441" s="60"/>
      <c r="Z441" s="60"/>
      <c r="AA441" s="60"/>
      <c r="AL441" s="60"/>
      <c r="AM441" s="60"/>
      <c r="AX441" s="60"/>
      <c r="AY441" s="60"/>
      <c r="BJ441" s="60"/>
      <c r="BK441" s="60"/>
    </row>
    <row r="442" spans="2:63" ht="13.2">
      <c r="B442" s="60"/>
      <c r="C442" s="60"/>
      <c r="N442" s="60"/>
      <c r="O442" s="60"/>
      <c r="Z442" s="60"/>
      <c r="AA442" s="60"/>
      <c r="AL442" s="60"/>
      <c r="AM442" s="60"/>
      <c r="AX442" s="60"/>
      <c r="AY442" s="60"/>
      <c r="BJ442" s="60"/>
      <c r="BK442" s="60"/>
    </row>
    <row r="443" spans="2:63" ht="13.2">
      <c r="B443" s="60"/>
      <c r="C443" s="60"/>
      <c r="N443" s="60"/>
      <c r="O443" s="60"/>
      <c r="Z443" s="60"/>
      <c r="AA443" s="60"/>
      <c r="AL443" s="60"/>
      <c r="AM443" s="60"/>
      <c r="AX443" s="60"/>
      <c r="AY443" s="60"/>
      <c r="BJ443" s="60"/>
      <c r="BK443" s="60"/>
    </row>
    <row r="444" spans="2:63" ht="13.2">
      <c r="B444" s="60"/>
      <c r="C444" s="60"/>
      <c r="N444" s="60"/>
      <c r="O444" s="60"/>
      <c r="Z444" s="60"/>
      <c r="AA444" s="60"/>
      <c r="AL444" s="60"/>
      <c r="AM444" s="60"/>
      <c r="AX444" s="60"/>
      <c r="AY444" s="60"/>
      <c r="BJ444" s="60"/>
      <c r="BK444" s="60"/>
    </row>
    <row r="445" spans="2:63" ht="13.2">
      <c r="B445" s="60"/>
      <c r="C445" s="60"/>
      <c r="N445" s="60"/>
      <c r="O445" s="60"/>
      <c r="Z445" s="60"/>
      <c r="AA445" s="60"/>
      <c r="AL445" s="60"/>
      <c r="AM445" s="60"/>
      <c r="AX445" s="60"/>
      <c r="AY445" s="60"/>
      <c r="BJ445" s="60"/>
      <c r="BK445" s="60"/>
    </row>
    <row r="446" spans="2:63" ht="13.2">
      <c r="B446" s="60"/>
      <c r="C446" s="60"/>
      <c r="N446" s="60"/>
      <c r="O446" s="60"/>
      <c r="Z446" s="60"/>
      <c r="AA446" s="60"/>
      <c r="AL446" s="60"/>
      <c r="AM446" s="60"/>
      <c r="AX446" s="60"/>
      <c r="AY446" s="60"/>
      <c r="BJ446" s="60"/>
      <c r="BK446" s="60"/>
    </row>
    <row r="447" spans="2:63" ht="13.2">
      <c r="B447" s="60"/>
      <c r="C447" s="60"/>
      <c r="N447" s="60"/>
      <c r="O447" s="60"/>
      <c r="Z447" s="60"/>
      <c r="AA447" s="60"/>
      <c r="AL447" s="60"/>
      <c r="AM447" s="60"/>
      <c r="AX447" s="60"/>
      <c r="AY447" s="60"/>
      <c r="BJ447" s="60"/>
      <c r="BK447" s="60"/>
    </row>
    <row r="448" spans="2:63" ht="13.2">
      <c r="B448" s="60"/>
      <c r="C448" s="60"/>
      <c r="N448" s="60"/>
      <c r="O448" s="60"/>
      <c r="Z448" s="60"/>
      <c r="AA448" s="60"/>
      <c r="AL448" s="60"/>
      <c r="AM448" s="60"/>
      <c r="AX448" s="60"/>
      <c r="AY448" s="60"/>
      <c r="BJ448" s="60"/>
      <c r="BK448" s="60"/>
    </row>
    <row r="449" spans="2:63" ht="13.2">
      <c r="B449" s="60"/>
      <c r="C449" s="60"/>
      <c r="N449" s="60"/>
      <c r="O449" s="60"/>
      <c r="Z449" s="60"/>
      <c r="AA449" s="60"/>
      <c r="AL449" s="60"/>
      <c r="AM449" s="60"/>
      <c r="AX449" s="60"/>
      <c r="AY449" s="60"/>
      <c r="BJ449" s="60"/>
      <c r="BK449" s="60"/>
    </row>
    <row r="450" spans="2:63" ht="13.2">
      <c r="B450" s="60"/>
      <c r="C450" s="60"/>
      <c r="N450" s="60"/>
      <c r="O450" s="60"/>
      <c r="Z450" s="60"/>
      <c r="AA450" s="60"/>
      <c r="AL450" s="60"/>
      <c r="AM450" s="60"/>
      <c r="AX450" s="60"/>
      <c r="AY450" s="60"/>
      <c r="BJ450" s="60"/>
      <c r="BK450" s="60"/>
    </row>
    <row r="451" spans="2:63" ht="13.2">
      <c r="B451" s="60"/>
      <c r="C451" s="60"/>
      <c r="N451" s="60"/>
      <c r="O451" s="60"/>
      <c r="Z451" s="60"/>
      <c r="AA451" s="60"/>
      <c r="AL451" s="60"/>
      <c r="AM451" s="60"/>
      <c r="AX451" s="60"/>
      <c r="AY451" s="60"/>
      <c r="BJ451" s="60"/>
      <c r="BK451" s="60"/>
    </row>
    <row r="452" spans="2:63" ht="13.2">
      <c r="B452" s="60"/>
      <c r="C452" s="60"/>
      <c r="N452" s="60"/>
      <c r="O452" s="60"/>
      <c r="Z452" s="60"/>
      <c r="AA452" s="60"/>
      <c r="AL452" s="60"/>
      <c r="AM452" s="60"/>
      <c r="AX452" s="60"/>
      <c r="AY452" s="60"/>
      <c r="BJ452" s="60"/>
      <c r="BK452" s="60"/>
    </row>
    <row r="453" spans="2:63" ht="13.2">
      <c r="B453" s="60"/>
      <c r="C453" s="60"/>
      <c r="N453" s="60"/>
      <c r="O453" s="60"/>
      <c r="Z453" s="60"/>
      <c r="AA453" s="60"/>
      <c r="AL453" s="60"/>
      <c r="AM453" s="60"/>
      <c r="AX453" s="60"/>
      <c r="AY453" s="60"/>
      <c r="BJ453" s="60"/>
      <c r="BK453" s="60"/>
    </row>
    <row r="454" spans="2:63" ht="13.2">
      <c r="B454" s="60"/>
      <c r="C454" s="60"/>
      <c r="N454" s="60"/>
      <c r="O454" s="60"/>
      <c r="Z454" s="60"/>
      <c r="AA454" s="60"/>
      <c r="AL454" s="60"/>
      <c r="AM454" s="60"/>
      <c r="AX454" s="60"/>
      <c r="AY454" s="60"/>
      <c r="BJ454" s="60"/>
      <c r="BK454" s="60"/>
    </row>
    <row r="455" spans="2:63" ht="13.2">
      <c r="B455" s="60"/>
      <c r="C455" s="60"/>
      <c r="N455" s="60"/>
      <c r="O455" s="60"/>
      <c r="Z455" s="60"/>
      <c r="AA455" s="60"/>
      <c r="AL455" s="60"/>
      <c r="AM455" s="60"/>
      <c r="AX455" s="60"/>
      <c r="AY455" s="60"/>
      <c r="BJ455" s="60"/>
      <c r="BK455" s="60"/>
    </row>
    <row r="456" spans="2:63" ht="13.2">
      <c r="B456" s="60"/>
      <c r="C456" s="60"/>
      <c r="N456" s="60"/>
      <c r="O456" s="60"/>
      <c r="Z456" s="60"/>
      <c r="AA456" s="60"/>
      <c r="AL456" s="60"/>
      <c r="AM456" s="60"/>
      <c r="AX456" s="60"/>
      <c r="AY456" s="60"/>
      <c r="BJ456" s="60"/>
      <c r="BK456" s="60"/>
    </row>
    <row r="457" spans="2:63" ht="13.2">
      <c r="B457" s="60"/>
      <c r="C457" s="60"/>
      <c r="N457" s="60"/>
      <c r="O457" s="60"/>
      <c r="Z457" s="60"/>
      <c r="AA457" s="60"/>
      <c r="AL457" s="60"/>
      <c r="AM457" s="60"/>
      <c r="AX457" s="60"/>
      <c r="AY457" s="60"/>
      <c r="BJ457" s="60"/>
      <c r="BK457" s="60"/>
    </row>
    <row r="458" spans="2:63" ht="13.2">
      <c r="B458" s="60"/>
      <c r="C458" s="60"/>
      <c r="N458" s="60"/>
      <c r="O458" s="60"/>
      <c r="Z458" s="60"/>
      <c r="AA458" s="60"/>
      <c r="AL458" s="60"/>
      <c r="AM458" s="60"/>
      <c r="AX458" s="60"/>
      <c r="AY458" s="60"/>
      <c r="BJ458" s="60"/>
      <c r="BK458" s="60"/>
    </row>
    <row r="459" spans="2:63" ht="13.2">
      <c r="B459" s="60"/>
      <c r="C459" s="60"/>
      <c r="N459" s="60"/>
      <c r="O459" s="60"/>
      <c r="Z459" s="60"/>
      <c r="AA459" s="60"/>
      <c r="AL459" s="60"/>
      <c r="AM459" s="60"/>
      <c r="AX459" s="60"/>
      <c r="AY459" s="60"/>
      <c r="BJ459" s="60"/>
      <c r="BK459" s="60"/>
    </row>
    <row r="460" spans="2:63" ht="13.2">
      <c r="B460" s="60"/>
      <c r="C460" s="60"/>
      <c r="N460" s="60"/>
      <c r="O460" s="60"/>
      <c r="Z460" s="60"/>
      <c r="AA460" s="60"/>
      <c r="AL460" s="60"/>
      <c r="AM460" s="60"/>
      <c r="AX460" s="60"/>
      <c r="AY460" s="60"/>
      <c r="BJ460" s="60"/>
      <c r="BK460" s="60"/>
    </row>
    <row r="461" spans="2:63" ht="13.2">
      <c r="B461" s="60"/>
      <c r="C461" s="60"/>
      <c r="N461" s="60"/>
      <c r="O461" s="60"/>
      <c r="Z461" s="60"/>
      <c r="AA461" s="60"/>
      <c r="AL461" s="60"/>
      <c r="AM461" s="60"/>
      <c r="AX461" s="60"/>
      <c r="AY461" s="60"/>
      <c r="BJ461" s="60"/>
      <c r="BK461" s="60"/>
    </row>
    <row r="462" spans="2:63" ht="13.2">
      <c r="B462" s="60"/>
      <c r="C462" s="60"/>
      <c r="N462" s="60"/>
      <c r="O462" s="60"/>
      <c r="Z462" s="60"/>
      <c r="AA462" s="60"/>
      <c r="AL462" s="60"/>
      <c r="AM462" s="60"/>
      <c r="AX462" s="60"/>
      <c r="AY462" s="60"/>
      <c r="BJ462" s="60"/>
      <c r="BK462" s="60"/>
    </row>
    <row r="463" spans="2:63" ht="13.2">
      <c r="B463" s="60"/>
      <c r="C463" s="60"/>
      <c r="N463" s="60"/>
      <c r="O463" s="60"/>
      <c r="Z463" s="60"/>
      <c r="AA463" s="60"/>
      <c r="AL463" s="60"/>
      <c r="AM463" s="60"/>
      <c r="AX463" s="60"/>
      <c r="AY463" s="60"/>
      <c r="BJ463" s="60"/>
      <c r="BK463" s="60"/>
    </row>
    <row r="464" spans="2:63" ht="13.2">
      <c r="B464" s="60"/>
      <c r="C464" s="60"/>
      <c r="N464" s="60"/>
      <c r="O464" s="60"/>
      <c r="Z464" s="60"/>
      <c r="AA464" s="60"/>
      <c r="AL464" s="60"/>
      <c r="AM464" s="60"/>
      <c r="AX464" s="60"/>
      <c r="AY464" s="60"/>
      <c r="BJ464" s="60"/>
      <c r="BK464" s="60"/>
    </row>
    <row r="465" spans="2:63" ht="13.2">
      <c r="B465" s="60"/>
      <c r="C465" s="60"/>
      <c r="N465" s="60"/>
      <c r="O465" s="60"/>
      <c r="Z465" s="60"/>
      <c r="AA465" s="60"/>
      <c r="AL465" s="60"/>
      <c r="AM465" s="60"/>
      <c r="AX465" s="60"/>
      <c r="AY465" s="60"/>
      <c r="BJ465" s="60"/>
      <c r="BK465" s="60"/>
    </row>
    <row r="466" spans="2:63" ht="13.2">
      <c r="B466" s="60"/>
      <c r="C466" s="60"/>
      <c r="N466" s="60"/>
      <c r="O466" s="60"/>
      <c r="Z466" s="60"/>
      <c r="AA466" s="60"/>
      <c r="AL466" s="60"/>
      <c r="AM466" s="60"/>
      <c r="AX466" s="60"/>
      <c r="AY466" s="60"/>
      <c r="BJ466" s="60"/>
      <c r="BK466" s="60"/>
    </row>
    <row r="467" spans="2:63" ht="13.2">
      <c r="B467" s="60"/>
      <c r="C467" s="60"/>
      <c r="N467" s="60"/>
      <c r="O467" s="60"/>
      <c r="Z467" s="60"/>
      <c r="AA467" s="60"/>
      <c r="AL467" s="60"/>
      <c r="AM467" s="60"/>
      <c r="AX467" s="60"/>
      <c r="AY467" s="60"/>
      <c r="BJ467" s="60"/>
      <c r="BK467" s="60"/>
    </row>
    <row r="468" spans="2:63" ht="13.2">
      <c r="B468" s="60"/>
      <c r="C468" s="60"/>
      <c r="N468" s="60"/>
      <c r="O468" s="60"/>
      <c r="Z468" s="60"/>
      <c r="AA468" s="60"/>
      <c r="AL468" s="60"/>
      <c r="AM468" s="60"/>
      <c r="AX468" s="60"/>
      <c r="AY468" s="60"/>
      <c r="BJ468" s="60"/>
      <c r="BK468" s="60"/>
    </row>
    <row r="469" spans="2:63" ht="13.2">
      <c r="B469" s="60"/>
      <c r="C469" s="60"/>
      <c r="N469" s="60"/>
      <c r="O469" s="60"/>
      <c r="Z469" s="60"/>
      <c r="AA469" s="60"/>
      <c r="AL469" s="60"/>
      <c r="AM469" s="60"/>
      <c r="AX469" s="60"/>
      <c r="AY469" s="60"/>
      <c r="BJ469" s="60"/>
      <c r="BK469" s="60"/>
    </row>
    <row r="470" spans="2:63" ht="13.2">
      <c r="B470" s="60"/>
      <c r="C470" s="60"/>
      <c r="N470" s="60"/>
      <c r="O470" s="60"/>
      <c r="Z470" s="60"/>
      <c r="AA470" s="60"/>
      <c r="AL470" s="60"/>
      <c r="AM470" s="60"/>
      <c r="AX470" s="60"/>
      <c r="AY470" s="60"/>
      <c r="BJ470" s="60"/>
      <c r="BK470" s="60"/>
    </row>
    <row r="471" spans="2:63" ht="13.2">
      <c r="B471" s="60"/>
      <c r="C471" s="60"/>
      <c r="N471" s="60"/>
      <c r="O471" s="60"/>
      <c r="Z471" s="60"/>
      <c r="AA471" s="60"/>
      <c r="AL471" s="60"/>
      <c r="AM471" s="60"/>
      <c r="AX471" s="60"/>
      <c r="AY471" s="60"/>
      <c r="BJ471" s="60"/>
      <c r="BK471" s="60"/>
    </row>
    <row r="472" spans="2:63" ht="13.2">
      <c r="B472" s="60"/>
      <c r="C472" s="60"/>
      <c r="N472" s="60"/>
      <c r="O472" s="60"/>
      <c r="Z472" s="60"/>
      <c r="AA472" s="60"/>
      <c r="AL472" s="60"/>
      <c r="AM472" s="60"/>
      <c r="AX472" s="60"/>
      <c r="AY472" s="60"/>
      <c r="BJ472" s="60"/>
      <c r="BK472" s="60"/>
    </row>
    <row r="473" spans="2:63" ht="13.2">
      <c r="B473" s="60"/>
      <c r="C473" s="60"/>
      <c r="N473" s="60"/>
      <c r="O473" s="60"/>
      <c r="Z473" s="60"/>
      <c r="AA473" s="60"/>
      <c r="AL473" s="60"/>
      <c r="AM473" s="60"/>
      <c r="AX473" s="60"/>
      <c r="AY473" s="60"/>
      <c r="BJ473" s="60"/>
      <c r="BK473" s="60"/>
    </row>
    <row r="474" spans="2:63" ht="13.2">
      <c r="B474" s="60"/>
      <c r="C474" s="60"/>
      <c r="N474" s="60"/>
      <c r="O474" s="60"/>
      <c r="Z474" s="60"/>
      <c r="AA474" s="60"/>
      <c r="AL474" s="60"/>
      <c r="AM474" s="60"/>
      <c r="AX474" s="60"/>
      <c r="AY474" s="60"/>
      <c r="BJ474" s="60"/>
      <c r="BK474" s="60"/>
    </row>
    <row r="475" spans="2:63" ht="13.2">
      <c r="B475" s="60"/>
      <c r="C475" s="60"/>
      <c r="N475" s="60"/>
      <c r="O475" s="60"/>
      <c r="Z475" s="60"/>
      <c r="AA475" s="60"/>
      <c r="AL475" s="60"/>
      <c r="AM475" s="60"/>
      <c r="AX475" s="60"/>
      <c r="AY475" s="60"/>
      <c r="BJ475" s="60"/>
      <c r="BK475" s="60"/>
    </row>
    <row r="476" spans="2:63" ht="13.2">
      <c r="B476" s="60"/>
      <c r="C476" s="60"/>
      <c r="N476" s="60"/>
      <c r="O476" s="60"/>
      <c r="Z476" s="60"/>
      <c r="AA476" s="60"/>
      <c r="AL476" s="60"/>
      <c r="AM476" s="60"/>
      <c r="AX476" s="60"/>
      <c r="AY476" s="60"/>
      <c r="BJ476" s="60"/>
      <c r="BK476" s="60"/>
    </row>
    <row r="477" spans="2:63" ht="13.2">
      <c r="B477" s="60"/>
      <c r="C477" s="60"/>
      <c r="N477" s="60"/>
      <c r="O477" s="60"/>
      <c r="Z477" s="60"/>
      <c r="AA477" s="60"/>
      <c r="AL477" s="60"/>
      <c r="AM477" s="60"/>
      <c r="AX477" s="60"/>
      <c r="AY477" s="60"/>
      <c r="BJ477" s="60"/>
      <c r="BK477" s="60"/>
    </row>
    <row r="478" spans="2:63" ht="13.2">
      <c r="B478" s="60"/>
      <c r="C478" s="60"/>
      <c r="N478" s="60"/>
      <c r="O478" s="60"/>
      <c r="Z478" s="60"/>
      <c r="AA478" s="60"/>
      <c r="AL478" s="60"/>
      <c r="AM478" s="60"/>
      <c r="AX478" s="60"/>
      <c r="AY478" s="60"/>
      <c r="BJ478" s="60"/>
      <c r="BK478" s="60"/>
    </row>
    <row r="479" spans="2:63" ht="13.2">
      <c r="B479" s="60"/>
      <c r="C479" s="60"/>
      <c r="N479" s="60"/>
      <c r="O479" s="60"/>
      <c r="Z479" s="60"/>
      <c r="AA479" s="60"/>
      <c r="AL479" s="60"/>
      <c r="AM479" s="60"/>
      <c r="AX479" s="60"/>
      <c r="AY479" s="60"/>
      <c r="BJ479" s="60"/>
      <c r="BK479" s="60"/>
    </row>
    <row r="480" spans="2:63" ht="13.2">
      <c r="B480" s="60"/>
      <c r="C480" s="60"/>
      <c r="N480" s="60"/>
      <c r="O480" s="60"/>
      <c r="Z480" s="60"/>
      <c r="AA480" s="60"/>
      <c r="AL480" s="60"/>
      <c r="AM480" s="60"/>
      <c r="AX480" s="60"/>
      <c r="AY480" s="60"/>
      <c r="BJ480" s="60"/>
      <c r="BK480" s="60"/>
    </row>
    <row r="481" spans="2:63" ht="13.2">
      <c r="B481" s="60"/>
      <c r="C481" s="60"/>
      <c r="N481" s="60"/>
      <c r="O481" s="60"/>
      <c r="Z481" s="60"/>
      <c r="AA481" s="60"/>
      <c r="AL481" s="60"/>
      <c r="AM481" s="60"/>
      <c r="AX481" s="60"/>
      <c r="AY481" s="60"/>
      <c r="BJ481" s="60"/>
      <c r="BK481" s="60"/>
    </row>
    <row r="482" spans="2:63" ht="13.2">
      <c r="B482" s="60"/>
      <c r="C482" s="60"/>
      <c r="N482" s="60"/>
      <c r="O482" s="60"/>
      <c r="Z482" s="60"/>
      <c r="AA482" s="60"/>
      <c r="AL482" s="60"/>
      <c r="AM482" s="60"/>
      <c r="AX482" s="60"/>
      <c r="AY482" s="60"/>
      <c r="BJ482" s="60"/>
      <c r="BK482" s="60"/>
    </row>
    <row r="483" spans="2:63" ht="13.2">
      <c r="B483" s="60"/>
      <c r="C483" s="60"/>
      <c r="N483" s="60"/>
      <c r="O483" s="60"/>
      <c r="Z483" s="60"/>
      <c r="AA483" s="60"/>
      <c r="AL483" s="60"/>
      <c r="AM483" s="60"/>
      <c r="AX483" s="60"/>
      <c r="AY483" s="60"/>
      <c r="BJ483" s="60"/>
      <c r="BK483" s="60"/>
    </row>
    <row r="484" spans="2:63" ht="13.2">
      <c r="B484" s="60"/>
      <c r="C484" s="60"/>
      <c r="N484" s="60"/>
      <c r="O484" s="60"/>
      <c r="Z484" s="60"/>
      <c r="AA484" s="60"/>
      <c r="AL484" s="60"/>
      <c r="AM484" s="60"/>
      <c r="AX484" s="60"/>
      <c r="AY484" s="60"/>
      <c r="BJ484" s="60"/>
      <c r="BK484" s="60"/>
    </row>
    <row r="485" spans="2:63" ht="13.2">
      <c r="B485" s="60"/>
      <c r="C485" s="60"/>
      <c r="N485" s="60"/>
      <c r="O485" s="60"/>
      <c r="Z485" s="60"/>
      <c r="AA485" s="60"/>
      <c r="AL485" s="60"/>
      <c r="AM485" s="60"/>
      <c r="AX485" s="60"/>
      <c r="AY485" s="60"/>
      <c r="BJ485" s="60"/>
      <c r="BK485" s="60"/>
    </row>
    <row r="486" spans="2:63" ht="13.2">
      <c r="B486" s="60"/>
      <c r="C486" s="60"/>
      <c r="N486" s="60"/>
      <c r="O486" s="60"/>
      <c r="Z486" s="60"/>
      <c r="AA486" s="60"/>
      <c r="AL486" s="60"/>
      <c r="AM486" s="60"/>
      <c r="AX486" s="60"/>
      <c r="AY486" s="60"/>
      <c r="BJ486" s="60"/>
      <c r="BK486" s="60"/>
    </row>
    <row r="487" spans="2:63" ht="13.2">
      <c r="B487" s="60"/>
      <c r="C487" s="60"/>
      <c r="N487" s="60"/>
      <c r="O487" s="60"/>
      <c r="Z487" s="60"/>
      <c r="AA487" s="60"/>
      <c r="AL487" s="60"/>
      <c r="AM487" s="60"/>
      <c r="AX487" s="60"/>
      <c r="AY487" s="60"/>
      <c r="BJ487" s="60"/>
      <c r="BK487" s="60"/>
    </row>
    <row r="488" spans="2:63" ht="13.2">
      <c r="B488" s="60"/>
      <c r="C488" s="60"/>
      <c r="N488" s="60"/>
      <c r="O488" s="60"/>
      <c r="Z488" s="60"/>
      <c r="AA488" s="60"/>
      <c r="AL488" s="60"/>
      <c r="AM488" s="60"/>
      <c r="AX488" s="60"/>
      <c r="AY488" s="60"/>
      <c r="BJ488" s="60"/>
      <c r="BK488" s="60"/>
    </row>
    <row r="489" spans="2:63" ht="13.2">
      <c r="B489" s="60"/>
      <c r="C489" s="60"/>
      <c r="N489" s="60"/>
      <c r="O489" s="60"/>
      <c r="Z489" s="60"/>
      <c r="AA489" s="60"/>
      <c r="AL489" s="60"/>
      <c r="AM489" s="60"/>
      <c r="AX489" s="60"/>
      <c r="AY489" s="60"/>
      <c r="BJ489" s="60"/>
      <c r="BK489" s="60"/>
    </row>
    <row r="490" spans="2:63" ht="13.2">
      <c r="B490" s="60"/>
      <c r="C490" s="60"/>
      <c r="N490" s="60"/>
      <c r="O490" s="60"/>
      <c r="Z490" s="60"/>
      <c r="AA490" s="60"/>
      <c r="AL490" s="60"/>
      <c r="AM490" s="60"/>
      <c r="AX490" s="60"/>
      <c r="AY490" s="60"/>
      <c r="BJ490" s="60"/>
      <c r="BK490" s="60"/>
    </row>
    <row r="491" spans="2:63" ht="13.2">
      <c r="B491" s="60"/>
      <c r="C491" s="60"/>
      <c r="N491" s="60"/>
      <c r="O491" s="60"/>
      <c r="Z491" s="60"/>
      <c r="AA491" s="60"/>
      <c r="AL491" s="60"/>
      <c r="AM491" s="60"/>
      <c r="AX491" s="60"/>
      <c r="AY491" s="60"/>
      <c r="BJ491" s="60"/>
      <c r="BK491" s="60"/>
    </row>
    <row r="492" spans="2:63" ht="13.2">
      <c r="B492" s="60"/>
      <c r="C492" s="60"/>
      <c r="N492" s="60"/>
      <c r="O492" s="60"/>
      <c r="Z492" s="60"/>
      <c r="AA492" s="60"/>
      <c r="AL492" s="60"/>
      <c r="AM492" s="60"/>
      <c r="AX492" s="60"/>
      <c r="AY492" s="60"/>
      <c r="BJ492" s="60"/>
      <c r="BK492" s="60"/>
    </row>
    <row r="493" spans="2:63" ht="13.2">
      <c r="B493" s="60"/>
      <c r="C493" s="60"/>
      <c r="N493" s="60"/>
      <c r="O493" s="60"/>
      <c r="Z493" s="60"/>
      <c r="AA493" s="60"/>
      <c r="AL493" s="60"/>
      <c r="AM493" s="60"/>
      <c r="AX493" s="60"/>
      <c r="AY493" s="60"/>
      <c r="BJ493" s="60"/>
      <c r="BK493" s="60"/>
    </row>
    <row r="494" spans="2:63" ht="13.2">
      <c r="B494" s="60"/>
      <c r="C494" s="60"/>
      <c r="N494" s="60"/>
      <c r="O494" s="60"/>
      <c r="Z494" s="60"/>
      <c r="AA494" s="60"/>
      <c r="AL494" s="60"/>
      <c r="AM494" s="60"/>
      <c r="AX494" s="60"/>
      <c r="AY494" s="60"/>
      <c r="BJ494" s="60"/>
      <c r="BK494" s="60"/>
    </row>
    <row r="495" spans="2:63" ht="13.2">
      <c r="B495" s="60"/>
      <c r="C495" s="60"/>
      <c r="N495" s="60"/>
      <c r="O495" s="60"/>
      <c r="Z495" s="60"/>
      <c r="AA495" s="60"/>
      <c r="AL495" s="60"/>
      <c r="AM495" s="60"/>
      <c r="AX495" s="60"/>
      <c r="AY495" s="60"/>
      <c r="BJ495" s="60"/>
      <c r="BK495" s="60"/>
    </row>
    <row r="496" spans="2:63" ht="13.2">
      <c r="B496" s="60"/>
      <c r="C496" s="60"/>
      <c r="N496" s="60"/>
      <c r="O496" s="60"/>
      <c r="Z496" s="60"/>
      <c r="AA496" s="60"/>
      <c r="AL496" s="60"/>
      <c r="AM496" s="60"/>
      <c r="AX496" s="60"/>
      <c r="AY496" s="60"/>
      <c r="BJ496" s="60"/>
      <c r="BK496" s="60"/>
    </row>
    <row r="497" spans="2:63" ht="13.2">
      <c r="B497" s="60"/>
      <c r="C497" s="60"/>
      <c r="N497" s="60"/>
      <c r="O497" s="60"/>
      <c r="Z497" s="60"/>
      <c r="AA497" s="60"/>
      <c r="AL497" s="60"/>
      <c r="AM497" s="60"/>
      <c r="AX497" s="60"/>
      <c r="AY497" s="60"/>
      <c r="BJ497" s="60"/>
      <c r="BK497" s="60"/>
    </row>
    <row r="498" spans="2:63" ht="13.2">
      <c r="B498" s="60"/>
      <c r="C498" s="60"/>
      <c r="N498" s="60"/>
      <c r="O498" s="60"/>
      <c r="Z498" s="60"/>
      <c r="AA498" s="60"/>
      <c r="AL498" s="60"/>
      <c r="AM498" s="60"/>
      <c r="AX498" s="60"/>
      <c r="AY498" s="60"/>
      <c r="BJ498" s="60"/>
      <c r="BK498" s="60"/>
    </row>
    <row r="499" spans="2:63" ht="13.2">
      <c r="B499" s="60"/>
      <c r="C499" s="60"/>
      <c r="N499" s="60"/>
      <c r="O499" s="60"/>
      <c r="Z499" s="60"/>
      <c r="AA499" s="60"/>
      <c r="AL499" s="60"/>
      <c r="AM499" s="60"/>
      <c r="AX499" s="60"/>
      <c r="AY499" s="60"/>
      <c r="BJ499" s="60"/>
      <c r="BK499" s="60"/>
    </row>
    <row r="500" spans="2:63" ht="13.2">
      <c r="B500" s="60"/>
      <c r="C500" s="60"/>
      <c r="N500" s="60"/>
      <c r="O500" s="60"/>
      <c r="Z500" s="60"/>
      <c r="AA500" s="60"/>
      <c r="AL500" s="60"/>
      <c r="AM500" s="60"/>
      <c r="AX500" s="60"/>
      <c r="AY500" s="60"/>
      <c r="BJ500" s="60"/>
      <c r="BK500" s="60"/>
    </row>
    <row r="501" spans="2:63" ht="13.2">
      <c r="B501" s="60"/>
      <c r="C501" s="60"/>
      <c r="N501" s="60"/>
      <c r="O501" s="60"/>
      <c r="Z501" s="60"/>
      <c r="AA501" s="60"/>
      <c r="AL501" s="60"/>
      <c r="AM501" s="60"/>
      <c r="AX501" s="60"/>
      <c r="AY501" s="60"/>
      <c r="BJ501" s="60"/>
      <c r="BK501" s="60"/>
    </row>
    <row r="502" spans="2:63" ht="13.2">
      <c r="B502" s="60"/>
      <c r="C502" s="60"/>
      <c r="N502" s="60"/>
      <c r="O502" s="60"/>
      <c r="Z502" s="60"/>
      <c r="AA502" s="60"/>
      <c r="AL502" s="60"/>
      <c r="AM502" s="60"/>
      <c r="AX502" s="60"/>
      <c r="AY502" s="60"/>
      <c r="BJ502" s="60"/>
      <c r="BK502" s="60"/>
    </row>
    <row r="503" spans="2:63" ht="13.2">
      <c r="B503" s="60"/>
      <c r="C503" s="60"/>
      <c r="N503" s="60"/>
      <c r="O503" s="60"/>
      <c r="Z503" s="60"/>
      <c r="AA503" s="60"/>
      <c r="AL503" s="60"/>
      <c r="AM503" s="60"/>
      <c r="AX503" s="60"/>
      <c r="AY503" s="60"/>
      <c r="BJ503" s="60"/>
      <c r="BK503" s="60"/>
    </row>
    <row r="504" spans="2:63" ht="13.2">
      <c r="B504" s="60"/>
      <c r="C504" s="60"/>
      <c r="N504" s="60"/>
      <c r="O504" s="60"/>
      <c r="Z504" s="60"/>
      <c r="AA504" s="60"/>
      <c r="AL504" s="60"/>
      <c r="AM504" s="60"/>
      <c r="AX504" s="60"/>
      <c r="AY504" s="60"/>
      <c r="BJ504" s="60"/>
      <c r="BK504" s="60"/>
    </row>
    <row r="505" spans="2:63" ht="13.2">
      <c r="B505" s="60"/>
      <c r="C505" s="60"/>
      <c r="N505" s="60"/>
      <c r="O505" s="60"/>
      <c r="Z505" s="60"/>
      <c r="AA505" s="60"/>
      <c r="AL505" s="60"/>
      <c r="AM505" s="60"/>
      <c r="AX505" s="60"/>
      <c r="AY505" s="60"/>
      <c r="BJ505" s="60"/>
      <c r="BK505" s="60"/>
    </row>
    <row r="506" spans="2:63" ht="13.2">
      <c r="B506" s="60"/>
      <c r="C506" s="60"/>
      <c r="N506" s="60"/>
      <c r="O506" s="60"/>
      <c r="Z506" s="60"/>
      <c r="AA506" s="60"/>
      <c r="AL506" s="60"/>
      <c r="AM506" s="60"/>
      <c r="AX506" s="60"/>
      <c r="AY506" s="60"/>
      <c r="BJ506" s="60"/>
      <c r="BK506" s="60"/>
    </row>
    <row r="507" spans="2:63" ht="13.2">
      <c r="B507" s="60"/>
      <c r="C507" s="60"/>
      <c r="N507" s="60"/>
      <c r="O507" s="60"/>
      <c r="Z507" s="60"/>
      <c r="AA507" s="60"/>
      <c r="AL507" s="60"/>
      <c r="AM507" s="60"/>
      <c r="AX507" s="60"/>
      <c r="AY507" s="60"/>
      <c r="BJ507" s="60"/>
      <c r="BK507" s="60"/>
    </row>
    <row r="508" spans="2:63" ht="13.2">
      <c r="B508" s="60"/>
      <c r="C508" s="60"/>
      <c r="N508" s="60"/>
      <c r="O508" s="60"/>
      <c r="Z508" s="60"/>
      <c r="AA508" s="60"/>
      <c r="AL508" s="60"/>
      <c r="AM508" s="60"/>
      <c r="AX508" s="60"/>
      <c r="AY508" s="60"/>
      <c r="BJ508" s="60"/>
      <c r="BK508" s="60"/>
    </row>
    <row r="509" spans="2:63" ht="13.2">
      <c r="B509" s="60"/>
      <c r="C509" s="60"/>
      <c r="N509" s="60"/>
      <c r="O509" s="60"/>
      <c r="Z509" s="60"/>
      <c r="AA509" s="60"/>
      <c r="AL509" s="60"/>
      <c r="AM509" s="60"/>
      <c r="AX509" s="60"/>
      <c r="AY509" s="60"/>
      <c r="BJ509" s="60"/>
      <c r="BK509" s="60"/>
    </row>
    <row r="510" spans="2:63" ht="13.2">
      <c r="B510" s="60"/>
      <c r="C510" s="60"/>
      <c r="N510" s="60"/>
      <c r="O510" s="60"/>
      <c r="Z510" s="60"/>
      <c r="AA510" s="60"/>
      <c r="AL510" s="60"/>
      <c r="AM510" s="60"/>
      <c r="AX510" s="60"/>
      <c r="AY510" s="60"/>
      <c r="BJ510" s="60"/>
      <c r="BK510" s="60"/>
    </row>
    <row r="511" spans="2:63" ht="13.2">
      <c r="B511" s="60"/>
      <c r="C511" s="60"/>
      <c r="N511" s="60"/>
      <c r="O511" s="60"/>
      <c r="Z511" s="60"/>
      <c r="AA511" s="60"/>
      <c r="AL511" s="60"/>
      <c r="AM511" s="60"/>
      <c r="AX511" s="60"/>
      <c r="AY511" s="60"/>
      <c r="BJ511" s="60"/>
      <c r="BK511" s="60"/>
    </row>
    <row r="512" spans="2:63" ht="13.2">
      <c r="B512" s="60"/>
      <c r="C512" s="60"/>
      <c r="N512" s="60"/>
      <c r="O512" s="60"/>
      <c r="Z512" s="60"/>
      <c r="AA512" s="60"/>
      <c r="AL512" s="60"/>
      <c r="AM512" s="60"/>
      <c r="AX512" s="60"/>
      <c r="AY512" s="60"/>
      <c r="BJ512" s="60"/>
      <c r="BK512" s="60"/>
    </row>
    <row r="513" spans="2:63" ht="13.2">
      <c r="B513" s="60"/>
      <c r="C513" s="60"/>
      <c r="N513" s="60"/>
      <c r="O513" s="60"/>
      <c r="Z513" s="60"/>
      <c r="AA513" s="60"/>
      <c r="AL513" s="60"/>
      <c r="AM513" s="60"/>
      <c r="AX513" s="60"/>
      <c r="AY513" s="60"/>
      <c r="BJ513" s="60"/>
      <c r="BK513" s="60"/>
    </row>
    <row r="514" spans="2:63" ht="13.2">
      <c r="B514" s="60"/>
      <c r="C514" s="60"/>
      <c r="N514" s="60"/>
      <c r="O514" s="60"/>
      <c r="Z514" s="60"/>
      <c r="AA514" s="60"/>
      <c r="AL514" s="60"/>
      <c r="AM514" s="60"/>
      <c r="AX514" s="60"/>
      <c r="AY514" s="60"/>
      <c r="BJ514" s="60"/>
      <c r="BK514" s="60"/>
    </row>
    <row r="515" spans="2:63" ht="13.2">
      <c r="B515" s="60"/>
      <c r="C515" s="60"/>
      <c r="N515" s="60"/>
      <c r="O515" s="60"/>
      <c r="Z515" s="60"/>
      <c r="AA515" s="60"/>
      <c r="AL515" s="60"/>
      <c r="AM515" s="60"/>
      <c r="AX515" s="60"/>
      <c r="AY515" s="60"/>
      <c r="BJ515" s="60"/>
      <c r="BK515" s="60"/>
    </row>
    <row r="516" spans="2:63" ht="13.2">
      <c r="B516" s="60"/>
      <c r="C516" s="60"/>
      <c r="N516" s="60"/>
      <c r="O516" s="60"/>
      <c r="Z516" s="60"/>
      <c r="AA516" s="60"/>
      <c r="AL516" s="60"/>
      <c r="AM516" s="60"/>
      <c r="AX516" s="60"/>
      <c r="AY516" s="60"/>
      <c r="BJ516" s="60"/>
      <c r="BK516" s="60"/>
    </row>
    <row r="517" spans="2:63" ht="13.2">
      <c r="B517" s="60"/>
      <c r="C517" s="60"/>
      <c r="N517" s="60"/>
      <c r="O517" s="60"/>
      <c r="Z517" s="60"/>
      <c r="AA517" s="60"/>
      <c r="AL517" s="60"/>
      <c r="AM517" s="60"/>
      <c r="AX517" s="60"/>
      <c r="AY517" s="60"/>
      <c r="BJ517" s="60"/>
      <c r="BK517" s="60"/>
    </row>
    <row r="518" spans="2:63" ht="13.2">
      <c r="B518" s="60"/>
      <c r="C518" s="60"/>
      <c r="N518" s="60"/>
      <c r="O518" s="60"/>
      <c r="Z518" s="60"/>
      <c r="AA518" s="60"/>
      <c r="AL518" s="60"/>
      <c r="AM518" s="60"/>
      <c r="AX518" s="60"/>
      <c r="AY518" s="60"/>
      <c r="BJ518" s="60"/>
      <c r="BK518" s="60"/>
    </row>
    <row r="519" spans="2:63" ht="13.2">
      <c r="B519" s="60"/>
      <c r="C519" s="60"/>
      <c r="N519" s="60"/>
      <c r="O519" s="60"/>
      <c r="Z519" s="60"/>
      <c r="AA519" s="60"/>
      <c r="AL519" s="60"/>
      <c r="AM519" s="60"/>
      <c r="AX519" s="60"/>
      <c r="AY519" s="60"/>
      <c r="BJ519" s="60"/>
      <c r="BK519" s="60"/>
    </row>
    <row r="520" spans="2:63" ht="13.2">
      <c r="B520" s="60"/>
      <c r="C520" s="60"/>
      <c r="N520" s="60"/>
      <c r="O520" s="60"/>
      <c r="Z520" s="60"/>
      <c r="AA520" s="60"/>
      <c r="AL520" s="60"/>
      <c r="AM520" s="60"/>
      <c r="AX520" s="60"/>
      <c r="AY520" s="60"/>
      <c r="BJ520" s="60"/>
      <c r="BK520" s="60"/>
    </row>
    <row r="521" spans="2:63" ht="13.2">
      <c r="B521" s="60"/>
      <c r="C521" s="60"/>
      <c r="N521" s="60"/>
      <c r="O521" s="60"/>
      <c r="Z521" s="60"/>
      <c r="AA521" s="60"/>
      <c r="AL521" s="60"/>
      <c r="AM521" s="60"/>
      <c r="AX521" s="60"/>
      <c r="AY521" s="60"/>
      <c r="BJ521" s="60"/>
      <c r="BK521" s="60"/>
    </row>
    <row r="522" spans="2:63" ht="13.2">
      <c r="B522" s="60"/>
      <c r="C522" s="60"/>
      <c r="N522" s="60"/>
      <c r="O522" s="60"/>
      <c r="Z522" s="60"/>
      <c r="AA522" s="60"/>
      <c r="AL522" s="60"/>
      <c r="AM522" s="60"/>
      <c r="AX522" s="60"/>
      <c r="AY522" s="60"/>
      <c r="BJ522" s="60"/>
      <c r="BK522" s="60"/>
    </row>
    <row r="523" spans="2:63" ht="13.2">
      <c r="B523" s="60"/>
      <c r="C523" s="60"/>
      <c r="N523" s="60"/>
      <c r="O523" s="60"/>
      <c r="Z523" s="60"/>
      <c r="AA523" s="60"/>
      <c r="AL523" s="60"/>
      <c r="AM523" s="60"/>
      <c r="AX523" s="60"/>
      <c r="AY523" s="60"/>
      <c r="BJ523" s="60"/>
      <c r="BK523" s="60"/>
    </row>
    <row r="524" spans="2:63" ht="13.2">
      <c r="B524" s="60"/>
      <c r="C524" s="60"/>
      <c r="N524" s="60"/>
      <c r="O524" s="60"/>
      <c r="Z524" s="60"/>
      <c r="AA524" s="60"/>
      <c r="AL524" s="60"/>
      <c r="AM524" s="60"/>
      <c r="AX524" s="60"/>
      <c r="AY524" s="60"/>
      <c r="BJ524" s="60"/>
      <c r="BK524" s="60"/>
    </row>
    <row r="525" spans="2:63" ht="13.2">
      <c r="B525" s="60"/>
      <c r="C525" s="60"/>
      <c r="N525" s="60"/>
      <c r="O525" s="60"/>
      <c r="Z525" s="60"/>
      <c r="AA525" s="60"/>
      <c r="AL525" s="60"/>
      <c r="AM525" s="60"/>
      <c r="AX525" s="60"/>
      <c r="AY525" s="60"/>
      <c r="BJ525" s="60"/>
      <c r="BK525" s="60"/>
    </row>
    <row r="526" spans="2:63" ht="13.2">
      <c r="B526" s="60"/>
      <c r="C526" s="60"/>
      <c r="N526" s="60"/>
      <c r="O526" s="60"/>
      <c r="Z526" s="60"/>
      <c r="AA526" s="60"/>
      <c r="AL526" s="60"/>
      <c r="AM526" s="60"/>
      <c r="AX526" s="60"/>
      <c r="AY526" s="60"/>
      <c r="BJ526" s="60"/>
      <c r="BK526" s="60"/>
    </row>
    <row r="527" spans="2:63" ht="13.2">
      <c r="B527" s="60"/>
      <c r="C527" s="60"/>
      <c r="N527" s="60"/>
      <c r="O527" s="60"/>
      <c r="Z527" s="60"/>
      <c r="AA527" s="60"/>
      <c r="AL527" s="60"/>
      <c r="AM527" s="60"/>
      <c r="AX527" s="60"/>
      <c r="AY527" s="60"/>
      <c r="BJ527" s="60"/>
      <c r="BK527" s="60"/>
    </row>
    <row r="528" spans="2:63" ht="13.2">
      <c r="B528" s="60"/>
      <c r="C528" s="60"/>
      <c r="N528" s="60"/>
      <c r="O528" s="60"/>
      <c r="Z528" s="60"/>
      <c r="AA528" s="60"/>
      <c r="AL528" s="60"/>
      <c r="AM528" s="60"/>
      <c r="AX528" s="60"/>
      <c r="AY528" s="60"/>
      <c r="BJ528" s="60"/>
      <c r="BK528" s="60"/>
    </row>
    <row r="529" spans="2:63" ht="13.2">
      <c r="B529" s="60"/>
      <c r="C529" s="60"/>
      <c r="N529" s="60"/>
      <c r="O529" s="60"/>
      <c r="Z529" s="60"/>
      <c r="AA529" s="60"/>
      <c r="AL529" s="60"/>
      <c r="AM529" s="60"/>
      <c r="AX529" s="60"/>
      <c r="AY529" s="60"/>
      <c r="BJ529" s="60"/>
      <c r="BK529" s="60"/>
    </row>
    <row r="530" spans="2:63" ht="13.2">
      <c r="B530" s="60"/>
      <c r="C530" s="60"/>
      <c r="N530" s="60"/>
      <c r="O530" s="60"/>
      <c r="Z530" s="60"/>
      <c r="AA530" s="60"/>
      <c r="AL530" s="60"/>
      <c r="AM530" s="60"/>
      <c r="AX530" s="60"/>
      <c r="AY530" s="60"/>
      <c r="BJ530" s="60"/>
      <c r="BK530" s="60"/>
    </row>
    <row r="531" spans="2:63" ht="13.2">
      <c r="B531" s="60"/>
      <c r="C531" s="60"/>
      <c r="N531" s="60"/>
      <c r="O531" s="60"/>
      <c r="Z531" s="60"/>
      <c r="AA531" s="60"/>
      <c r="AL531" s="60"/>
      <c r="AM531" s="60"/>
      <c r="AX531" s="60"/>
      <c r="AY531" s="60"/>
      <c r="BJ531" s="60"/>
      <c r="BK531" s="60"/>
    </row>
    <row r="532" spans="2:63" ht="13.2">
      <c r="B532" s="60"/>
      <c r="C532" s="60"/>
      <c r="N532" s="60"/>
      <c r="O532" s="60"/>
      <c r="Z532" s="60"/>
      <c r="AA532" s="60"/>
      <c r="AL532" s="60"/>
      <c r="AM532" s="60"/>
      <c r="AX532" s="60"/>
      <c r="AY532" s="60"/>
      <c r="BJ532" s="60"/>
      <c r="BK532" s="60"/>
    </row>
    <row r="533" spans="2:63" ht="13.2">
      <c r="B533" s="60"/>
      <c r="C533" s="60"/>
      <c r="N533" s="60"/>
      <c r="O533" s="60"/>
      <c r="Z533" s="60"/>
      <c r="AA533" s="60"/>
      <c r="AL533" s="60"/>
      <c r="AM533" s="60"/>
      <c r="AX533" s="60"/>
      <c r="AY533" s="60"/>
      <c r="BJ533" s="60"/>
      <c r="BK533" s="60"/>
    </row>
    <row r="534" spans="2:63" ht="13.2">
      <c r="B534" s="60"/>
      <c r="C534" s="60"/>
      <c r="N534" s="60"/>
      <c r="O534" s="60"/>
      <c r="Z534" s="60"/>
      <c r="AA534" s="60"/>
      <c r="AL534" s="60"/>
      <c r="AM534" s="60"/>
      <c r="AX534" s="60"/>
      <c r="AY534" s="60"/>
      <c r="BJ534" s="60"/>
      <c r="BK534" s="60"/>
    </row>
    <row r="535" spans="2:63" ht="13.2">
      <c r="B535" s="60"/>
      <c r="C535" s="60"/>
      <c r="N535" s="60"/>
      <c r="O535" s="60"/>
      <c r="Z535" s="60"/>
      <c r="AA535" s="60"/>
      <c r="AL535" s="60"/>
      <c r="AM535" s="60"/>
      <c r="AX535" s="60"/>
      <c r="AY535" s="60"/>
      <c r="BJ535" s="60"/>
      <c r="BK535" s="60"/>
    </row>
    <row r="536" spans="2:63" ht="13.2">
      <c r="B536" s="60"/>
      <c r="C536" s="60"/>
      <c r="N536" s="60"/>
      <c r="O536" s="60"/>
      <c r="Z536" s="60"/>
      <c r="AA536" s="60"/>
      <c r="AL536" s="60"/>
      <c r="AM536" s="60"/>
      <c r="AX536" s="60"/>
      <c r="AY536" s="60"/>
      <c r="BJ536" s="60"/>
      <c r="BK536" s="60"/>
    </row>
    <row r="537" spans="2:63" ht="13.2">
      <c r="B537" s="60"/>
      <c r="C537" s="60"/>
      <c r="N537" s="60"/>
      <c r="O537" s="60"/>
      <c r="Z537" s="60"/>
      <c r="AA537" s="60"/>
      <c r="AL537" s="60"/>
      <c r="AM537" s="60"/>
      <c r="AX537" s="60"/>
      <c r="AY537" s="60"/>
      <c r="BJ537" s="60"/>
      <c r="BK537" s="60"/>
    </row>
    <row r="538" spans="2:63" ht="13.2">
      <c r="B538" s="60"/>
      <c r="C538" s="60"/>
      <c r="N538" s="60"/>
      <c r="O538" s="60"/>
      <c r="Z538" s="60"/>
      <c r="AA538" s="60"/>
      <c r="AL538" s="60"/>
      <c r="AM538" s="60"/>
      <c r="AX538" s="60"/>
      <c r="AY538" s="60"/>
      <c r="BJ538" s="60"/>
      <c r="BK538" s="60"/>
    </row>
    <row r="539" spans="2:63" ht="13.2">
      <c r="B539" s="60"/>
      <c r="C539" s="60"/>
      <c r="N539" s="60"/>
      <c r="O539" s="60"/>
      <c r="Z539" s="60"/>
      <c r="AA539" s="60"/>
      <c r="AL539" s="60"/>
      <c r="AM539" s="60"/>
      <c r="AX539" s="60"/>
      <c r="AY539" s="60"/>
      <c r="BJ539" s="60"/>
      <c r="BK539" s="60"/>
    </row>
    <row r="540" spans="2:63" ht="13.2">
      <c r="B540" s="60"/>
      <c r="C540" s="60"/>
      <c r="N540" s="60"/>
      <c r="O540" s="60"/>
      <c r="Z540" s="60"/>
      <c r="AA540" s="60"/>
      <c r="AL540" s="60"/>
      <c r="AM540" s="60"/>
      <c r="AX540" s="60"/>
      <c r="AY540" s="60"/>
      <c r="BJ540" s="60"/>
      <c r="BK540" s="60"/>
    </row>
    <row r="541" spans="2:63" ht="13.2">
      <c r="B541" s="60"/>
      <c r="C541" s="60"/>
      <c r="N541" s="60"/>
      <c r="O541" s="60"/>
      <c r="Z541" s="60"/>
      <c r="AA541" s="60"/>
      <c r="AL541" s="60"/>
      <c r="AM541" s="60"/>
      <c r="AX541" s="60"/>
      <c r="AY541" s="60"/>
      <c r="BJ541" s="60"/>
      <c r="BK541" s="60"/>
    </row>
    <row r="542" spans="2:63" ht="13.2">
      <c r="B542" s="60"/>
      <c r="C542" s="60"/>
      <c r="N542" s="60"/>
      <c r="O542" s="60"/>
      <c r="Z542" s="60"/>
      <c r="AA542" s="60"/>
      <c r="AL542" s="60"/>
      <c r="AM542" s="60"/>
      <c r="AX542" s="60"/>
      <c r="AY542" s="60"/>
      <c r="BJ542" s="60"/>
      <c r="BK542" s="60"/>
    </row>
    <row r="543" spans="2:63" ht="13.2">
      <c r="B543" s="60"/>
      <c r="C543" s="60"/>
      <c r="N543" s="60"/>
      <c r="O543" s="60"/>
      <c r="Z543" s="60"/>
      <c r="AA543" s="60"/>
      <c r="AL543" s="60"/>
      <c r="AM543" s="60"/>
      <c r="AX543" s="60"/>
      <c r="AY543" s="60"/>
      <c r="BJ543" s="60"/>
      <c r="BK543" s="60"/>
    </row>
    <row r="544" spans="2:63" ht="13.2">
      <c r="B544" s="60"/>
      <c r="C544" s="60"/>
      <c r="N544" s="60"/>
      <c r="O544" s="60"/>
      <c r="Z544" s="60"/>
      <c r="AA544" s="60"/>
      <c r="AL544" s="60"/>
      <c r="AM544" s="60"/>
      <c r="AX544" s="60"/>
      <c r="AY544" s="60"/>
      <c r="BJ544" s="60"/>
      <c r="BK544" s="60"/>
    </row>
    <row r="545" spans="2:63" ht="13.2">
      <c r="B545" s="60"/>
      <c r="C545" s="60"/>
      <c r="N545" s="60"/>
      <c r="O545" s="60"/>
      <c r="Z545" s="60"/>
      <c r="AA545" s="60"/>
      <c r="AL545" s="60"/>
      <c r="AM545" s="60"/>
      <c r="AX545" s="60"/>
      <c r="AY545" s="60"/>
      <c r="BJ545" s="60"/>
      <c r="BK545" s="60"/>
    </row>
    <row r="546" spans="2:63" ht="13.2">
      <c r="B546" s="60"/>
      <c r="C546" s="60"/>
      <c r="N546" s="60"/>
      <c r="O546" s="60"/>
      <c r="Z546" s="60"/>
      <c r="AA546" s="60"/>
      <c r="AL546" s="60"/>
      <c r="AM546" s="60"/>
      <c r="AX546" s="60"/>
      <c r="AY546" s="60"/>
      <c r="BJ546" s="60"/>
      <c r="BK546" s="60"/>
    </row>
    <row r="547" spans="2:63" ht="13.2">
      <c r="B547" s="60"/>
      <c r="C547" s="60"/>
      <c r="N547" s="60"/>
      <c r="O547" s="60"/>
      <c r="Z547" s="60"/>
      <c r="AA547" s="60"/>
      <c r="AL547" s="60"/>
      <c r="AM547" s="60"/>
      <c r="AX547" s="60"/>
      <c r="AY547" s="60"/>
      <c r="BJ547" s="60"/>
      <c r="BK547" s="60"/>
    </row>
    <row r="548" spans="2:63" ht="13.2">
      <c r="B548" s="60"/>
      <c r="C548" s="60"/>
      <c r="N548" s="60"/>
      <c r="O548" s="60"/>
      <c r="Z548" s="60"/>
      <c r="AA548" s="60"/>
      <c r="AL548" s="60"/>
      <c r="AM548" s="60"/>
      <c r="AX548" s="60"/>
      <c r="AY548" s="60"/>
      <c r="BJ548" s="60"/>
      <c r="BK548" s="60"/>
    </row>
    <row r="549" spans="2:63" ht="13.2">
      <c r="B549" s="60"/>
      <c r="C549" s="60"/>
      <c r="N549" s="60"/>
      <c r="O549" s="60"/>
      <c r="Z549" s="60"/>
      <c r="AA549" s="60"/>
      <c r="AL549" s="60"/>
      <c r="AM549" s="60"/>
      <c r="AX549" s="60"/>
      <c r="AY549" s="60"/>
      <c r="BJ549" s="60"/>
      <c r="BK549" s="60"/>
    </row>
    <row r="550" spans="2:63" ht="13.2">
      <c r="B550" s="60"/>
      <c r="C550" s="60"/>
      <c r="N550" s="60"/>
      <c r="O550" s="60"/>
      <c r="Z550" s="60"/>
      <c r="AA550" s="60"/>
      <c r="AL550" s="60"/>
      <c r="AM550" s="60"/>
      <c r="AX550" s="60"/>
      <c r="AY550" s="60"/>
      <c r="BJ550" s="60"/>
      <c r="BK550" s="60"/>
    </row>
    <row r="551" spans="2:63" ht="13.2">
      <c r="B551" s="60"/>
      <c r="C551" s="60"/>
      <c r="N551" s="60"/>
      <c r="O551" s="60"/>
      <c r="Z551" s="60"/>
      <c r="AA551" s="60"/>
      <c r="AL551" s="60"/>
      <c r="AM551" s="60"/>
      <c r="AX551" s="60"/>
      <c r="AY551" s="60"/>
      <c r="BJ551" s="60"/>
      <c r="BK551" s="60"/>
    </row>
    <row r="552" spans="2:63" ht="13.2">
      <c r="B552" s="60"/>
      <c r="C552" s="60"/>
      <c r="N552" s="60"/>
      <c r="O552" s="60"/>
      <c r="Z552" s="60"/>
      <c r="AA552" s="60"/>
      <c r="AL552" s="60"/>
      <c r="AM552" s="60"/>
      <c r="AX552" s="60"/>
      <c r="AY552" s="60"/>
      <c r="BJ552" s="60"/>
      <c r="BK552" s="60"/>
    </row>
    <row r="553" spans="2:63" ht="13.2">
      <c r="B553" s="60"/>
      <c r="C553" s="60"/>
      <c r="N553" s="60"/>
      <c r="O553" s="60"/>
      <c r="Z553" s="60"/>
      <c r="AA553" s="60"/>
      <c r="AL553" s="60"/>
      <c r="AM553" s="60"/>
      <c r="AX553" s="60"/>
      <c r="AY553" s="60"/>
      <c r="BJ553" s="60"/>
      <c r="BK553" s="60"/>
    </row>
    <row r="554" spans="2:63" ht="13.2">
      <c r="B554" s="60"/>
      <c r="C554" s="60"/>
      <c r="N554" s="60"/>
      <c r="O554" s="60"/>
      <c r="Z554" s="60"/>
      <c r="AA554" s="60"/>
      <c r="AL554" s="60"/>
      <c r="AM554" s="60"/>
      <c r="AX554" s="60"/>
      <c r="AY554" s="60"/>
      <c r="BJ554" s="60"/>
      <c r="BK554" s="60"/>
    </row>
    <row r="555" spans="2:63" ht="13.2">
      <c r="B555" s="60"/>
      <c r="C555" s="60"/>
      <c r="N555" s="60"/>
      <c r="O555" s="60"/>
      <c r="Z555" s="60"/>
      <c r="AA555" s="60"/>
      <c r="AL555" s="60"/>
      <c r="AM555" s="60"/>
      <c r="AX555" s="60"/>
      <c r="AY555" s="60"/>
      <c r="BJ555" s="60"/>
      <c r="BK555" s="60"/>
    </row>
    <row r="556" spans="2:63" ht="13.2">
      <c r="B556" s="60"/>
      <c r="C556" s="60"/>
      <c r="N556" s="60"/>
      <c r="O556" s="60"/>
      <c r="Z556" s="60"/>
      <c r="AA556" s="60"/>
      <c r="AL556" s="60"/>
      <c r="AM556" s="60"/>
      <c r="AX556" s="60"/>
      <c r="AY556" s="60"/>
      <c r="BJ556" s="60"/>
      <c r="BK556" s="60"/>
    </row>
    <row r="557" spans="2:63" ht="13.2">
      <c r="B557" s="60"/>
      <c r="C557" s="60"/>
      <c r="N557" s="60"/>
      <c r="O557" s="60"/>
      <c r="Z557" s="60"/>
      <c r="AA557" s="60"/>
      <c r="AL557" s="60"/>
      <c r="AM557" s="60"/>
      <c r="AX557" s="60"/>
      <c r="AY557" s="60"/>
      <c r="BJ557" s="60"/>
      <c r="BK557" s="60"/>
    </row>
    <row r="558" spans="2:63" ht="13.2">
      <c r="B558" s="60"/>
      <c r="C558" s="60"/>
      <c r="N558" s="60"/>
      <c r="O558" s="60"/>
      <c r="Z558" s="60"/>
      <c r="AA558" s="60"/>
      <c r="AL558" s="60"/>
      <c r="AM558" s="60"/>
      <c r="AX558" s="60"/>
      <c r="AY558" s="60"/>
      <c r="BJ558" s="60"/>
      <c r="BK558" s="60"/>
    </row>
    <row r="559" spans="2:63" ht="13.2">
      <c r="B559" s="60"/>
      <c r="C559" s="60"/>
      <c r="N559" s="60"/>
      <c r="O559" s="60"/>
      <c r="Z559" s="60"/>
      <c r="AA559" s="60"/>
      <c r="AL559" s="60"/>
      <c r="AM559" s="60"/>
      <c r="AX559" s="60"/>
      <c r="AY559" s="60"/>
      <c r="BJ559" s="60"/>
      <c r="BK559" s="60"/>
    </row>
    <row r="560" spans="2:63" ht="13.2">
      <c r="B560" s="60"/>
      <c r="C560" s="60"/>
      <c r="N560" s="60"/>
      <c r="O560" s="60"/>
      <c r="Z560" s="60"/>
      <c r="AA560" s="60"/>
      <c r="AL560" s="60"/>
      <c r="AM560" s="60"/>
      <c r="AX560" s="60"/>
      <c r="AY560" s="60"/>
      <c r="BJ560" s="60"/>
      <c r="BK560" s="60"/>
    </row>
    <row r="561" spans="2:63" ht="13.2">
      <c r="B561" s="60"/>
      <c r="C561" s="60"/>
      <c r="N561" s="60"/>
      <c r="O561" s="60"/>
      <c r="Z561" s="60"/>
      <c r="AA561" s="60"/>
      <c r="AL561" s="60"/>
      <c r="AM561" s="60"/>
      <c r="AX561" s="60"/>
      <c r="AY561" s="60"/>
      <c r="BJ561" s="60"/>
      <c r="BK561" s="60"/>
    </row>
    <row r="562" spans="2:63" ht="13.2">
      <c r="B562" s="60"/>
      <c r="C562" s="60"/>
      <c r="N562" s="60"/>
      <c r="O562" s="60"/>
      <c r="Z562" s="60"/>
      <c r="AA562" s="60"/>
      <c r="AL562" s="60"/>
      <c r="AM562" s="60"/>
      <c r="AX562" s="60"/>
      <c r="AY562" s="60"/>
      <c r="BJ562" s="60"/>
      <c r="BK562" s="60"/>
    </row>
    <row r="563" spans="2:63" ht="13.2">
      <c r="B563" s="60"/>
      <c r="C563" s="60"/>
      <c r="N563" s="60"/>
      <c r="O563" s="60"/>
      <c r="Z563" s="60"/>
      <c r="AA563" s="60"/>
      <c r="AL563" s="60"/>
      <c r="AM563" s="60"/>
      <c r="AX563" s="60"/>
      <c r="AY563" s="60"/>
      <c r="BJ563" s="60"/>
      <c r="BK563" s="60"/>
    </row>
    <row r="564" spans="2:63" ht="13.2">
      <c r="B564" s="60"/>
      <c r="C564" s="60"/>
      <c r="N564" s="60"/>
      <c r="O564" s="60"/>
      <c r="Z564" s="60"/>
      <c r="AA564" s="60"/>
      <c r="AL564" s="60"/>
      <c r="AM564" s="60"/>
      <c r="AX564" s="60"/>
      <c r="AY564" s="60"/>
      <c r="BJ564" s="60"/>
      <c r="BK564" s="60"/>
    </row>
    <row r="565" spans="2:63" ht="13.2">
      <c r="B565" s="60"/>
      <c r="C565" s="60"/>
      <c r="N565" s="60"/>
      <c r="O565" s="60"/>
      <c r="Z565" s="60"/>
      <c r="AA565" s="60"/>
      <c r="AL565" s="60"/>
      <c r="AM565" s="60"/>
      <c r="AX565" s="60"/>
      <c r="AY565" s="60"/>
      <c r="BJ565" s="60"/>
      <c r="BK565" s="60"/>
    </row>
    <row r="566" spans="2:63" ht="13.2">
      <c r="B566" s="60"/>
      <c r="C566" s="60"/>
      <c r="N566" s="60"/>
      <c r="O566" s="60"/>
      <c r="Z566" s="60"/>
      <c r="AA566" s="60"/>
      <c r="AL566" s="60"/>
      <c r="AM566" s="60"/>
      <c r="AX566" s="60"/>
      <c r="AY566" s="60"/>
      <c r="BJ566" s="60"/>
      <c r="BK566" s="60"/>
    </row>
    <row r="567" spans="2:63" ht="13.2">
      <c r="B567" s="60"/>
      <c r="C567" s="60"/>
      <c r="N567" s="60"/>
      <c r="O567" s="60"/>
      <c r="Z567" s="60"/>
      <c r="AA567" s="60"/>
      <c r="AL567" s="60"/>
      <c r="AM567" s="60"/>
      <c r="AX567" s="60"/>
      <c r="AY567" s="60"/>
      <c r="BJ567" s="60"/>
      <c r="BK567" s="60"/>
    </row>
    <row r="568" spans="2:63" ht="13.2">
      <c r="B568" s="60"/>
      <c r="C568" s="60"/>
      <c r="N568" s="60"/>
      <c r="O568" s="60"/>
      <c r="Z568" s="60"/>
      <c r="AA568" s="60"/>
      <c r="AL568" s="60"/>
      <c r="AM568" s="60"/>
      <c r="AX568" s="60"/>
      <c r="AY568" s="60"/>
      <c r="BJ568" s="60"/>
      <c r="BK568" s="60"/>
    </row>
    <row r="569" spans="2:63" ht="13.2">
      <c r="B569" s="60"/>
      <c r="C569" s="60"/>
      <c r="N569" s="60"/>
      <c r="O569" s="60"/>
      <c r="Z569" s="60"/>
      <c r="AA569" s="60"/>
      <c r="AL569" s="60"/>
      <c r="AM569" s="60"/>
      <c r="AX569" s="60"/>
      <c r="AY569" s="60"/>
      <c r="BJ569" s="60"/>
      <c r="BK569" s="60"/>
    </row>
    <row r="570" spans="2:63" ht="13.2">
      <c r="B570" s="60"/>
      <c r="C570" s="60"/>
      <c r="N570" s="60"/>
      <c r="O570" s="60"/>
      <c r="Z570" s="60"/>
      <c r="AA570" s="60"/>
      <c r="AL570" s="60"/>
      <c r="AM570" s="60"/>
      <c r="AX570" s="60"/>
      <c r="AY570" s="60"/>
      <c r="BJ570" s="60"/>
      <c r="BK570" s="60"/>
    </row>
    <row r="571" spans="2:63" ht="13.2">
      <c r="B571" s="60"/>
      <c r="C571" s="60"/>
      <c r="N571" s="60"/>
      <c r="O571" s="60"/>
      <c r="Z571" s="60"/>
      <c r="AA571" s="60"/>
      <c r="AL571" s="60"/>
      <c r="AM571" s="60"/>
      <c r="AX571" s="60"/>
      <c r="AY571" s="60"/>
      <c r="BJ571" s="60"/>
      <c r="BK571" s="60"/>
    </row>
    <row r="572" spans="2:63" ht="13.2">
      <c r="B572" s="60"/>
      <c r="C572" s="60"/>
      <c r="N572" s="60"/>
      <c r="O572" s="60"/>
      <c r="Z572" s="60"/>
      <c r="AA572" s="60"/>
      <c r="AL572" s="60"/>
      <c r="AM572" s="60"/>
      <c r="AX572" s="60"/>
      <c r="AY572" s="60"/>
      <c r="BJ572" s="60"/>
      <c r="BK572" s="60"/>
    </row>
    <row r="573" spans="2:63" ht="13.2">
      <c r="B573" s="60"/>
      <c r="C573" s="60"/>
      <c r="N573" s="60"/>
      <c r="O573" s="60"/>
      <c r="Z573" s="60"/>
      <c r="AA573" s="60"/>
      <c r="AL573" s="60"/>
      <c r="AM573" s="60"/>
      <c r="AX573" s="60"/>
      <c r="AY573" s="60"/>
      <c r="BJ573" s="60"/>
      <c r="BK573" s="60"/>
    </row>
    <row r="574" spans="2:63" ht="13.2">
      <c r="B574" s="60"/>
      <c r="C574" s="60"/>
      <c r="N574" s="60"/>
      <c r="O574" s="60"/>
      <c r="Z574" s="60"/>
      <c r="AA574" s="60"/>
      <c r="AL574" s="60"/>
      <c r="AM574" s="60"/>
      <c r="AX574" s="60"/>
      <c r="AY574" s="60"/>
      <c r="BJ574" s="60"/>
      <c r="BK574" s="60"/>
    </row>
    <row r="575" spans="2:63" ht="13.2">
      <c r="B575" s="60"/>
      <c r="C575" s="60"/>
      <c r="N575" s="60"/>
      <c r="O575" s="60"/>
      <c r="Z575" s="60"/>
      <c r="AA575" s="60"/>
      <c r="AL575" s="60"/>
      <c r="AM575" s="60"/>
      <c r="AX575" s="60"/>
      <c r="AY575" s="60"/>
      <c r="BJ575" s="60"/>
      <c r="BK575" s="60"/>
    </row>
    <row r="576" spans="2:63" ht="13.2">
      <c r="B576" s="60"/>
      <c r="C576" s="60"/>
      <c r="N576" s="60"/>
      <c r="O576" s="60"/>
      <c r="Z576" s="60"/>
      <c r="AA576" s="60"/>
      <c r="AL576" s="60"/>
      <c r="AM576" s="60"/>
      <c r="AX576" s="60"/>
      <c r="AY576" s="60"/>
      <c r="BJ576" s="60"/>
      <c r="BK576" s="60"/>
    </row>
    <row r="577" spans="2:63" ht="13.2">
      <c r="B577" s="60"/>
      <c r="C577" s="60"/>
      <c r="N577" s="60"/>
      <c r="O577" s="60"/>
      <c r="Z577" s="60"/>
      <c r="AA577" s="60"/>
      <c r="AL577" s="60"/>
      <c r="AM577" s="60"/>
      <c r="AX577" s="60"/>
      <c r="AY577" s="60"/>
      <c r="BJ577" s="60"/>
      <c r="BK577" s="60"/>
    </row>
    <row r="578" spans="2:63" ht="13.2">
      <c r="B578" s="60"/>
      <c r="C578" s="60"/>
      <c r="N578" s="60"/>
      <c r="O578" s="60"/>
      <c r="Z578" s="60"/>
      <c r="AA578" s="60"/>
      <c r="AL578" s="60"/>
      <c r="AM578" s="60"/>
      <c r="AX578" s="60"/>
      <c r="AY578" s="60"/>
      <c r="BJ578" s="60"/>
      <c r="BK578" s="60"/>
    </row>
    <row r="579" spans="2:63" ht="13.2">
      <c r="B579" s="60"/>
      <c r="C579" s="60"/>
      <c r="N579" s="60"/>
      <c r="O579" s="60"/>
      <c r="Z579" s="60"/>
      <c r="AA579" s="60"/>
      <c r="AL579" s="60"/>
      <c r="AM579" s="60"/>
      <c r="AX579" s="60"/>
      <c r="AY579" s="60"/>
      <c r="BJ579" s="60"/>
      <c r="BK579" s="60"/>
    </row>
    <row r="580" spans="2:63" ht="13.2">
      <c r="B580" s="60"/>
      <c r="C580" s="60"/>
      <c r="N580" s="60"/>
      <c r="O580" s="60"/>
      <c r="Z580" s="60"/>
      <c r="AA580" s="60"/>
      <c r="AL580" s="60"/>
      <c r="AM580" s="60"/>
      <c r="AX580" s="60"/>
      <c r="AY580" s="60"/>
      <c r="BJ580" s="60"/>
      <c r="BK580" s="60"/>
    </row>
    <row r="581" spans="2:63" ht="13.2">
      <c r="B581" s="60"/>
      <c r="C581" s="60"/>
      <c r="N581" s="60"/>
      <c r="O581" s="60"/>
      <c r="Z581" s="60"/>
      <c r="AA581" s="60"/>
      <c r="AL581" s="60"/>
      <c r="AM581" s="60"/>
      <c r="AX581" s="60"/>
      <c r="AY581" s="60"/>
      <c r="BJ581" s="60"/>
      <c r="BK581" s="60"/>
    </row>
    <row r="582" spans="2:63" ht="13.2">
      <c r="B582" s="60"/>
      <c r="C582" s="60"/>
      <c r="N582" s="60"/>
      <c r="O582" s="60"/>
      <c r="Z582" s="60"/>
      <c r="AA582" s="60"/>
      <c r="AL582" s="60"/>
      <c r="AM582" s="60"/>
      <c r="AX582" s="60"/>
      <c r="AY582" s="60"/>
      <c r="BJ582" s="60"/>
      <c r="BK582" s="60"/>
    </row>
    <row r="583" spans="2:63" ht="13.2">
      <c r="B583" s="60"/>
      <c r="C583" s="60"/>
      <c r="N583" s="60"/>
      <c r="O583" s="60"/>
      <c r="Z583" s="60"/>
      <c r="AA583" s="60"/>
      <c r="AL583" s="60"/>
      <c r="AM583" s="60"/>
      <c r="AX583" s="60"/>
      <c r="AY583" s="60"/>
      <c r="BJ583" s="60"/>
      <c r="BK583" s="60"/>
    </row>
    <row r="584" spans="2:63" ht="13.2">
      <c r="B584" s="60"/>
      <c r="C584" s="60"/>
      <c r="N584" s="60"/>
      <c r="O584" s="60"/>
      <c r="Z584" s="60"/>
      <c r="AA584" s="60"/>
      <c r="AL584" s="60"/>
      <c r="AM584" s="60"/>
      <c r="AX584" s="60"/>
      <c r="AY584" s="60"/>
      <c r="BJ584" s="60"/>
      <c r="BK584" s="60"/>
    </row>
    <row r="585" spans="2:63" ht="13.2">
      <c r="B585" s="60"/>
      <c r="C585" s="60"/>
      <c r="N585" s="60"/>
      <c r="O585" s="60"/>
      <c r="Z585" s="60"/>
      <c r="AA585" s="60"/>
      <c r="AL585" s="60"/>
      <c r="AM585" s="60"/>
      <c r="AX585" s="60"/>
      <c r="AY585" s="60"/>
      <c r="BJ585" s="60"/>
      <c r="BK585" s="60"/>
    </row>
    <row r="586" spans="2:63" ht="13.2">
      <c r="B586" s="60"/>
      <c r="C586" s="60"/>
      <c r="N586" s="60"/>
      <c r="O586" s="60"/>
      <c r="Z586" s="60"/>
      <c r="AA586" s="60"/>
      <c r="AL586" s="60"/>
      <c r="AM586" s="60"/>
      <c r="AX586" s="60"/>
      <c r="AY586" s="60"/>
      <c r="BJ586" s="60"/>
      <c r="BK586" s="60"/>
    </row>
    <row r="587" spans="2:63" ht="13.2">
      <c r="B587" s="60"/>
      <c r="C587" s="60"/>
      <c r="N587" s="60"/>
      <c r="O587" s="60"/>
      <c r="Z587" s="60"/>
      <c r="AA587" s="60"/>
      <c r="AL587" s="60"/>
      <c r="AM587" s="60"/>
      <c r="AX587" s="60"/>
      <c r="AY587" s="60"/>
      <c r="BJ587" s="60"/>
      <c r="BK587" s="60"/>
    </row>
    <row r="588" spans="2:63" ht="13.2">
      <c r="B588" s="60"/>
      <c r="C588" s="60"/>
      <c r="N588" s="60"/>
      <c r="O588" s="60"/>
      <c r="Z588" s="60"/>
      <c r="AA588" s="60"/>
      <c r="AL588" s="60"/>
      <c r="AM588" s="60"/>
      <c r="AX588" s="60"/>
      <c r="AY588" s="60"/>
      <c r="BJ588" s="60"/>
      <c r="BK588" s="60"/>
    </row>
    <row r="589" spans="2:63" ht="13.2">
      <c r="B589" s="60"/>
      <c r="C589" s="60"/>
      <c r="N589" s="60"/>
      <c r="O589" s="60"/>
      <c r="Z589" s="60"/>
      <c r="AA589" s="60"/>
      <c r="AL589" s="60"/>
      <c r="AM589" s="60"/>
      <c r="AX589" s="60"/>
      <c r="AY589" s="60"/>
      <c r="BJ589" s="60"/>
      <c r="BK589" s="60"/>
    </row>
    <row r="590" spans="2:63" ht="13.2">
      <c r="B590" s="60"/>
      <c r="C590" s="60"/>
      <c r="N590" s="60"/>
      <c r="O590" s="60"/>
      <c r="Z590" s="60"/>
      <c r="AA590" s="60"/>
      <c r="AL590" s="60"/>
      <c r="AM590" s="60"/>
      <c r="AX590" s="60"/>
      <c r="AY590" s="60"/>
      <c r="BJ590" s="60"/>
      <c r="BK590" s="60"/>
    </row>
    <row r="591" spans="2:63" ht="13.2">
      <c r="B591" s="60"/>
      <c r="C591" s="60"/>
      <c r="N591" s="60"/>
      <c r="O591" s="60"/>
      <c r="Z591" s="60"/>
      <c r="AA591" s="60"/>
      <c r="AL591" s="60"/>
      <c r="AM591" s="60"/>
      <c r="AX591" s="60"/>
      <c r="AY591" s="60"/>
      <c r="BJ591" s="60"/>
      <c r="BK591" s="60"/>
    </row>
    <row r="592" spans="2:63" ht="13.2">
      <c r="B592" s="60"/>
      <c r="C592" s="60"/>
      <c r="N592" s="60"/>
      <c r="O592" s="60"/>
      <c r="Z592" s="60"/>
      <c r="AA592" s="60"/>
      <c r="AL592" s="60"/>
      <c r="AM592" s="60"/>
      <c r="AX592" s="60"/>
      <c r="AY592" s="60"/>
      <c r="BJ592" s="60"/>
      <c r="BK592" s="60"/>
    </row>
    <row r="593" spans="2:63" ht="13.2">
      <c r="B593" s="60"/>
      <c r="C593" s="60"/>
      <c r="N593" s="60"/>
      <c r="O593" s="60"/>
      <c r="Z593" s="60"/>
      <c r="AA593" s="60"/>
      <c r="AL593" s="60"/>
      <c r="AM593" s="60"/>
      <c r="AX593" s="60"/>
      <c r="AY593" s="60"/>
      <c r="BJ593" s="60"/>
      <c r="BK593" s="60"/>
    </row>
    <row r="594" spans="2:63" ht="13.2">
      <c r="B594" s="60"/>
      <c r="C594" s="60"/>
      <c r="N594" s="60"/>
      <c r="O594" s="60"/>
      <c r="Z594" s="60"/>
      <c r="AA594" s="60"/>
      <c r="AL594" s="60"/>
      <c r="AM594" s="60"/>
      <c r="AX594" s="60"/>
      <c r="AY594" s="60"/>
      <c r="BJ594" s="60"/>
      <c r="BK594" s="60"/>
    </row>
    <row r="595" spans="2:63" ht="13.2">
      <c r="B595" s="60"/>
      <c r="C595" s="60"/>
      <c r="N595" s="60"/>
      <c r="O595" s="60"/>
      <c r="Z595" s="60"/>
      <c r="AA595" s="60"/>
      <c r="AL595" s="60"/>
      <c r="AM595" s="60"/>
      <c r="AX595" s="60"/>
      <c r="AY595" s="60"/>
      <c r="BJ595" s="60"/>
      <c r="BK595" s="60"/>
    </row>
    <row r="596" spans="2:63" ht="13.2">
      <c r="B596" s="60"/>
      <c r="C596" s="60"/>
      <c r="N596" s="60"/>
      <c r="O596" s="60"/>
      <c r="Z596" s="60"/>
      <c r="AA596" s="60"/>
      <c r="AL596" s="60"/>
      <c r="AM596" s="60"/>
      <c r="AX596" s="60"/>
      <c r="AY596" s="60"/>
      <c r="BJ596" s="60"/>
      <c r="BK596" s="60"/>
    </row>
    <row r="597" spans="2:63" ht="13.2">
      <c r="B597" s="60"/>
      <c r="C597" s="60"/>
      <c r="N597" s="60"/>
      <c r="O597" s="60"/>
      <c r="Z597" s="60"/>
      <c r="AA597" s="60"/>
      <c r="AL597" s="60"/>
      <c r="AM597" s="60"/>
      <c r="AX597" s="60"/>
      <c r="AY597" s="60"/>
      <c r="BJ597" s="60"/>
      <c r="BK597" s="60"/>
    </row>
    <row r="598" spans="2:63" ht="13.2">
      <c r="B598" s="60"/>
      <c r="C598" s="60"/>
      <c r="N598" s="60"/>
      <c r="O598" s="60"/>
      <c r="Z598" s="60"/>
      <c r="AA598" s="60"/>
      <c r="AL598" s="60"/>
      <c r="AM598" s="60"/>
      <c r="AX598" s="60"/>
      <c r="AY598" s="60"/>
      <c r="BJ598" s="60"/>
      <c r="BK598" s="60"/>
    </row>
    <row r="599" spans="2:63" ht="13.2">
      <c r="B599" s="60"/>
      <c r="C599" s="60"/>
      <c r="N599" s="60"/>
      <c r="O599" s="60"/>
      <c r="Z599" s="60"/>
      <c r="AA599" s="60"/>
      <c r="AL599" s="60"/>
      <c r="AM599" s="60"/>
      <c r="AX599" s="60"/>
      <c r="AY599" s="60"/>
      <c r="BJ599" s="60"/>
      <c r="BK599" s="60"/>
    </row>
    <row r="600" spans="2:63" ht="13.2">
      <c r="B600" s="60"/>
      <c r="C600" s="60"/>
      <c r="N600" s="60"/>
      <c r="O600" s="60"/>
      <c r="Z600" s="60"/>
      <c r="AA600" s="60"/>
      <c r="AL600" s="60"/>
      <c r="AM600" s="60"/>
      <c r="AX600" s="60"/>
      <c r="AY600" s="60"/>
      <c r="BJ600" s="60"/>
      <c r="BK600" s="60"/>
    </row>
    <row r="601" spans="2:63" ht="13.2">
      <c r="B601" s="60"/>
      <c r="C601" s="60"/>
      <c r="N601" s="60"/>
      <c r="O601" s="60"/>
      <c r="Z601" s="60"/>
      <c r="AA601" s="60"/>
      <c r="AL601" s="60"/>
      <c r="AM601" s="60"/>
      <c r="AX601" s="60"/>
      <c r="AY601" s="60"/>
      <c r="BJ601" s="60"/>
      <c r="BK601" s="60"/>
    </row>
    <row r="602" spans="2:63" ht="13.2">
      <c r="B602" s="60"/>
      <c r="C602" s="60"/>
      <c r="N602" s="60"/>
      <c r="O602" s="60"/>
      <c r="Z602" s="60"/>
      <c r="AA602" s="60"/>
      <c r="AL602" s="60"/>
      <c r="AM602" s="60"/>
      <c r="AX602" s="60"/>
      <c r="AY602" s="60"/>
      <c r="BJ602" s="60"/>
      <c r="BK602" s="60"/>
    </row>
    <row r="603" spans="2:63" ht="13.2">
      <c r="B603" s="60"/>
      <c r="C603" s="60"/>
      <c r="N603" s="60"/>
      <c r="O603" s="60"/>
      <c r="Z603" s="60"/>
      <c r="AA603" s="60"/>
      <c r="AL603" s="60"/>
      <c r="AM603" s="60"/>
      <c r="AX603" s="60"/>
      <c r="AY603" s="60"/>
      <c r="BJ603" s="60"/>
      <c r="BK603" s="60"/>
    </row>
    <row r="604" spans="2:63" ht="13.2">
      <c r="B604" s="60"/>
      <c r="C604" s="60"/>
      <c r="N604" s="60"/>
      <c r="O604" s="60"/>
      <c r="Z604" s="60"/>
      <c r="AA604" s="60"/>
      <c r="AL604" s="60"/>
      <c r="AM604" s="60"/>
      <c r="AX604" s="60"/>
      <c r="AY604" s="60"/>
      <c r="BJ604" s="60"/>
      <c r="BK604" s="60"/>
    </row>
    <row r="605" spans="2:63" ht="13.2">
      <c r="B605" s="60"/>
      <c r="C605" s="60"/>
      <c r="N605" s="60"/>
      <c r="O605" s="60"/>
      <c r="Z605" s="60"/>
      <c r="AA605" s="60"/>
      <c r="AL605" s="60"/>
      <c r="AM605" s="60"/>
      <c r="AX605" s="60"/>
      <c r="AY605" s="60"/>
      <c r="BJ605" s="60"/>
      <c r="BK605" s="60"/>
    </row>
    <row r="606" spans="2:63" ht="13.2">
      <c r="B606" s="60"/>
      <c r="C606" s="60"/>
      <c r="N606" s="60"/>
      <c r="O606" s="60"/>
      <c r="Z606" s="60"/>
      <c r="AA606" s="60"/>
      <c r="AL606" s="60"/>
      <c r="AM606" s="60"/>
      <c r="AX606" s="60"/>
      <c r="AY606" s="60"/>
      <c r="BJ606" s="60"/>
      <c r="BK606" s="60"/>
    </row>
    <row r="607" spans="2:63" ht="13.2">
      <c r="B607" s="60"/>
      <c r="C607" s="60"/>
      <c r="N607" s="60"/>
      <c r="O607" s="60"/>
      <c r="Z607" s="60"/>
      <c r="AA607" s="60"/>
      <c r="AL607" s="60"/>
      <c r="AM607" s="60"/>
      <c r="AX607" s="60"/>
      <c r="AY607" s="60"/>
      <c r="BJ607" s="60"/>
      <c r="BK607" s="60"/>
    </row>
    <row r="608" spans="2:63" ht="13.2">
      <c r="B608" s="60"/>
      <c r="C608" s="60"/>
      <c r="N608" s="60"/>
      <c r="O608" s="60"/>
      <c r="Z608" s="60"/>
      <c r="AA608" s="60"/>
      <c r="AL608" s="60"/>
      <c r="AM608" s="60"/>
      <c r="AX608" s="60"/>
      <c r="AY608" s="60"/>
      <c r="BJ608" s="60"/>
      <c r="BK608" s="60"/>
    </row>
    <row r="609" spans="2:63" ht="13.2">
      <c r="B609" s="60"/>
      <c r="C609" s="60"/>
      <c r="N609" s="60"/>
      <c r="O609" s="60"/>
      <c r="Z609" s="60"/>
      <c r="AA609" s="60"/>
      <c r="AL609" s="60"/>
      <c r="AM609" s="60"/>
      <c r="AX609" s="60"/>
      <c r="AY609" s="60"/>
      <c r="BJ609" s="60"/>
      <c r="BK609" s="60"/>
    </row>
    <row r="610" spans="2:63" ht="13.2">
      <c r="B610" s="60"/>
      <c r="C610" s="60"/>
      <c r="N610" s="60"/>
      <c r="O610" s="60"/>
      <c r="Z610" s="60"/>
      <c r="AA610" s="60"/>
      <c r="AL610" s="60"/>
      <c r="AM610" s="60"/>
      <c r="AX610" s="60"/>
      <c r="AY610" s="60"/>
      <c r="BJ610" s="60"/>
      <c r="BK610" s="60"/>
    </row>
    <row r="611" spans="2:63" ht="13.2">
      <c r="B611" s="60"/>
      <c r="C611" s="60"/>
      <c r="N611" s="60"/>
      <c r="O611" s="60"/>
      <c r="Z611" s="60"/>
      <c r="AA611" s="60"/>
      <c r="AL611" s="60"/>
      <c r="AM611" s="60"/>
      <c r="AX611" s="60"/>
      <c r="AY611" s="60"/>
      <c r="BJ611" s="60"/>
      <c r="BK611" s="60"/>
    </row>
    <row r="612" spans="2:63" ht="13.2">
      <c r="B612" s="60"/>
      <c r="C612" s="60"/>
      <c r="N612" s="60"/>
      <c r="O612" s="60"/>
      <c r="Z612" s="60"/>
      <c r="AA612" s="60"/>
      <c r="AL612" s="60"/>
      <c r="AM612" s="60"/>
      <c r="AX612" s="60"/>
      <c r="AY612" s="60"/>
      <c r="BJ612" s="60"/>
      <c r="BK612" s="60"/>
    </row>
    <row r="613" spans="2:63" ht="13.2">
      <c r="B613" s="60"/>
      <c r="C613" s="60"/>
      <c r="N613" s="60"/>
      <c r="O613" s="60"/>
      <c r="Z613" s="60"/>
      <c r="AA613" s="60"/>
      <c r="AL613" s="60"/>
      <c r="AM613" s="60"/>
      <c r="AX613" s="60"/>
      <c r="AY613" s="60"/>
      <c r="BJ613" s="60"/>
      <c r="BK613" s="60"/>
    </row>
    <row r="614" spans="2:63" ht="13.2">
      <c r="B614" s="60"/>
      <c r="C614" s="60"/>
      <c r="N614" s="60"/>
      <c r="O614" s="60"/>
      <c r="Z614" s="60"/>
      <c r="AA614" s="60"/>
      <c r="AL614" s="60"/>
      <c r="AM614" s="60"/>
      <c r="AX614" s="60"/>
      <c r="AY614" s="60"/>
      <c r="BJ614" s="60"/>
      <c r="BK614" s="60"/>
    </row>
    <row r="615" spans="2:63" ht="13.2">
      <c r="B615" s="60"/>
      <c r="C615" s="60"/>
      <c r="N615" s="60"/>
      <c r="O615" s="60"/>
      <c r="Z615" s="60"/>
      <c r="AA615" s="60"/>
      <c r="AL615" s="60"/>
      <c r="AM615" s="60"/>
      <c r="AX615" s="60"/>
      <c r="AY615" s="60"/>
      <c r="BJ615" s="60"/>
      <c r="BK615" s="60"/>
    </row>
    <row r="616" spans="2:63" ht="13.2">
      <c r="B616" s="60"/>
      <c r="C616" s="60"/>
      <c r="N616" s="60"/>
      <c r="O616" s="60"/>
      <c r="Z616" s="60"/>
      <c r="AA616" s="60"/>
      <c r="AL616" s="60"/>
      <c r="AM616" s="60"/>
      <c r="AX616" s="60"/>
      <c r="AY616" s="60"/>
      <c r="BJ616" s="60"/>
      <c r="BK616" s="60"/>
    </row>
    <row r="617" spans="2:63" ht="13.2">
      <c r="B617" s="60"/>
      <c r="C617" s="60"/>
      <c r="N617" s="60"/>
      <c r="O617" s="60"/>
      <c r="Z617" s="60"/>
      <c r="AA617" s="60"/>
      <c r="AL617" s="60"/>
      <c r="AM617" s="60"/>
      <c r="AX617" s="60"/>
      <c r="AY617" s="60"/>
      <c r="BJ617" s="60"/>
      <c r="BK617" s="60"/>
    </row>
    <row r="618" spans="2:63" ht="13.2">
      <c r="B618" s="60"/>
      <c r="C618" s="60"/>
      <c r="N618" s="60"/>
      <c r="O618" s="60"/>
      <c r="Z618" s="60"/>
      <c r="AA618" s="60"/>
      <c r="AL618" s="60"/>
      <c r="AM618" s="60"/>
      <c r="AX618" s="60"/>
      <c r="AY618" s="60"/>
      <c r="BJ618" s="60"/>
      <c r="BK618" s="60"/>
    </row>
    <row r="619" spans="2:63" ht="13.2">
      <c r="B619" s="60"/>
      <c r="C619" s="60"/>
      <c r="N619" s="60"/>
      <c r="O619" s="60"/>
      <c r="Z619" s="60"/>
      <c r="AA619" s="60"/>
      <c r="AL619" s="60"/>
      <c r="AM619" s="60"/>
      <c r="AX619" s="60"/>
      <c r="AY619" s="60"/>
      <c r="BJ619" s="60"/>
      <c r="BK619" s="60"/>
    </row>
    <row r="620" spans="2:63" ht="13.2">
      <c r="B620" s="60"/>
      <c r="C620" s="60"/>
      <c r="N620" s="60"/>
      <c r="O620" s="60"/>
      <c r="Z620" s="60"/>
      <c r="AA620" s="60"/>
      <c r="AL620" s="60"/>
      <c r="AM620" s="60"/>
      <c r="AX620" s="60"/>
      <c r="AY620" s="60"/>
      <c r="BJ620" s="60"/>
      <c r="BK620" s="60"/>
    </row>
    <row r="621" spans="2:63" ht="13.2">
      <c r="B621" s="60"/>
      <c r="C621" s="60"/>
      <c r="N621" s="60"/>
      <c r="O621" s="60"/>
      <c r="Z621" s="60"/>
      <c r="AA621" s="60"/>
      <c r="AL621" s="60"/>
      <c r="AM621" s="60"/>
      <c r="AX621" s="60"/>
      <c r="AY621" s="60"/>
      <c r="BJ621" s="60"/>
      <c r="BK621" s="60"/>
    </row>
    <row r="622" spans="2:63" ht="13.2">
      <c r="B622" s="60"/>
      <c r="C622" s="60"/>
      <c r="N622" s="60"/>
      <c r="O622" s="60"/>
      <c r="Z622" s="60"/>
      <c r="AA622" s="60"/>
      <c r="AL622" s="60"/>
      <c r="AM622" s="60"/>
      <c r="AX622" s="60"/>
      <c r="AY622" s="60"/>
      <c r="BJ622" s="60"/>
      <c r="BK622" s="60"/>
    </row>
    <row r="623" spans="2:63" ht="13.2">
      <c r="B623" s="60"/>
      <c r="C623" s="60"/>
      <c r="N623" s="60"/>
      <c r="O623" s="60"/>
      <c r="Z623" s="60"/>
      <c r="AA623" s="60"/>
      <c r="AL623" s="60"/>
      <c r="AM623" s="60"/>
      <c r="AX623" s="60"/>
      <c r="AY623" s="60"/>
      <c r="BJ623" s="60"/>
      <c r="BK623" s="60"/>
    </row>
    <row r="624" spans="2:63" ht="13.2">
      <c r="B624" s="60"/>
      <c r="C624" s="60"/>
      <c r="N624" s="60"/>
      <c r="O624" s="60"/>
      <c r="Z624" s="60"/>
      <c r="AA624" s="60"/>
      <c r="AL624" s="60"/>
      <c r="AM624" s="60"/>
      <c r="AX624" s="60"/>
      <c r="AY624" s="60"/>
      <c r="BJ624" s="60"/>
      <c r="BK624" s="60"/>
    </row>
    <row r="625" spans="2:63" ht="13.2">
      <c r="B625" s="60"/>
      <c r="C625" s="60"/>
      <c r="N625" s="60"/>
      <c r="O625" s="60"/>
      <c r="Z625" s="60"/>
      <c r="AA625" s="60"/>
      <c r="AL625" s="60"/>
      <c r="AM625" s="60"/>
      <c r="AX625" s="60"/>
      <c r="AY625" s="60"/>
      <c r="BJ625" s="60"/>
      <c r="BK625" s="60"/>
    </row>
    <row r="626" spans="2:63" ht="13.2">
      <c r="B626" s="60"/>
      <c r="C626" s="60"/>
      <c r="N626" s="60"/>
      <c r="O626" s="60"/>
      <c r="Z626" s="60"/>
      <c r="AA626" s="60"/>
      <c r="AL626" s="60"/>
      <c r="AM626" s="60"/>
      <c r="AX626" s="60"/>
      <c r="AY626" s="60"/>
      <c r="BJ626" s="60"/>
      <c r="BK626" s="60"/>
    </row>
    <row r="627" spans="2:63" ht="13.2">
      <c r="B627" s="60"/>
      <c r="C627" s="60"/>
      <c r="N627" s="60"/>
      <c r="O627" s="60"/>
      <c r="Z627" s="60"/>
      <c r="AA627" s="60"/>
      <c r="AL627" s="60"/>
      <c r="AM627" s="60"/>
      <c r="AX627" s="60"/>
      <c r="AY627" s="60"/>
      <c r="BJ627" s="60"/>
      <c r="BK627" s="60"/>
    </row>
    <row r="628" spans="2:63" ht="13.2">
      <c r="B628" s="60"/>
      <c r="C628" s="60"/>
      <c r="N628" s="60"/>
      <c r="O628" s="60"/>
      <c r="Z628" s="60"/>
      <c r="AA628" s="60"/>
      <c r="AL628" s="60"/>
      <c r="AM628" s="60"/>
      <c r="AX628" s="60"/>
      <c r="AY628" s="60"/>
      <c r="BJ628" s="60"/>
      <c r="BK628" s="60"/>
    </row>
    <row r="629" spans="2:63" ht="13.2">
      <c r="B629" s="60"/>
      <c r="C629" s="60"/>
      <c r="N629" s="60"/>
      <c r="O629" s="60"/>
      <c r="Z629" s="60"/>
      <c r="AA629" s="60"/>
      <c r="AL629" s="60"/>
      <c r="AM629" s="60"/>
      <c r="AX629" s="60"/>
      <c r="AY629" s="60"/>
      <c r="BJ629" s="60"/>
      <c r="BK629" s="60"/>
    </row>
    <row r="630" spans="2:63" ht="13.2">
      <c r="B630" s="60"/>
      <c r="C630" s="60"/>
      <c r="N630" s="60"/>
      <c r="O630" s="60"/>
      <c r="Z630" s="60"/>
      <c r="AA630" s="60"/>
      <c r="AL630" s="60"/>
      <c r="AM630" s="60"/>
      <c r="AX630" s="60"/>
      <c r="AY630" s="60"/>
      <c r="BJ630" s="60"/>
      <c r="BK630" s="60"/>
    </row>
    <row r="631" spans="2:63" ht="13.2">
      <c r="B631" s="60"/>
      <c r="C631" s="60"/>
      <c r="N631" s="60"/>
      <c r="O631" s="60"/>
      <c r="Z631" s="60"/>
      <c r="AA631" s="60"/>
      <c r="AL631" s="60"/>
      <c r="AM631" s="60"/>
      <c r="AX631" s="60"/>
      <c r="AY631" s="60"/>
      <c r="BJ631" s="60"/>
      <c r="BK631" s="60"/>
    </row>
    <row r="632" spans="2:63" ht="13.2">
      <c r="B632" s="60"/>
      <c r="C632" s="60"/>
      <c r="N632" s="60"/>
      <c r="O632" s="60"/>
      <c r="Z632" s="60"/>
      <c r="AA632" s="60"/>
      <c r="AL632" s="60"/>
      <c r="AM632" s="60"/>
      <c r="AX632" s="60"/>
      <c r="AY632" s="60"/>
      <c r="BJ632" s="60"/>
      <c r="BK632" s="60"/>
    </row>
    <row r="633" spans="2:63" ht="13.2">
      <c r="B633" s="60"/>
      <c r="C633" s="60"/>
      <c r="N633" s="60"/>
      <c r="O633" s="60"/>
      <c r="Z633" s="60"/>
      <c r="AA633" s="60"/>
      <c r="AL633" s="60"/>
      <c r="AM633" s="60"/>
      <c r="AX633" s="60"/>
      <c r="AY633" s="60"/>
      <c r="BJ633" s="60"/>
      <c r="BK633" s="60"/>
    </row>
    <row r="634" spans="2:63" ht="13.2">
      <c r="B634" s="60"/>
      <c r="C634" s="60"/>
      <c r="N634" s="60"/>
      <c r="O634" s="60"/>
      <c r="Z634" s="60"/>
      <c r="AA634" s="60"/>
      <c r="AL634" s="60"/>
      <c r="AM634" s="60"/>
      <c r="AX634" s="60"/>
      <c r="AY634" s="60"/>
      <c r="BJ634" s="60"/>
      <c r="BK634" s="60"/>
    </row>
    <row r="635" spans="2:63" ht="13.2">
      <c r="B635" s="60"/>
      <c r="C635" s="60"/>
      <c r="N635" s="60"/>
      <c r="O635" s="60"/>
      <c r="Z635" s="60"/>
      <c r="AA635" s="60"/>
      <c r="AL635" s="60"/>
      <c r="AM635" s="60"/>
      <c r="AX635" s="60"/>
      <c r="AY635" s="60"/>
      <c r="BJ635" s="60"/>
      <c r="BK635" s="60"/>
    </row>
    <row r="636" spans="2:63" ht="13.2">
      <c r="B636" s="60"/>
      <c r="C636" s="60"/>
      <c r="N636" s="60"/>
      <c r="O636" s="60"/>
      <c r="Z636" s="60"/>
      <c r="AA636" s="60"/>
      <c r="AL636" s="60"/>
      <c r="AM636" s="60"/>
      <c r="AX636" s="60"/>
      <c r="AY636" s="60"/>
      <c r="BJ636" s="60"/>
      <c r="BK636" s="60"/>
    </row>
    <row r="637" spans="2:63" ht="13.2">
      <c r="B637" s="60"/>
      <c r="C637" s="60"/>
      <c r="N637" s="60"/>
      <c r="O637" s="60"/>
      <c r="Z637" s="60"/>
      <c r="AA637" s="60"/>
      <c r="AL637" s="60"/>
      <c r="AM637" s="60"/>
      <c r="AX637" s="60"/>
      <c r="AY637" s="60"/>
      <c r="BJ637" s="60"/>
      <c r="BK637" s="60"/>
    </row>
    <row r="638" spans="2:63" ht="13.2">
      <c r="B638" s="60"/>
      <c r="C638" s="60"/>
      <c r="N638" s="60"/>
      <c r="O638" s="60"/>
      <c r="Z638" s="60"/>
      <c r="AA638" s="60"/>
      <c r="AL638" s="60"/>
      <c r="AM638" s="60"/>
      <c r="AX638" s="60"/>
      <c r="AY638" s="60"/>
      <c r="BJ638" s="60"/>
      <c r="BK638" s="60"/>
    </row>
    <row r="639" spans="2:63" ht="13.2">
      <c r="B639" s="60"/>
      <c r="C639" s="60"/>
      <c r="N639" s="60"/>
      <c r="O639" s="60"/>
      <c r="Z639" s="60"/>
      <c r="AA639" s="60"/>
      <c r="AL639" s="60"/>
      <c r="AM639" s="60"/>
      <c r="AX639" s="60"/>
      <c r="AY639" s="60"/>
      <c r="BJ639" s="60"/>
      <c r="BK639" s="60"/>
    </row>
    <row r="640" spans="2:63" ht="13.2">
      <c r="B640" s="60"/>
      <c r="C640" s="60"/>
      <c r="N640" s="60"/>
      <c r="O640" s="60"/>
      <c r="Z640" s="60"/>
      <c r="AA640" s="60"/>
      <c r="AL640" s="60"/>
      <c r="AM640" s="60"/>
      <c r="AX640" s="60"/>
      <c r="AY640" s="60"/>
      <c r="BJ640" s="60"/>
      <c r="BK640" s="60"/>
    </row>
    <row r="641" spans="2:63" ht="13.2">
      <c r="B641" s="60"/>
      <c r="C641" s="60"/>
      <c r="N641" s="60"/>
      <c r="O641" s="60"/>
      <c r="Z641" s="60"/>
      <c r="AA641" s="60"/>
      <c r="AL641" s="60"/>
      <c r="AM641" s="60"/>
      <c r="AX641" s="60"/>
      <c r="AY641" s="60"/>
      <c r="BJ641" s="60"/>
      <c r="BK641" s="60"/>
    </row>
    <row r="642" spans="2:63" ht="13.2">
      <c r="B642" s="60"/>
      <c r="C642" s="60"/>
      <c r="N642" s="60"/>
      <c r="O642" s="60"/>
      <c r="Z642" s="60"/>
      <c r="AA642" s="60"/>
      <c r="AL642" s="60"/>
      <c r="AM642" s="60"/>
      <c r="AX642" s="60"/>
      <c r="AY642" s="60"/>
      <c r="BJ642" s="60"/>
      <c r="BK642" s="60"/>
    </row>
    <row r="643" spans="2:63" ht="13.2">
      <c r="B643" s="60"/>
      <c r="C643" s="60"/>
      <c r="N643" s="60"/>
      <c r="O643" s="60"/>
      <c r="Z643" s="60"/>
      <c r="AA643" s="60"/>
      <c r="AL643" s="60"/>
      <c r="AM643" s="60"/>
      <c r="AX643" s="60"/>
      <c r="AY643" s="60"/>
      <c r="BJ643" s="60"/>
      <c r="BK643" s="60"/>
    </row>
    <row r="644" spans="2:63" ht="13.2">
      <c r="B644" s="60"/>
      <c r="C644" s="60"/>
      <c r="N644" s="60"/>
      <c r="O644" s="60"/>
      <c r="Z644" s="60"/>
      <c r="AA644" s="60"/>
      <c r="AL644" s="60"/>
      <c r="AM644" s="60"/>
      <c r="AX644" s="60"/>
      <c r="AY644" s="60"/>
      <c r="BJ644" s="60"/>
      <c r="BK644" s="60"/>
    </row>
    <row r="645" spans="2:63" ht="13.2">
      <c r="B645" s="60"/>
      <c r="C645" s="60"/>
      <c r="N645" s="60"/>
      <c r="O645" s="60"/>
      <c r="Z645" s="60"/>
      <c r="AA645" s="60"/>
      <c r="AL645" s="60"/>
      <c r="AM645" s="60"/>
      <c r="AX645" s="60"/>
      <c r="AY645" s="60"/>
      <c r="BJ645" s="60"/>
      <c r="BK645" s="60"/>
    </row>
    <row r="646" spans="2:63" ht="13.2">
      <c r="B646" s="60"/>
      <c r="C646" s="60"/>
      <c r="N646" s="60"/>
      <c r="O646" s="60"/>
      <c r="Z646" s="60"/>
      <c r="AA646" s="60"/>
      <c r="AL646" s="60"/>
      <c r="AM646" s="60"/>
      <c r="AX646" s="60"/>
      <c r="AY646" s="60"/>
      <c r="BJ646" s="60"/>
      <c r="BK646" s="60"/>
    </row>
    <row r="647" spans="2:63" ht="13.2">
      <c r="B647" s="60"/>
      <c r="C647" s="60"/>
      <c r="N647" s="60"/>
      <c r="O647" s="60"/>
      <c r="Z647" s="60"/>
      <c r="AA647" s="60"/>
      <c r="AL647" s="60"/>
      <c r="AM647" s="60"/>
      <c r="AX647" s="60"/>
      <c r="AY647" s="60"/>
      <c r="BJ647" s="60"/>
      <c r="BK647" s="60"/>
    </row>
    <row r="648" spans="2:63" ht="13.2">
      <c r="B648" s="60"/>
      <c r="C648" s="60"/>
      <c r="N648" s="60"/>
      <c r="O648" s="60"/>
      <c r="Z648" s="60"/>
      <c r="AA648" s="60"/>
      <c r="AL648" s="60"/>
      <c r="AM648" s="60"/>
      <c r="AX648" s="60"/>
      <c r="AY648" s="60"/>
      <c r="BJ648" s="60"/>
      <c r="BK648" s="60"/>
    </row>
    <row r="649" spans="2:63" ht="13.2">
      <c r="B649" s="60"/>
      <c r="C649" s="60"/>
      <c r="N649" s="60"/>
      <c r="O649" s="60"/>
      <c r="Z649" s="60"/>
      <c r="AA649" s="60"/>
      <c r="AL649" s="60"/>
      <c r="AM649" s="60"/>
      <c r="AX649" s="60"/>
      <c r="AY649" s="60"/>
      <c r="BJ649" s="60"/>
      <c r="BK649" s="60"/>
    </row>
    <row r="650" spans="2:63" ht="13.2">
      <c r="B650" s="60"/>
      <c r="C650" s="60"/>
      <c r="N650" s="60"/>
      <c r="O650" s="60"/>
      <c r="Z650" s="60"/>
      <c r="AA650" s="60"/>
      <c r="AL650" s="60"/>
      <c r="AM650" s="60"/>
      <c r="AX650" s="60"/>
      <c r="AY650" s="60"/>
      <c r="BJ650" s="60"/>
      <c r="BK650" s="60"/>
    </row>
    <row r="651" spans="2:63" ht="13.2">
      <c r="B651" s="60"/>
      <c r="C651" s="60"/>
      <c r="N651" s="60"/>
      <c r="O651" s="60"/>
      <c r="Z651" s="60"/>
      <c r="AA651" s="60"/>
      <c r="AL651" s="60"/>
      <c r="AM651" s="60"/>
      <c r="AX651" s="60"/>
      <c r="AY651" s="60"/>
      <c r="BJ651" s="60"/>
      <c r="BK651" s="60"/>
    </row>
    <row r="652" spans="2:63" ht="13.2">
      <c r="B652" s="60"/>
      <c r="C652" s="60"/>
      <c r="N652" s="60"/>
      <c r="O652" s="60"/>
      <c r="Z652" s="60"/>
      <c r="AA652" s="60"/>
      <c r="AL652" s="60"/>
      <c r="AM652" s="60"/>
      <c r="AX652" s="60"/>
      <c r="AY652" s="60"/>
      <c r="BJ652" s="60"/>
      <c r="BK652" s="60"/>
    </row>
    <row r="653" spans="2:63" ht="13.2">
      <c r="B653" s="60"/>
      <c r="C653" s="60"/>
      <c r="N653" s="60"/>
      <c r="O653" s="60"/>
      <c r="Z653" s="60"/>
      <c r="AA653" s="60"/>
      <c r="AL653" s="60"/>
      <c r="AM653" s="60"/>
      <c r="AX653" s="60"/>
      <c r="AY653" s="60"/>
      <c r="BJ653" s="60"/>
      <c r="BK653" s="60"/>
    </row>
    <row r="654" spans="2:63" ht="13.2">
      <c r="B654" s="60"/>
      <c r="C654" s="60"/>
      <c r="N654" s="60"/>
      <c r="O654" s="60"/>
      <c r="Z654" s="60"/>
      <c r="AA654" s="60"/>
      <c r="AL654" s="60"/>
      <c r="AM654" s="60"/>
      <c r="AX654" s="60"/>
      <c r="AY654" s="60"/>
      <c r="BJ654" s="60"/>
      <c r="BK654" s="60"/>
    </row>
    <row r="655" spans="2:63" ht="13.2">
      <c r="B655" s="60"/>
      <c r="C655" s="60"/>
      <c r="N655" s="60"/>
      <c r="O655" s="60"/>
      <c r="Z655" s="60"/>
      <c r="AA655" s="60"/>
      <c r="AL655" s="60"/>
      <c r="AM655" s="60"/>
      <c r="AX655" s="60"/>
      <c r="AY655" s="60"/>
      <c r="BJ655" s="60"/>
      <c r="BK655" s="60"/>
    </row>
    <row r="656" spans="2:63" ht="13.2">
      <c r="B656" s="60"/>
      <c r="C656" s="60"/>
      <c r="N656" s="60"/>
      <c r="O656" s="60"/>
      <c r="Z656" s="60"/>
      <c r="AA656" s="60"/>
      <c r="AL656" s="60"/>
      <c r="AM656" s="60"/>
      <c r="AX656" s="60"/>
      <c r="AY656" s="60"/>
      <c r="BJ656" s="60"/>
      <c r="BK656" s="60"/>
    </row>
    <row r="657" spans="2:63" ht="13.2">
      <c r="B657" s="60"/>
      <c r="C657" s="60"/>
      <c r="N657" s="60"/>
      <c r="O657" s="60"/>
      <c r="Z657" s="60"/>
      <c r="AA657" s="60"/>
      <c r="AL657" s="60"/>
      <c r="AM657" s="60"/>
      <c r="AX657" s="60"/>
      <c r="AY657" s="60"/>
      <c r="BJ657" s="60"/>
      <c r="BK657" s="60"/>
    </row>
    <row r="658" spans="2:63" ht="13.2">
      <c r="B658" s="60"/>
      <c r="C658" s="60"/>
      <c r="N658" s="60"/>
      <c r="O658" s="60"/>
      <c r="Z658" s="60"/>
      <c r="AA658" s="60"/>
      <c r="AL658" s="60"/>
      <c r="AM658" s="60"/>
      <c r="AX658" s="60"/>
      <c r="AY658" s="60"/>
      <c r="BJ658" s="60"/>
      <c r="BK658" s="60"/>
    </row>
    <row r="659" spans="2:63" ht="13.2">
      <c r="B659" s="60"/>
      <c r="C659" s="60"/>
      <c r="N659" s="60"/>
      <c r="O659" s="60"/>
      <c r="Z659" s="60"/>
      <c r="AA659" s="60"/>
      <c r="AL659" s="60"/>
      <c r="AM659" s="60"/>
      <c r="AX659" s="60"/>
      <c r="AY659" s="60"/>
      <c r="BJ659" s="60"/>
      <c r="BK659" s="60"/>
    </row>
    <row r="660" spans="2:63" ht="13.2">
      <c r="B660" s="60"/>
      <c r="C660" s="60"/>
      <c r="N660" s="60"/>
      <c r="O660" s="60"/>
      <c r="Z660" s="60"/>
      <c r="AA660" s="60"/>
      <c r="AL660" s="60"/>
      <c r="AM660" s="60"/>
      <c r="AX660" s="60"/>
      <c r="AY660" s="60"/>
      <c r="BJ660" s="60"/>
      <c r="BK660" s="60"/>
    </row>
    <row r="661" spans="2:63" ht="13.2">
      <c r="B661" s="60"/>
      <c r="C661" s="60"/>
      <c r="N661" s="60"/>
      <c r="O661" s="60"/>
      <c r="Z661" s="60"/>
      <c r="AA661" s="60"/>
      <c r="AL661" s="60"/>
      <c r="AM661" s="60"/>
      <c r="AX661" s="60"/>
      <c r="AY661" s="60"/>
      <c r="BJ661" s="60"/>
      <c r="BK661" s="60"/>
    </row>
    <row r="662" spans="2:63" ht="13.2">
      <c r="B662" s="60"/>
      <c r="C662" s="60"/>
      <c r="N662" s="60"/>
      <c r="O662" s="60"/>
      <c r="Z662" s="60"/>
      <c r="AA662" s="60"/>
      <c r="AL662" s="60"/>
      <c r="AM662" s="60"/>
      <c r="AX662" s="60"/>
      <c r="AY662" s="60"/>
      <c r="BJ662" s="60"/>
      <c r="BK662" s="60"/>
    </row>
    <row r="663" spans="2:63" ht="13.2">
      <c r="B663" s="60"/>
      <c r="C663" s="60"/>
      <c r="N663" s="60"/>
      <c r="O663" s="60"/>
      <c r="Z663" s="60"/>
      <c r="AA663" s="60"/>
      <c r="AL663" s="60"/>
      <c r="AM663" s="60"/>
      <c r="AX663" s="60"/>
      <c r="AY663" s="60"/>
      <c r="BJ663" s="60"/>
      <c r="BK663" s="60"/>
    </row>
    <row r="664" spans="2:63" ht="13.2">
      <c r="B664" s="60"/>
      <c r="C664" s="60"/>
      <c r="N664" s="60"/>
      <c r="O664" s="60"/>
      <c r="Z664" s="60"/>
      <c r="AA664" s="60"/>
      <c r="AL664" s="60"/>
      <c r="AM664" s="60"/>
      <c r="AX664" s="60"/>
      <c r="AY664" s="60"/>
      <c r="BJ664" s="60"/>
      <c r="BK664" s="60"/>
    </row>
    <row r="665" spans="2:63" ht="13.2">
      <c r="B665" s="60"/>
      <c r="C665" s="60"/>
      <c r="N665" s="60"/>
      <c r="O665" s="60"/>
      <c r="Z665" s="60"/>
      <c r="AA665" s="60"/>
      <c r="AL665" s="60"/>
      <c r="AM665" s="60"/>
      <c r="AX665" s="60"/>
      <c r="AY665" s="60"/>
      <c r="BJ665" s="60"/>
      <c r="BK665" s="60"/>
    </row>
    <row r="666" spans="2:63" ht="13.2">
      <c r="B666" s="60"/>
      <c r="C666" s="60"/>
      <c r="N666" s="60"/>
      <c r="O666" s="60"/>
      <c r="Z666" s="60"/>
      <c r="AA666" s="60"/>
      <c r="AL666" s="60"/>
      <c r="AM666" s="60"/>
      <c r="AX666" s="60"/>
      <c r="AY666" s="60"/>
      <c r="BJ666" s="60"/>
      <c r="BK666" s="60"/>
    </row>
    <row r="667" spans="2:63" ht="13.2">
      <c r="B667" s="60"/>
      <c r="C667" s="60"/>
      <c r="N667" s="60"/>
      <c r="O667" s="60"/>
      <c r="Z667" s="60"/>
      <c r="AA667" s="60"/>
      <c r="AL667" s="60"/>
      <c r="AM667" s="60"/>
      <c r="AX667" s="60"/>
      <c r="AY667" s="60"/>
      <c r="BJ667" s="60"/>
      <c r="BK667" s="60"/>
    </row>
    <row r="668" spans="2:63" ht="13.2">
      <c r="B668" s="60"/>
      <c r="C668" s="60"/>
      <c r="N668" s="60"/>
      <c r="O668" s="60"/>
      <c r="Z668" s="60"/>
      <c r="AA668" s="60"/>
      <c r="AL668" s="60"/>
      <c r="AM668" s="60"/>
      <c r="AX668" s="60"/>
      <c r="AY668" s="60"/>
      <c r="BJ668" s="60"/>
      <c r="BK668" s="60"/>
    </row>
    <row r="669" spans="2:63" ht="13.2">
      <c r="B669" s="60"/>
      <c r="C669" s="60"/>
      <c r="N669" s="60"/>
      <c r="O669" s="60"/>
      <c r="Z669" s="60"/>
      <c r="AA669" s="60"/>
      <c r="AL669" s="60"/>
      <c r="AM669" s="60"/>
      <c r="AX669" s="60"/>
      <c r="AY669" s="60"/>
      <c r="BJ669" s="60"/>
      <c r="BK669" s="60"/>
    </row>
    <row r="670" spans="2:63" ht="13.2">
      <c r="B670" s="60"/>
      <c r="C670" s="60"/>
      <c r="N670" s="60"/>
      <c r="O670" s="60"/>
      <c r="Z670" s="60"/>
      <c r="AA670" s="60"/>
      <c r="AL670" s="60"/>
      <c r="AM670" s="60"/>
      <c r="AX670" s="60"/>
      <c r="AY670" s="60"/>
      <c r="BJ670" s="60"/>
      <c r="BK670" s="60"/>
    </row>
    <row r="671" spans="2:63" ht="13.2">
      <c r="B671" s="60"/>
      <c r="C671" s="60"/>
      <c r="N671" s="60"/>
      <c r="O671" s="60"/>
      <c r="Z671" s="60"/>
      <c r="AA671" s="60"/>
      <c r="AL671" s="60"/>
      <c r="AM671" s="60"/>
      <c r="AX671" s="60"/>
      <c r="AY671" s="60"/>
      <c r="BJ671" s="60"/>
      <c r="BK671" s="60"/>
    </row>
    <row r="672" spans="2:63" ht="13.2">
      <c r="B672" s="60"/>
      <c r="C672" s="60"/>
      <c r="N672" s="60"/>
      <c r="O672" s="60"/>
      <c r="Z672" s="60"/>
      <c r="AA672" s="60"/>
      <c r="AL672" s="60"/>
      <c r="AM672" s="60"/>
      <c r="AX672" s="60"/>
      <c r="AY672" s="60"/>
      <c r="BJ672" s="60"/>
      <c r="BK672" s="60"/>
    </row>
    <row r="673" spans="2:63" ht="13.2">
      <c r="B673" s="60"/>
      <c r="C673" s="60"/>
      <c r="N673" s="60"/>
      <c r="O673" s="60"/>
      <c r="Z673" s="60"/>
      <c r="AA673" s="60"/>
      <c r="AL673" s="60"/>
      <c r="AM673" s="60"/>
      <c r="AX673" s="60"/>
      <c r="AY673" s="60"/>
      <c r="BJ673" s="60"/>
      <c r="BK673" s="60"/>
    </row>
    <row r="674" spans="2:63" ht="13.2">
      <c r="B674" s="60"/>
      <c r="C674" s="60"/>
      <c r="N674" s="60"/>
      <c r="O674" s="60"/>
      <c r="Z674" s="60"/>
      <c r="AA674" s="60"/>
      <c r="AL674" s="60"/>
      <c r="AM674" s="60"/>
      <c r="AX674" s="60"/>
      <c r="AY674" s="60"/>
      <c r="BJ674" s="60"/>
      <c r="BK674" s="60"/>
    </row>
    <row r="675" spans="2:63" ht="13.2">
      <c r="B675" s="60"/>
      <c r="C675" s="60"/>
      <c r="N675" s="60"/>
      <c r="O675" s="60"/>
      <c r="Z675" s="60"/>
      <c r="AA675" s="60"/>
      <c r="AL675" s="60"/>
      <c r="AM675" s="60"/>
      <c r="AX675" s="60"/>
      <c r="AY675" s="60"/>
      <c r="BJ675" s="60"/>
      <c r="BK675" s="60"/>
    </row>
    <row r="676" spans="2:63" ht="13.2">
      <c r="B676" s="60"/>
      <c r="C676" s="60"/>
      <c r="N676" s="60"/>
      <c r="O676" s="60"/>
      <c r="Z676" s="60"/>
      <c r="AA676" s="60"/>
      <c r="AL676" s="60"/>
      <c r="AM676" s="60"/>
      <c r="AX676" s="60"/>
      <c r="AY676" s="60"/>
      <c r="BJ676" s="60"/>
      <c r="BK676" s="60"/>
    </row>
    <row r="677" spans="2:63" ht="13.2">
      <c r="B677" s="60"/>
      <c r="C677" s="60"/>
      <c r="N677" s="60"/>
      <c r="O677" s="60"/>
      <c r="Z677" s="60"/>
      <c r="AA677" s="60"/>
      <c r="AL677" s="60"/>
      <c r="AM677" s="60"/>
      <c r="AX677" s="60"/>
      <c r="AY677" s="60"/>
      <c r="BJ677" s="60"/>
      <c r="BK677" s="60"/>
    </row>
    <row r="678" spans="2:63" ht="13.2">
      <c r="B678" s="60"/>
      <c r="C678" s="60"/>
      <c r="N678" s="60"/>
      <c r="O678" s="60"/>
      <c r="Z678" s="60"/>
      <c r="AA678" s="60"/>
      <c r="AL678" s="60"/>
      <c r="AM678" s="60"/>
      <c r="AX678" s="60"/>
      <c r="AY678" s="60"/>
      <c r="BJ678" s="60"/>
      <c r="BK678" s="60"/>
    </row>
    <row r="679" spans="2:63" ht="13.2">
      <c r="B679" s="60"/>
      <c r="C679" s="60"/>
      <c r="N679" s="60"/>
      <c r="O679" s="60"/>
      <c r="Z679" s="60"/>
      <c r="AA679" s="60"/>
      <c r="AL679" s="60"/>
      <c r="AM679" s="60"/>
      <c r="AX679" s="60"/>
      <c r="AY679" s="60"/>
      <c r="BJ679" s="60"/>
      <c r="BK679" s="60"/>
    </row>
    <row r="680" spans="2:63" ht="13.2">
      <c r="B680" s="60"/>
      <c r="C680" s="60"/>
      <c r="N680" s="60"/>
      <c r="O680" s="60"/>
      <c r="Z680" s="60"/>
      <c r="AA680" s="60"/>
      <c r="AL680" s="60"/>
      <c r="AM680" s="60"/>
      <c r="AX680" s="60"/>
      <c r="AY680" s="60"/>
      <c r="BJ680" s="60"/>
      <c r="BK680" s="60"/>
    </row>
    <row r="681" spans="2:63" ht="13.2">
      <c r="B681" s="60"/>
      <c r="C681" s="60"/>
      <c r="N681" s="60"/>
      <c r="O681" s="60"/>
      <c r="Z681" s="60"/>
      <c r="AA681" s="60"/>
      <c r="AL681" s="60"/>
      <c r="AM681" s="60"/>
      <c r="AX681" s="60"/>
      <c r="AY681" s="60"/>
      <c r="BJ681" s="60"/>
      <c r="BK681" s="60"/>
    </row>
    <row r="682" spans="2:63" ht="13.2">
      <c r="B682" s="60"/>
      <c r="C682" s="60"/>
      <c r="N682" s="60"/>
      <c r="O682" s="60"/>
      <c r="Z682" s="60"/>
      <c r="AA682" s="60"/>
      <c r="AL682" s="60"/>
      <c r="AM682" s="60"/>
      <c r="AX682" s="60"/>
      <c r="AY682" s="60"/>
      <c r="BJ682" s="60"/>
      <c r="BK682" s="60"/>
    </row>
    <row r="683" spans="2:63" ht="13.2">
      <c r="B683" s="60"/>
      <c r="C683" s="60"/>
      <c r="N683" s="60"/>
      <c r="O683" s="60"/>
      <c r="Z683" s="60"/>
      <c r="AA683" s="60"/>
      <c r="AL683" s="60"/>
      <c r="AM683" s="60"/>
      <c r="AX683" s="60"/>
      <c r="AY683" s="60"/>
      <c r="BJ683" s="60"/>
      <c r="BK683" s="60"/>
    </row>
    <row r="684" spans="2:63" ht="13.2">
      <c r="B684" s="60"/>
      <c r="C684" s="60"/>
      <c r="N684" s="60"/>
      <c r="O684" s="60"/>
      <c r="Z684" s="60"/>
      <c r="AA684" s="60"/>
      <c r="AL684" s="60"/>
      <c r="AM684" s="60"/>
      <c r="AX684" s="60"/>
      <c r="AY684" s="60"/>
      <c r="BJ684" s="60"/>
      <c r="BK684" s="60"/>
    </row>
    <row r="685" spans="2:63" ht="13.2">
      <c r="B685" s="60"/>
      <c r="C685" s="60"/>
      <c r="N685" s="60"/>
      <c r="O685" s="60"/>
      <c r="Z685" s="60"/>
      <c r="AA685" s="60"/>
      <c r="AL685" s="60"/>
      <c r="AM685" s="60"/>
      <c r="AX685" s="60"/>
      <c r="AY685" s="60"/>
      <c r="BJ685" s="60"/>
      <c r="BK685" s="60"/>
    </row>
    <row r="686" spans="2:63" ht="13.2">
      <c r="B686" s="60"/>
      <c r="C686" s="60"/>
      <c r="N686" s="60"/>
      <c r="O686" s="60"/>
      <c r="Z686" s="60"/>
      <c r="AA686" s="60"/>
      <c r="AL686" s="60"/>
      <c r="AM686" s="60"/>
      <c r="AX686" s="60"/>
      <c r="AY686" s="60"/>
      <c r="BJ686" s="60"/>
      <c r="BK686" s="60"/>
    </row>
    <row r="687" spans="2:63" ht="13.2">
      <c r="B687" s="60"/>
      <c r="C687" s="60"/>
      <c r="N687" s="60"/>
      <c r="O687" s="60"/>
      <c r="Z687" s="60"/>
      <c r="AA687" s="60"/>
      <c r="AL687" s="60"/>
      <c r="AM687" s="60"/>
      <c r="AX687" s="60"/>
      <c r="AY687" s="60"/>
      <c r="BJ687" s="60"/>
      <c r="BK687" s="60"/>
    </row>
    <row r="688" spans="2:63" ht="13.2">
      <c r="B688" s="60"/>
      <c r="C688" s="60"/>
      <c r="N688" s="60"/>
      <c r="O688" s="60"/>
      <c r="Z688" s="60"/>
      <c r="AA688" s="60"/>
      <c r="AL688" s="60"/>
      <c r="AM688" s="60"/>
      <c r="AX688" s="60"/>
      <c r="AY688" s="60"/>
      <c r="BJ688" s="60"/>
      <c r="BK688" s="60"/>
    </row>
    <row r="689" spans="2:63" ht="13.2">
      <c r="B689" s="60"/>
      <c r="C689" s="60"/>
      <c r="N689" s="60"/>
      <c r="O689" s="60"/>
      <c r="Z689" s="60"/>
      <c r="AA689" s="60"/>
      <c r="AL689" s="60"/>
      <c r="AM689" s="60"/>
      <c r="AX689" s="60"/>
      <c r="AY689" s="60"/>
      <c r="BJ689" s="60"/>
      <c r="BK689" s="60"/>
    </row>
    <row r="690" spans="2:63" ht="13.2">
      <c r="B690" s="60"/>
      <c r="C690" s="60"/>
      <c r="N690" s="60"/>
      <c r="O690" s="60"/>
      <c r="Z690" s="60"/>
      <c r="AA690" s="60"/>
      <c r="AL690" s="60"/>
      <c r="AM690" s="60"/>
      <c r="AX690" s="60"/>
      <c r="AY690" s="60"/>
      <c r="BJ690" s="60"/>
      <c r="BK690" s="60"/>
    </row>
    <row r="691" spans="2:63" ht="13.2">
      <c r="B691" s="60"/>
      <c r="C691" s="60"/>
      <c r="N691" s="60"/>
      <c r="O691" s="60"/>
      <c r="Z691" s="60"/>
      <c r="AA691" s="60"/>
      <c r="AL691" s="60"/>
      <c r="AM691" s="60"/>
      <c r="AX691" s="60"/>
      <c r="AY691" s="60"/>
      <c r="BJ691" s="60"/>
      <c r="BK691" s="60"/>
    </row>
    <row r="692" spans="2:63" ht="13.2">
      <c r="B692" s="60"/>
      <c r="C692" s="60"/>
      <c r="N692" s="60"/>
      <c r="O692" s="60"/>
      <c r="Z692" s="60"/>
      <c r="AA692" s="60"/>
      <c r="AL692" s="60"/>
      <c r="AM692" s="60"/>
      <c r="AX692" s="60"/>
      <c r="AY692" s="60"/>
      <c r="BJ692" s="60"/>
      <c r="BK692" s="60"/>
    </row>
    <row r="693" spans="2:63" ht="13.2">
      <c r="B693" s="60"/>
      <c r="C693" s="60"/>
      <c r="N693" s="60"/>
      <c r="O693" s="60"/>
      <c r="Z693" s="60"/>
      <c r="AA693" s="60"/>
      <c r="AL693" s="60"/>
      <c r="AM693" s="60"/>
      <c r="AX693" s="60"/>
      <c r="AY693" s="60"/>
      <c r="BJ693" s="60"/>
      <c r="BK693" s="60"/>
    </row>
    <row r="694" spans="2:63" ht="13.2">
      <c r="B694" s="60"/>
      <c r="C694" s="60"/>
      <c r="N694" s="60"/>
      <c r="O694" s="60"/>
      <c r="Z694" s="60"/>
      <c r="AA694" s="60"/>
      <c r="AL694" s="60"/>
      <c r="AM694" s="60"/>
      <c r="AX694" s="60"/>
      <c r="AY694" s="60"/>
      <c r="BJ694" s="60"/>
      <c r="BK694" s="60"/>
    </row>
    <row r="695" spans="2:63" ht="13.2">
      <c r="B695" s="60"/>
      <c r="C695" s="60"/>
      <c r="N695" s="60"/>
      <c r="O695" s="60"/>
      <c r="Z695" s="60"/>
      <c r="AA695" s="60"/>
      <c r="AL695" s="60"/>
      <c r="AM695" s="60"/>
      <c r="AX695" s="60"/>
      <c r="AY695" s="60"/>
      <c r="BJ695" s="60"/>
      <c r="BK695" s="60"/>
    </row>
    <row r="696" spans="2:63" ht="13.2">
      <c r="B696" s="60"/>
      <c r="C696" s="60"/>
      <c r="N696" s="60"/>
      <c r="O696" s="60"/>
      <c r="Z696" s="60"/>
      <c r="AA696" s="60"/>
      <c r="AL696" s="60"/>
      <c r="AM696" s="60"/>
      <c r="AX696" s="60"/>
      <c r="AY696" s="60"/>
      <c r="BJ696" s="60"/>
      <c r="BK696" s="60"/>
    </row>
    <row r="697" spans="2:63" ht="13.2">
      <c r="B697" s="60"/>
      <c r="C697" s="60"/>
      <c r="N697" s="60"/>
      <c r="O697" s="60"/>
      <c r="Z697" s="60"/>
      <c r="AA697" s="60"/>
      <c r="AL697" s="60"/>
      <c r="AM697" s="60"/>
      <c r="AX697" s="60"/>
      <c r="AY697" s="60"/>
      <c r="BJ697" s="60"/>
      <c r="BK697" s="60"/>
    </row>
    <row r="698" spans="2:63" ht="13.2">
      <c r="B698" s="60"/>
      <c r="C698" s="60"/>
      <c r="N698" s="60"/>
      <c r="O698" s="60"/>
      <c r="Z698" s="60"/>
      <c r="AA698" s="60"/>
      <c r="AL698" s="60"/>
      <c r="AM698" s="60"/>
      <c r="AX698" s="60"/>
      <c r="AY698" s="60"/>
      <c r="BJ698" s="60"/>
      <c r="BK698" s="60"/>
    </row>
    <row r="699" spans="2:63" ht="13.2">
      <c r="B699" s="60"/>
      <c r="C699" s="60"/>
      <c r="N699" s="60"/>
      <c r="O699" s="60"/>
      <c r="Z699" s="60"/>
      <c r="AA699" s="60"/>
      <c r="AL699" s="60"/>
      <c r="AM699" s="60"/>
      <c r="AX699" s="60"/>
      <c r="AY699" s="60"/>
      <c r="BJ699" s="60"/>
      <c r="BK699" s="60"/>
    </row>
    <row r="700" spans="2:63" ht="13.2">
      <c r="B700" s="60"/>
      <c r="C700" s="60"/>
      <c r="N700" s="60"/>
      <c r="O700" s="60"/>
      <c r="Z700" s="60"/>
      <c r="AA700" s="60"/>
      <c r="AL700" s="60"/>
      <c r="AM700" s="60"/>
      <c r="AX700" s="60"/>
      <c r="AY700" s="60"/>
      <c r="BJ700" s="60"/>
      <c r="BK700" s="60"/>
    </row>
    <row r="701" spans="2:63" ht="13.2">
      <c r="B701" s="60"/>
      <c r="C701" s="60"/>
      <c r="N701" s="60"/>
      <c r="O701" s="60"/>
      <c r="Z701" s="60"/>
      <c r="AA701" s="60"/>
      <c r="AL701" s="60"/>
      <c r="AM701" s="60"/>
      <c r="AX701" s="60"/>
      <c r="AY701" s="60"/>
      <c r="BJ701" s="60"/>
      <c r="BK701" s="60"/>
    </row>
    <row r="702" spans="2:63" ht="13.2">
      <c r="B702" s="60"/>
      <c r="C702" s="60"/>
      <c r="N702" s="60"/>
      <c r="O702" s="60"/>
      <c r="Z702" s="60"/>
      <c r="AA702" s="60"/>
      <c r="AL702" s="60"/>
      <c r="AM702" s="60"/>
      <c r="AX702" s="60"/>
      <c r="AY702" s="60"/>
      <c r="BJ702" s="60"/>
      <c r="BK702" s="60"/>
    </row>
    <row r="703" spans="2:63" ht="13.2">
      <c r="B703" s="60"/>
      <c r="C703" s="60"/>
      <c r="N703" s="60"/>
      <c r="O703" s="60"/>
      <c r="Z703" s="60"/>
      <c r="AA703" s="60"/>
      <c r="AL703" s="60"/>
      <c r="AM703" s="60"/>
      <c r="AX703" s="60"/>
      <c r="AY703" s="60"/>
      <c r="BJ703" s="60"/>
      <c r="BK703" s="60"/>
    </row>
    <row r="704" spans="2:63" ht="13.2">
      <c r="B704" s="60"/>
      <c r="C704" s="60"/>
      <c r="N704" s="60"/>
      <c r="O704" s="60"/>
      <c r="Z704" s="60"/>
      <c r="AA704" s="60"/>
      <c r="AL704" s="60"/>
      <c r="AM704" s="60"/>
      <c r="AX704" s="60"/>
      <c r="AY704" s="60"/>
      <c r="BJ704" s="60"/>
      <c r="BK704" s="60"/>
    </row>
    <row r="705" spans="2:63" ht="13.2">
      <c r="B705" s="60"/>
      <c r="C705" s="60"/>
      <c r="N705" s="60"/>
      <c r="O705" s="60"/>
      <c r="Z705" s="60"/>
      <c r="AA705" s="60"/>
      <c r="AL705" s="60"/>
      <c r="AM705" s="60"/>
      <c r="AX705" s="60"/>
      <c r="AY705" s="60"/>
      <c r="BJ705" s="60"/>
      <c r="BK705" s="60"/>
    </row>
    <row r="706" spans="2:63" ht="13.2">
      <c r="B706" s="60"/>
      <c r="C706" s="60"/>
      <c r="N706" s="60"/>
      <c r="O706" s="60"/>
      <c r="Z706" s="60"/>
      <c r="AA706" s="60"/>
      <c r="AL706" s="60"/>
      <c r="AM706" s="60"/>
      <c r="AX706" s="60"/>
      <c r="AY706" s="60"/>
      <c r="BJ706" s="60"/>
      <c r="BK706" s="60"/>
    </row>
    <row r="707" spans="2:63" ht="13.2">
      <c r="B707" s="60"/>
      <c r="C707" s="60"/>
      <c r="N707" s="60"/>
      <c r="O707" s="60"/>
      <c r="Z707" s="60"/>
      <c r="AA707" s="60"/>
      <c r="AL707" s="60"/>
      <c r="AM707" s="60"/>
      <c r="AX707" s="60"/>
      <c r="AY707" s="60"/>
      <c r="BJ707" s="60"/>
      <c r="BK707" s="60"/>
    </row>
    <row r="708" spans="2:63" ht="13.2">
      <c r="B708" s="60"/>
      <c r="C708" s="60"/>
      <c r="N708" s="60"/>
      <c r="O708" s="60"/>
      <c r="Z708" s="60"/>
      <c r="AA708" s="60"/>
      <c r="AL708" s="60"/>
      <c r="AM708" s="60"/>
      <c r="AX708" s="60"/>
      <c r="AY708" s="60"/>
      <c r="BJ708" s="60"/>
      <c r="BK708" s="60"/>
    </row>
    <row r="709" spans="2:63" ht="13.2">
      <c r="B709" s="60"/>
      <c r="C709" s="60"/>
      <c r="N709" s="60"/>
      <c r="O709" s="60"/>
      <c r="Z709" s="60"/>
      <c r="AA709" s="60"/>
      <c r="AL709" s="60"/>
      <c r="AM709" s="60"/>
      <c r="AX709" s="60"/>
      <c r="AY709" s="60"/>
      <c r="BJ709" s="60"/>
      <c r="BK709" s="60"/>
    </row>
    <row r="710" spans="2:63" ht="13.2">
      <c r="B710" s="60"/>
      <c r="C710" s="60"/>
      <c r="N710" s="60"/>
      <c r="O710" s="60"/>
      <c r="Z710" s="60"/>
      <c r="AA710" s="60"/>
      <c r="AL710" s="60"/>
      <c r="AM710" s="60"/>
      <c r="AX710" s="60"/>
      <c r="AY710" s="60"/>
      <c r="BJ710" s="60"/>
      <c r="BK710" s="60"/>
    </row>
    <row r="711" spans="2:63" ht="13.2">
      <c r="B711" s="60"/>
      <c r="C711" s="60"/>
      <c r="N711" s="60"/>
      <c r="O711" s="60"/>
      <c r="Z711" s="60"/>
      <c r="AA711" s="60"/>
      <c r="AL711" s="60"/>
      <c r="AM711" s="60"/>
      <c r="AX711" s="60"/>
      <c r="AY711" s="60"/>
      <c r="BJ711" s="60"/>
      <c r="BK711" s="60"/>
    </row>
    <row r="712" spans="2:63" ht="13.2">
      <c r="B712" s="60"/>
      <c r="C712" s="60"/>
      <c r="N712" s="60"/>
      <c r="O712" s="60"/>
      <c r="Z712" s="60"/>
      <c r="AA712" s="60"/>
      <c r="AL712" s="60"/>
      <c r="AM712" s="60"/>
      <c r="AX712" s="60"/>
      <c r="AY712" s="60"/>
      <c r="BJ712" s="60"/>
      <c r="BK712" s="60"/>
    </row>
    <row r="713" spans="2:63" ht="13.2">
      <c r="B713" s="60"/>
      <c r="C713" s="60"/>
      <c r="N713" s="60"/>
      <c r="O713" s="60"/>
      <c r="Z713" s="60"/>
      <c r="AA713" s="60"/>
      <c r="AL713" s="60"/>
      <c r="AM713" s="60"/>
      <c r="AX713" s="60"/>
      <c r="AY713" s="60"/>
      <c r="BJ713" s="60"/>
      <c r="BK713" s="60"/>
    </row>
    <row r="714" spans="2:63" ht="13.2">
      <c r="B714" s="60"/>
      <c r="C714" s="60"/>
      <c r="N714" s="60"/>
      <c r="O714" s="60"/>
      <c r="Z714" s="60"/>
      <c r="AA714" s="60"/>
      <c r="AL714" s="60"/>
      <c r="AM714" s="60"/>
      <c r="AX714" s="60"/>
      <c r="AY714" s="60"/>
      <c r="BJ714" s="60"/>
      <c r="BK714" s="60"/>
    </row>
    <row r="715" spans="2:63" ht="13.2">
      <c r="B715" s="60"/>
      <c r="C715" s="60"/>
      <c r="N715" s="60"/>
      <c r="O715" s="60"/>
      <c r="Z715" s="60"/>
      <c r="AA715" s="60"/>
      <c r="AL715" s="60"/>
      <c r="AM715" s="60"/>
      <c r="AX715" s="60"/>
      <c r="AY715" s="60"/>
      <c r="BJ715" s="60"/>
      <c r="BK715" s="60"/>
    </row>
    <row r="716" spans="2:63" ht="13.2">
      <c r="B716" s="60"/>
      <c r="C716" s="60"/>
      <c r="N716" s="60"/>
      <c r="O716" s="60"/>
      <c r="Z716" s="60"/>
      <c r="AA716" s="60"/>
      <c r="AL716" s="60"/>
      <c r="AM716" s="60"/>
      <c r="AX716" s="60"/>
      <c r="AY716" s="60"/>
      <c r="BJ716" s="60"/>
      <c r="BK716" s="60"/>
    </row>
    <row r="717" spans="2:63" ht="13.2">
      <c r="B717" s="60"/>
      <c r="C717" s="60"/>
      <c r="N717" s="60"/>
      <c r="O717" s="60"/>
      <c r="Z717" s="60"/>
      <c r="AA717" s="60"/>
      <c r="AL717" s="60"/>
      <c r="AM717" s="60"/>
      <c r="AX717" s="60"/>
      <c r="AY717" s="60"/>
      <c r="BJ717" s="60"/>
      <c r="BK717" s="60"/>
    </row>
    <row r="718" spans="2:63" ht="13.2">
      <c r="B718" s="60"/>
      <c r="C718" s="60"/>
      <c r="N718" s="60"/>
      <c r="O718" s="60"/>
      <c r="Z718" s="60"/>
      <c r="AA718" s="60"/>
      <c r="AL718" s="60"/>
      <c r="AM718" s="60"/>
      <c r="AX718" s="60"/>
      <c r="AY718" s="60"/>
      <c r="BJ718" s="60"/>
      <c r="BK718" s="60"/>
    </row>
    <row r="719" spans="2:63" ht="13.2">
      <c r="B719" s="60"/>
      <c r="C719" s="60"/>
      <c r="N719" s="60"/>
      <c r="O719" s="60"/>
      <c r="Z719" s="60"/>
      <c r="AA719" s="60"/>
      <c r="AL719" s="60"/>
      <c r="AM719" s="60"/>
      <c r="AX719" s="60"/>
      <c r="AY719" s="60"/>
      <c r="BJ719" s="60"/>
      <c r="BK719" s="60"/>
    </row>
    <row r="720" spans="2:63" ht="13.2">
      <c r="B720" s="60"/>
      <c r="C720" s="60"/>
      <c r="N720" s="60"/>
      <c r="O720" s="60"/>
      <c r="Z720" s="60"/>
      <c r="AA720" s="60"/>
      <c r="AL720" s="60"/>
      <c r="AM720" s="60"/>
      <c r="AX720" s="60"/>
      <c r="AY720" s="60"/>
      <c r="BJ720" s="60"/>
      <c r="BK720" s="60"/>
    </row>
    <row r="721" spans="2:63" ht="13.2">
      <c r="B721" s="60"/>
      <c r="C721" s="60"/>
      <c r="N721" s="60"/>
      <c r="O721" s="60"/>
      <c r="Z721" s="60"/>
      <c r="AA721" s="60"/>
      <c r="AL721" s="60"/>
      <c r="AM721" s="60"/>
      <c r="AX721" s="60"/>
      <c r="AY721" s="60"/>
      <c r="BJ721" s="60"/>
      <c r="BK721" s="60"/>
    </row>
    <row r="722" spans="2:63" ht="13.2">
      <c r="B722" s="60"/>
      <c r="C722" s="60"/>
      <c r="N722" s="60"/>
      <c r="O722" s="60"/>
      <c r="Z722" s="60"/>
      <c r="AA722" s="60"/>
      <c r="AL722" s="60"/>
      <c r="AM722" s="60"/>
      <c r="AX722" s="60"/>
      <c r="AY722" s="60"/>
      <c r="BJ722" s="60"/>
      <c r="BK722" s="60"/>
    </row>
    <row r="723" spans="2:63" ht="13.2">
      <c r="B723" s="60"/>
      <c r="C723" s="60"/>
      <c r="N723" s="60"/>
      <c r="O723" s="60"/>
      <c r="Z723" s="60"/>
      <c r="AA723" s="60"/>
      <c r="AL723" s="60"/>
      <c r="AM723" s="60"/>
      <c r="AX723" s="60"/>
      <c r="AY723" s="60"/>
      <c r="BJ723" s="60"/>
      <c r="BK723" s="60"/>
    </row>
    <row r="724" spans="2:63" ht="13.2">
      <c r="B724" s="60"/>
      <c r="C724" s="60"/>
      <c r="N724" s="60"/>
      <c r="O724" s="60"/>
      <c r="Z724" s="60"/>
      <c r="AA724" s="60"/>
      <c r="AL724" s="60"/>
      <c r="AM724" s="60"/>
      <c r="AX724" s="60"/>
      <c r="AY724" s="60"/>
      <c r="BJ724" s="60"/>
      <c r="BK724" s="60"/>
    </row>
    <row r="725" spans="2:63" ht="13.2">
      <c r="B725" s="60"/>
      <c r="C725" s="60"/>
      <c r="N725" s="60"/>
      <c r="O725" s="60"/>
      <c r="Z725" s="60"/>
      <c r="AA725" s="60"/>
      <c r="AL725" s="60"/>
      <c r="AM725" s="60"/>
      <c r="AX725" s="60"/>
      <c r="AY725" s="60"/>
      <c r="BJ725" s="60"/>
      <c r="BK725" s="60"/>
    </row>
    <row r="726" spans="2:63" ht="13.2">
      <c r="B726" s="60"/>
      <c r="C726" s="60"/>
      <c r="N726" s="60"/>
      <c r="O726" s="60"/>
      <c r="Z726" s="60"/>
      <c r="AA726" s="60"/>
      <c r="AL726" s="60"/>
      <c r="AM726" s="60"/>
      <c r="AX726" s="60"/>
      <c r="AY726" s="60"/>
      <c r="BJ726" s="60"/>
      <c r="BK726" s="60"/>
    </row>
    <row r="727" spans="2:63" ht="13.2">
      <c r="B727" s="60"/>
      <c r="C727" s="60"/>
      <c r="N727" s="60"/>
      <c r="O727" s="60"/>
      <c r="Z727" s="60"/>
      <c r="AA727" s="60"/>
      <c r="AL727" s="60"/>
      <c r="AM727" s="60"/>
      <c r="AX727" s="60"/>
      <c r="AY727" s="60"/>
      <c r="BJ727" s="60"/>
      <c r="BK727" s="60"/>
    </row>
    <row r="728" spans="2:63" ht="13.2">
      <c r="B728" s="60"/>
      <c r="C728" s="60"/>
      <c r="N728" s="60"/>
      <c r="O728" s="60"/>
      <c r="Z728" s="60"/>
      <c r="AA728" s="60"/>
      <c r="AL728" s="60"/>
      <c r="AM728" s="60"/>
      <c r="AX728" s="60"/>
      <c r="AY728" s="60"/>
      <c r="BJ728" s="60"/>
      <c r="BK728" s="60"/>
    </row>
    <row r="729" spans="2:63" ht="13.2">
      <c r="B729" s="60"/>
      <c r="C729" s="60"/>
      <c r="N729" s="60"/>
      <c r="O729" s="60"/>
      <c r="Z729" s="60"/>
      <c r="AA729" s="60"/>
      <c r="AL729" s="60"/>
      <c r="AM729" s="60"/>
      <c r="AX729" s="60"/>
      <c r="AY729" s="60"/>
      <c r="BJ729" s="60"/>
      <c r="BK729" s="60"/>
    </row>
    <row r="730" spans="2:63" ht="13.2">
      <c r="B730" s="60"/>
      <c r="C730" s="60"/>
      <c r="N730" s="60"/>
      <c r="O730" s="60"/>
      <c r="Z730" s="60"/>
      <c r="AA730" s="60"/>
      <c r="AL730" s="60"/>
      <c r="AM730" s="60"/>
      <c r="AX730" s="60"/>
      <c r="AY730" s="60"/>
      <c r="BJ730" s="60"/>
      <c r="BK730" s="60"/>
    </row>
    <row r="731" spans="2:63" ht="13.2">
      <c r="B731" s="60"/>
      <c r="C731" s="60"/>
      <c r="N731" s="60"/>
      <c r="O731" s="60"/>
      <c r="Z731" s="60"/>
      <c r="AA731" s="60"/>
      <c r="AL731" s="60"/>
      <c r="AM731" s="60"/>
      <c r="AX731" s="60"/>
      <c r="AY731" s="60"/>
      <c r="BJ731" s="60"/>
      <c r="BK731" s="60"/>
    </row>
    <row r="732" spans="2:63" ht="13.2">
      <c r="B732" s="60"/>
      <c r="C732" s="60"/>
      <c r="N732" s="60"/>
      <c r="O732" s="60"/>
      <c r="Z732" s="60"/>
      <c r="AA732" s="60"/>
      <c r="AL732" s="60"/>
      <c r="AM732" s="60"/>
      <c r="AX732" s="60"/>
      <c r="AY732" s="60"/>
      <c r="BJ732" s="60"/>
      <c r="BK732" s="60"/>
    </row>
    <row r="733" spans="2:63" ht="13.2">
      <c r="B733" s="60"/>
      <c r="C733" s="60"/>
      <c r="N733" s="60"/>
      <c r="O733" s="60"/>
      <c r="Z733" s="60"/>
      <c r="AA733" s="60"/>
      <c r="AL733" s="60"/>
      <c r="AM733" s="60"/>
      <c r="AX733" s="60"/>
      <c r="AY733" s="60"/>
      <c r="BJ733" s="60"/>
      <c r="BK733" s="60"/>
    </row>
    <row r="734" spans="2:63" ht="13.2">
      <c r="B734" s="60"/>
      <c r="C734" s="60"/>
      <c r="N734" s="60"/>
      <c r="O734" s="60"/>
      <c r="Z734" s="60"/>
      <c r="AA734" s="60"/>
      <c r="AL734" s="60"/>
      <c r="AM734" s="60"/>
      <c r="AX734" s="60"/>
      <c r="AY734" s="60"/>
      <c r="BJ734" s="60"/>
      <c r="BK734" s="60"/>
    </row>
    <row r="735" spans="2:63" ht="13.2">
      <c r="B735" s="60"/>
      <c r="C735" s="60"/>
      <c r="N735" s="60"/>
      <c r="O735" s="60"/>
      <c r="Z735" s="60"/>
      <c r="AA735" s="60"/>
      <c r="AL735" s="60"/>
      <c r="AM735" s="60"/>
      <c r="AX735" s="60"/>
      <c r="AY735" s="60"/>
      <c r="BJ735" s="60"/>
      <c r="BK735" s="60"/>
    </row>
    <row r="736" spans="2:63" ht="13.2">
      <c r="B736" s="60"/>
      <c r="C736" s="60"/>
      <c r="N736" s="60"/>
      <c r="O736" s="60"/>
      <c r="Z736" s="60"/>
      <c r="AA736" s="60"/>
      <c r="AL736" s="60"/>
      <c r="AM736" s="60"/>
      <c r="AX736" s="60"/>
      <c r="AY736" s="60"/>
      <c r="BJ736" s="60"/>
      <c r="BK736" s="60"/>
    </row>
    <row r="737" spans="2:63" ht="13.2">
      <c r="B737" s="60"/>
      <c r="C737" s="60"/>
      <c r="N737" s="60"/>
      <c r="O737" s="60"/>
      <c r="Z737" s="60"/>
      <c r="AA737" s="60"/>
      <c r="AL737" s="60"/>
      <c r="AM737" s="60"/>
      <c r="AX737" s="60"/>
      <c r="AY737" s="60"/>
      <c r="BJ737" s="60"/>
      <c r="BK737" s="60"/>
    </row>
    <row r="738" spans="2:63" ht="13.2">
      <c r="B738" s="60"/>
      <c r="C738" s="60"/>
      <c r="N738" s="60"/>
      <c r="O738" s="60"/>
      <c r="Z738" s="60"/>
      <c r="AA738" s="60"/>
      <c r="AL738" s="60"/>
      <c r="AM738" s="60"/>
      <c r="AX738" s="60"/>
      <c r="AY738" s="60"/>
      <c r="BJ738" s="60"/>
      <c r="BK738" s="60"/>
    </row>
    <row r="739" spans="2:63" ht="13.2">
      <c r="B739" s="60"/>
      <c r="C739" s="60"/>
      <c r="N739" s="60"/>
      <c r="O739" s="60"/>
      <c r="Z739" s="60"/>
      <c r="AA739" s="60"/>
      <c r="AL739" s="60"/>
      <c r="AM739" s="60"/>
      <c r="AX739" s="60"/>
      <c r="AY739" s="60"/>
      <c r="BJ739" s="60"/>
      <c r="BK739" s="60"/>
    </row>
    <row r="740" spans="2:63" ht="13.2">
      <c r="B740" s="60"/>
      <c r="C740" s="60"/>
      <c r="N740" s="60"/>
      <c r="O740" s="60"/>
      <c r="Z740" s="60"/>
      <c r="AA740" s="60"/>
      <c r="AL740" s="60"/>
      <c r="AM740" s="60"/>
      <c r="AX740" s="60"/>
      <c r="AY740" s="60"/>
      <c r="BJ740" s="60"/>
      <c r="BK740" s="60"/>
    </row>
    <row r="741" spans="2:63" ht="13.2">
      <c r="B741" s="60"/>
      <c r="C741" s="60"/>
      <c r="N741" s="60"/>
      <c r="O741" s="60"/>
      <c r="Z741" s="60"/>
      <c r="AA741" s="60"/>
      <c r="AL741" s="60"/>
      <c r="AM741" s="60"/>
      <c r="AX741" s="60"/>
      <c r="AY741" s="60"/>
      <c r="BJ741" s="60"/>
      <c r="BK741" s="60"/>
    </row>
    <row r="742" spans="2:63" ht="13.2">
      <c r="B742" s="60"/>
      <c r="C742" s="60"/>
      <c r="N742" s="60"/>
      <c r="O742" s="60"/>
      <c r="Z742" s="60"/>
      <c r="AA742" s="60"/>
      <c r="AL742" s="60"/>
      <c r="AM742" s="60"/>
      <c r="AX742" s="60"/>
      <c r="AY742" s="60"/>
      <c r="BJ742" s="60"/>
      <c r="BK742" s="60"/>
    </row>
    <row r="743" spans="2:63" ht="13.2">
      <c r="B743" s="60"/>
      <c r="C743" s="60"/>
      <c r="N743" s="60"/>
      <c r="O743" s="60"/>
      <c r="Z743" s="60"/>
      <c r="AA743" s="60"/>
      <c r="AL743" s="60"/>
      <c r="AM743" s="60"/>
      <c r="AX743" s="60"/>
      <c r="AY743" s="60"/>
      <c r="BJ743" s="60"/>
      <c r="BK743" s="60"/>
    </row>
    <row r="744" spans="2:63" ht="13.2">
      <c r="B744" s="60"/>
      <c r="C744" s="60"/>
      <c r="N744" s="60"/>
      <c r="O744" s="60"/>
      <c r="Z744" s="60"/>
      <c r="AA744" s="60"/>
      <c r="AL744" s="60"/>
      <c r="AM744" s="60"/>
      <c r="AX744" s="60"/>
      <c r="AY744" s="60"/>
      <c r="BJ744" s="60"/>
      <c r="BK744" s="60"/>
    </row>
    <row r="745" spans="2:63" ht="13.2">
      <c r="B745" s="60"/>
      <c r="C745" s="60"/>
      <c r="N745" s="60"/>
      <c r="O745" s="60"/>
      <c r="Z745" s="60"/>
      <c r="AA745" s="60"/>
      <c r="AL745" s="60"/>
      <c r="AM745" s="60"/>
      <c r="AX745" s="60"/>
      <c r="AY745" s="60"/>
      <c r="BJ745" s="60"/>
      <c r="BK745" s="60"/>
    </row>
    <row r="746" spans="2:63" ht="13.2">
      <c r="B746" s="60"/>
      <c r="C746" s="60"/>
      <c r="N746" s="60"/>
      <c r="O746" s="60"/>
      <c r="Z746" s="60"/>
      <c r="AA746" s="60"/>
      <c r="AL746" s="60"/>
      <c r="AM746" s="60"/>
      <c r="AX746" s="60"/>
      <c r="AY746" s="60"/>
      <c r="BJ746" s="60"/>
      <c r="BK746" s="60"/>
    </row>
    <row r="747" spans="2:63" ht="13.2">
      <c r="B747" s="60"/>
      <c r="C747" s="60"/>
      <c r="N747" s="60"/>
      <c r="O747" s="60"/>
      <c r="Z747" s="60"/>
      <c r="AA747" s="60"/>
      <c r="AL747" s="60"/>
      <c r="AM747" s="60"/>
      <c r="AX747" s="60"/>
      <c r="AY747" s="60"/>
      <c r="BJ747" s="60"/>
      <c r="BK747" s="60"/>
    </row>
    <row r="748" spans="2:63" ht="13.2">
      <c r="B748" s="60"/>
      <c r="C748" s="60"/>
      <c r="N748" s="60"/>
      <c r="O748" s="60"/>
      <c r="Z748" s="60"/>
      <c r="AA748" s="60"/>
      <c r="AL748" s="60"/>
      <c r="AM748" s="60"/>
      <c r="AX748" s="60"/>
      <c r="AY748" s="60"/>
      <c r="BJ748" s="60"/>
      <c r="BK748" s="60"/>
    </row>
    <row r="749" spans="2:63" ht="13.2">
      <c r="B749" s="60"/>
      <c r="C749" s="60"/>
      <c r="N749" s="60"/>
      <c r="O749" s="60"/>
      <c r="Z749" s="60"/>
      <c r="AA749" s="60"/>
      <c r="AL749" s="60"/>
      <c r="AM749" s="60"/>
      <c r="AX749" s="60"/>
      <c r="AY749" s="60"/>
      <c r="BJ749" s="60"/>
      <c r="BK749" s="60"/>
    </row>
    <row r="750" spans="2:63" ht="13.2">
      <c r="B750" s="60"/>
      <c r="C750" s="60"/>
      <c r="N750" s="60"/>
      <c r="O750" s="60"/>
      <c r="Z750" s="60"/>
      <c r="AA750" s="60"/>
      <c r="AL750" s="60"/>
      <c r="AM750" s="60"/>
      <c r="AX750" s="60"/>
      <c r="AY750" s="60"/>
      <c r="BJ750" s="60"/>
      <c r="BK750" s="60"/>
    </row>
    <row r="751" spans="2:63" ht="13.2">
      <c r="B751" s="60"/>
      <c r="C751" s="60"/>
      <c r="N751" s="60"/>
      <c r="O751" s="60"/>
      <c r="Z751" s="60"/>
      <c r="AA751" s="60"/>
      <c r="AL751" s="60"/>
      <c r="AM751" s="60"/>
      <c r="AX751" s="60"/>
      <c r="AY751" s="60"/>
      <c r="BJ751" s="60"/>
      <c r="BK751" s="60"/>
    </row>
    <row r="752" spans="2:63" ht="13.2">
      <c r="B752" s="60"/>
      <c r="C752" s="60"/>
      <c r="N752" s="60"/>
      <c r="O752" s="60"/>
      <c r="Z752" s="60"/>
      <c r="AA752" s="60"/>
      <c r="AL752" s="60"/>
      <c r="AM752" s="60"/>
      <c r="AX752" s="60"/>
      <c r="AY752" s="60"/>
      <c r="BJ752" s="60"/>
      <c r="BK752" s="60"/>
    </row>
    <row r="753" spans="2:63" ht="13.2">
      <c r="B753" s="60"/>
      <c r="C753" s="60"/>
      <c r="N753" s="60"/>
      <c r="O753" s="60"/>
      <c r="Z753" s="60"/>
      <c r="AA753" s="60"/>
      <c r="AL753" s="60"/>
      <c r="AM753" s="60"/>
      <c r="AX753" s="60"/>
      <c r="AY753" s="60"/>
      <c r="BJ753" s="60"/>
      <c r="BK753" s="60"/>
    </row>
    <row r="754" spans="2:63" ht="13.2">
      <c r="B754" s="60"/>
      <c r="C754" s="60"/>
      <c r="N754" s="60"/>
      <c r="O754" s="60"/>
      <c r="Z754" s="60"/>
      <c r="AA754" s="60"/>
      <c r="AL754" s="60"/>
      <c r="AM754" s="60"/>
      <c r="AX754" s="60"/>
      <c r="AY754" s="60"/>
      <c r="BJ754" s="60"/>
      <c r="BK754" s="60"/>
    </row>
    <row r="755" spans="2:63" ht="13.2">
      <c r="B755" s="60"/>
      <c r="C755" s="60"/>
      <c r="N755" s="60"/>
      <c r="O755" s="60"/>
      <c r="Z755" s="60"/>
      <c r="AA755" s="60"/>
      <c r="AL755" s="60"/>
      <c r="AM755" s="60"/>
      <c r="AX755" s="60"/>
      <c r="AY755" s="60"/>
      <c r="BJ755" s="60"/>
      <c r="BK755" s="60"/>
    </row>
    <row r="756" spans="2:63" ht="13.2">
      <c r="B756" s="60"/>
      <c r="C756" s="60"/>
      <c r="N756" s="60"/>
      <c r="O756" s="60"/>
      <c r="Z756" s="60"/>
      <c r="AA756" s="60"/>
      <c r="AL756" s="60"/>
      <c r="AM756" s="60"/>
      <c r="AX756" s="60"/>
      <c r="AY756" s="60"/>
      <c r="BJ756" s="60"/>
      <c r="BK756" s="60"/>
    </row>
    <row r="757" spans="2:63" ht="13.2">
      <c r="B757" s="60"/>
      <c r="C757" s="60"/>
      <c r="N757" s="60"/>
      <c r="O757" s="60"/>
      <c r="Z757" s="60"/>
      <c r="AA757" s="60"/>
      <c r="AL757" s="60"/>
      <c r="AM757" s="60"/>
      <c r="AX757" s="60"/>
      <c r="AY757" s="60"/>
      <c r="BJ757" s="60"/>
      <c r="BK757" s="60"/>
    </row>
    <row r="758" spans="2:63" ht="13.2">
      <c r="B758" s="60"/>
      <c r="C758" s="60"/>
      <c r="N758" s="60"/>
      <c r="O758" s="60"/>
      <c r="Z758" s="60"/>
      <c r="AA758" s="60"/>
      <c r="AL758" s="60"/>
      <c r="AM758" s="60"/>
      <c r="AX758" s="60"/>
      <c r="AY758" s="60"/>
      <c r="BJ758" s="60"/>
      <c r="BK758" s="60"/>
    </row>
    <row r="759" spans="2:63" ht="13.2">
      <c r="B759" s="60"/>
      <c r="C759" s="60"/>
      <c r="N759" s="60"/>
      <c r="O759" s="60"/>
      <c r="Z759" s="60"/>
      <c r="AA759" s="60"/>
      <c r="AL759" s="60"/>
      <c r="AM759" s="60"/>
      <c r="AX759" s="60"/>
      <c r="AY759" s="60"/>
      <c r="BJ759" s="60"/>
      <c r="BK759" s="60"/>
    </row>
    <row r="760" spans="2:63" ht="13.2">
      <c r="B760" s="60"/>
      <c r="C760" s="60"/>
      <c r="N760" s="60"/>
      <c r="O760" s="60"/>
      <c r="Z760" s="60"/>
      <c r="AA760" s="60"/>
      <c r="AL760" s="60"/>
      <c r="AM760" s="60"/>
      <c r="AX760" s="60"/>
      <c r="AY760" s="60"/>
      <c r="BJ760" s="60"/>
      <c r="BK760" s="60"/>
    </row>
    <row r="761" spans="2:63" ht="13.2">
      <c r="B761" s="60"/>
      <c r="C761" s="60"/>
      <c r="N761" s="60"/>
      <c r="O761" s="60"/>
      <c r="Z761" s="60"/>
      <c r="AA761" s="60"/>
      <c r="AL761" s="60"/>
      <c r="AM761" s="60"/>
      <c r="AX761" s="60"/>
      <c r="AY761" s="60"/>
      <c r="BJ761" s="60"/>
      <c r="BK761" s="60"/>
    </row>
    <row r="762" spans="2:63" ht="13.2">
      <c r="B762" s="60"/>
      <c r="C762" s="60"/>
      <c r="N762" s="60"/>
      <c r="O762" s="60"/>
      <c r="Z762" s="60"/>
      <c r="AA762" s="60"/>
      <c r="AL762" s="60"/>
      <c r="AM762" s="60"/>
      <c r="AX762" s="60"/>
      <c r="AY762" s="60"/>
      <c r="BJ762" s="60"/>
      <c r="BK762" s="60"/>
    </row>
    <row r="763" spans="2:63" ht="13.2">
      <c r="B763" s="60"/>
      <c r="C763" s="60"/>
      <c r="N763" s="60"/>
      <c r="O763" s="60"/>
      <c r="Z763" s="60"/>
      <c r="AA763" s="60"/>
      <c r="AL763" s="60"/>
      <c r="AM763" s="60"/>
      <c r="AX763" s="60"/>
      <c r="AY763" s="60"/>
      <c r="BJ763" s="60"/>
      <c r="BK763" s="60"/>
    </row>
    <row r="764" spans="2:63" ht="13.2">
      <c r="B764" s="60"/>
      <c r="C764" s="60"/>
      <c r="N764" s="60"/>
      <c r="O764" s="60"/>
      <c r="Z764" s="60"/>
      <c r="AA764" s="60"/>
      <c r="AL764" s="60"/>
      <c r="AM764" s="60"/>
      <c r="AX764" s="60"/>
      <c r="AY764" s="60"/>
      <c r="BJ764" s="60"/>
      <c r="BK764" s="60"/>
    </row>
    <row r="765" spans="2:63" ht="13.2">
      <c r="B765" s="60"/>
      <c r="C765" s="60"/>
      <c r="N765" s="60"/>
      <c r="O765" s="60"/>
      <c r="Z765" s="60"/>
      <c r="AA765" s="60"/>
      <c r="AL765" s="60"/>
      <c r="AM765" s="60"/>
      <c r="AX765" s="60"/>
      <c r="AY765" s="60"/>
      <c r="BJ765" s="60"/>
      <c r="BK765" s="60"/>
    </row>
    <row r="766" spans="2:63" ht="13.2">
      <c r="B766" s="60"/>
      <c r="C766" s="60"/>
      <c r="N766" s="60"/>
      <c r="O766" s="60"/>
      <c r="Z766" s="60"/>
      <c r="AA766" s="60"/>
      <c r="AL766" s="60"/>
      <c r="AM766" s="60"/>
      <c r="AX766" s="60"/>
      <c r="AY766" s="60"/>
      <c r="BJ766" s="60"/>
      <c r="BK766" s="60"/>
    </row>
    <row r="767" spans="2:63" ht="13.2">
      <c r="B767" s="60"/>
      <c r="C767" s="60"/>
      <c r="N767" s="60"/>
      <c r="O767" s="60"/>
      <c r="Z767" s="60"/>
      <c r="AA767" s="60"/>
      <c r="AL767" s="60"/>
      <c r="AM767" s="60"/>
      <c r="AX767" s="60"/>
      <c r="AY767" s="60"/>
      <c r="BJ767" s="60"/>
      <c r="BK767" s="60"/>
    </row>
    <row r="768" spans="2:63" ht="13.2">
      <c r="B768" s="60"/>
      <c r="C768" s="60"/>
      <c r="N768" s="60"/>
      <c r="O768" s="60"/>
      <c r="Z768" s="60"/>
      <c r="AA768" s="60"/>
      <c r="AL768" s="60"/>
      <c r="AM768" s="60"/>
      <c r="AX768" s="60"/>
      <c r="AY768" s="60"/>
      <c r="BJ768" s="60"/>
      <c r="BK768" s="60"/>
    </row>
    <row r="769" spans="2:63" ht="13.2">
      <c r="B769" s="60"/>
      <c r="C769" s="60"/>
      <c r="N769" s="60"/>
      <c r="O769" s="60"/>
      <c r="Z769" s="60"/>
      <c r="AA769" s="60"/>
      <c r="AL769" s="60"/>
      <c r="AM769" s="60"/>
      <c r="AX769" s="60"/>
      <c r="AY769" s="60"/>
      <c r="BJ769" s="60"/>
      <c r="BK769" s="60"/>
    </row>
    <row r="770" spans="2:63" ht="13.2">
      <c r="B770" s="60"/>
      <c r="C770" s="60"/>
      <c r="N770" s="60"/>
      <c r="O770" s="60"/>
      <c r="Z770" s="60"/>
      <c r="AA770" s="60"/>
      <c r="AL770" s="60"/>
      <c r="AM770" s="60"/>
      <c r="AX770" s="60"/>
      <c r="AY770" s="60"/>
      <c r="BJ770" s="60"/>
      <c r="BK770" s="60"/>
    </row>
    <row r="771" spans="2:63" ht="13.2">
      <c r="B771" s="60"/>
      <c r="C771" s="60"/>
      <c r="N771" s="60"/>
      <c r="O771" s="60"/>
      <c r="Z771" s="60"/>
      <c r="AA771" s="60"/>
      <c r="AL771" s="60"/>
      <c r="AM771" s="60"/>
      <c r="AX771" s="60"/>
      <c r="AY771" s="60"/>
      <c r="BJ771" s="60"/>
      <c r="BK771" s="60"/>
    </row>
    <row r="772" spans="2:63" ht="13.2">
      <c r="B772" s="60"/>
      <c r="C772" s="60"/>
      <c r="N772" s="60"/>
      <c r="O772" s="60"/>
      <c r="Z772" s="60"/>
      <c r="AA772" s="60"/>
      <c r="AL772" s="60"/>
      <c r="AM772" s="60"/>
      <c r="AX772" s="60"/>
      <c r="AY772" s="60"/>
      <c r="BJ772" s="60"/>
      <c r="BK772" s="60"/>
    </row>
    <row r="773" spans="2:63" ht="13.2">
      <c r="B773" s="60"/>
      <c r="C773" s="60"/>
      <c r="N773" s="60"/>
      <c r="O773" s="60"/>
      <c r="Z773" s="60"/>
      <c r="AA773" s="60"/>
      <c r="AL773" s="60"/>
      <c r="AM773" s="60"/>
      <c r="AX773" s="60"/>
      <c r="AY773" s="60"/>
      <c r="BJ773" s="60"/>
      <c r="BK773" s="60"/>
    </row>
    <row r="774" spans="2:63" ht="13.2">
      <c r="B774" s="60"/>
      <c r="C774" s="60"/>
      <c r="N774" s="60"/>
      <c r="O774" s="60"/>
      <c r="Z774" s="60"/>
      <c r="AA774" s="60"/>
      <c r="AL774" s="60"/>
      <c r="AM774" s="60"/>
      <c r="AX774" s="60"/>
      <c r="AY774" s="60"/>
      <c r="BJ774" s="60"/>
      <c r="BK774" s="60"/>
    </row>
    <row r="775" spans="2:63" ht="13.2">
      <c r="B775" s="60"/>
      <c r="C775" s="60"/>
      <c r="N775" s="60"/>
      <c r="O775" s="60"/>
      <c r="Z775" s="60"/>
      <c r="AA775" s="60"/>
      <c r="AL775" s="60"/>
      <c r="AM775" s="60"/>
      <c r="AX775" s="60"/>
      <c r="AY775" s="60"/>
      <c r="BJ775" s="60"/>
      <c r="BK775" s="60"/>
    </row>
    <row r="776" spans="2:63" ht="13.2">
      <c r="B776" s="60"/>
      <c r="C776" s="60"/>
      <c r="N776" s="60"/>
      <c r="O776" s="60"/>
      <c r="Z776" s="60"/>
      <c r="AA776" s="60"/>
      <c r="AL776" s="60"/>
      <c r="AM776" s="60"/>
      <c r="AX776" s="60"/>
      <c r="AY776" s="60"/>
      <c r="BJ776" s="60"/>
      <c r="BK776" s="60"/>
    </row>
    <row r="777" spans="2:63" ht="13.2">
      <c r="B777" s="60"/>
      <c r="C777" s="60"/>
      <c r="N777" s="60"/>
      <c r="O777" s="60"/>
      <c r="Z777" s="60"/>
      <c r="AA777" s="60"/>
      <c r="AL777" s="60"/>
      <c r="AM777" s="60"/>
      <c r="AX777" s="60"/>
      <c r="AY777" s="60"/>
      <c r="BJ777" s="60"/>
      <c r="BK777" s="60"/>
    </row>
    <row r="778" spans="2:63" ht="13.2">
      <c r="B778" s="60"/>
      <c r="C778" s="60"/>
      <c r="N778" s="60"/>
      <c r="O778" s="60"/>
      <c r="Z778" s="60"/>
      <c r="AA778" s="60"/>
      <c r="AL778" s="60"/>
      <c r="AM778" s="60"/>
      <c r="AX778" s="60"/>
      <c r="AY778" s="60"/>
      <c r="BJ778" s="60"/>
      <c r="BK778" s="60"/>
    </row>
    <row r="779" spans="2:63" ht="13.2">
      <c r="B779" s="60"/>
      <c r="C779" s="60"/>
      <c r="N779" s="60"/>
      <c r="O779" s="60"/>
      <c r="Z779" s="60"/>
      <c r="AA779" s="60"/>
      <c r="AL779" s="60"/>
      <c r="AM779" s="60"/>
      <c r="AX779" s="60"/>
      <c r="AY779" s="60"/>
      <c r="BJ779" s="60"/>
      <c r="BK779" s="60"/>
    </row>
    <row r="780" spans="2:63" ht="13.2">
      <c r="B780" s="60"/>
      <c r="C780" s="60"/>
      <c r="N780" s="60"/>
      <c r="O780" s="60"/>
      <c r="Z780" s="60"/>
      <c r="AA780" s="60"/>
      <c r="AL780" s="60"/>
      <c r="AM780" s="60"/>
      <c r="AX780" s="60"/>
      <c r="AY780" s="60"/>
      <c r="BJ780" s="60"/>
      <c r="BK780" s="60"/>
    </row>
    <row r="781" spans="2:63" ht="13.2">
      <c r="B781" s="60"/>
      <c r="C781" s="60"/>
      <c r="N781" s="60"/>
      <c r="O781" s="60"/>
      <c r="Z781" s="60"/>
      <c r="AA781" s="60"/>
      <c r="AL781" s="60"/>
      <c r="AM781" s="60"/>
      <c r="AX781" s="60"/>
      <c r="AY781" s="60"/>
      <c r="BJ781" s="60"/>
      <c r="BK781" s="60"/>
    </row>
    <row r="782" spans="2:63" ht="13.2">
      <c r="B782" s="60"/>
      <c r="C782" s="60"/>
      <c r="N782" s="60"/>
      <c r="O782" s="60"/>
      <c r="Z782" s="60"/>
      <c r="AA782" s="60"/>
      <c r="AL782" s="60"/>
      <c r="AM782" s="60"/>
      <c r="AX782" s="60"/>
      <c r="AY782" s="60"/>
      <c r="BJ782" s="60"/>
      <c r="BK782" s="60"/>
    </row>
    <row r="783" spans="2:63" ht="13.2">
      <c r="B783" s="60"/>
      <c r="C783" s="60"/>
      <c r="N783" s="60"/>
      <c r="O783" s="60"/>
      <c r="Z783" s="60"/>
      <c r="AA783" s="60"/>
      <c r="AL783" s="60"/>
      <c r="AM783" s="60"/>
      <c r="AX783" s="60"/>
      <c r="AY783" s="60"/>
      <c r="BJ783" s="60"/>
      <c r="BK783" s="60"/>
    </row>
    <row r="784" spans="2:63" ht="13.2">
      <c r="B784" s="60"/>
      <c r="C784" s="60"/>
      <c r="N784" s="60"/>
      <c r="O784" s="60"/>
      <c r="Z784" s="60"/>
      <c r="AA784" s="60"/>
      <c r="AL784" s="60"/>
      <c r="AM784" s="60"/>
      <c r="AX784" s="60"/>
      <c r="AY784" s="60"/>
      <c r="BJ784" s="60"/>
      <c r="BK784" s="60"/>
    </row>
    <row r="785" spans="2:63" ht="13.2">
      <c r="B785" s="60"/>
      <c r="C785" s="60"/>
      <c r="N785" s="60"/>
      <c r="O785" s="60"/>
      <c r="Z785" s="60"/>
      <c r="AA785" s="60"/>
      <c r="AL785" s="60"/>
      <c r="AM785" s="60"/>
      <c r="AX785" s="60"/>
      <c r="AY785" s="60"/>
      <c r="BJ785" s="60"/>
      <c r="BK785" s="60"/>
    </row>
    <row r="786" spans="2:63" ht="13.2">
      <c r="B786" s="60"/>
      <c r="C786" s="60"/>
      <c r="N786" s="60"/>
      <c r="O786" s="60"/>
      <c r="Z786" s="60"/>
      <c r="AA786" s="60"/>
      <c r="AL786" s="60"/>
      <c r="AM786" s="60"/>
      <c r="AX786" s="60"/>
      <c r="AY786" s="60"/>
      <c r="BJ786" s="60"/>
      <c r="BK786" s="60"/>
    </row>
    <row r="787" spans="2:63" ht="13.2">
      <c r="B787" s="60"/>
      <c r="C787" s="60"/>
      <c r="N787" s="60"/>
      <c r="O787" s="60"/>
      <c r="Z787" s="60"/>
      <c r="AA787" s="60"/>
      <c r="AL787" s="60"/>
      <c r="AM787" s="60"/>
      <c r="AX787" s="60"/>
      <c r="AY787" s="60"/>
      <c r="BJ787" s="60"/>
      <c r="BK787" s="60"/>
    </row>
    <row r="788" spans="2:63" ht="13.2">
      <c r="B788" s="60"/>
      <c r="C788" s="60"/>
      <c r="N788" s="60"/>
      <c r="O788" s="60"/>
      <c r="Z788" s="60"/>
      <c r="AA788" s="60"/>
      <c r="AL788" s="60"/>
      <c r="AM788" s="60"/>
      <c r="AX788" s="60"/>
      <c r="AY788" s="60"/>
      <c r="BJ788" s="60"/>
      <c r="BK788" s="60"/>
    </row>
    <row r="789" spans="2:63" ht="13.2">
      <c r="B789" s="60"/>
      <c r="C789" s="60"/>
      <c r="N789" s="60"/>
      <c r="O789" s="60"/>
      <c r="Z789" s="60"/>
      <c r="AA789" s="60"/>
      <c r="AL789" s="60"/>
      <c r="AM789" s="60"/>
      <c r="AX789" s="60"/>
      <c r="AY789" s="60"/>
      <c r="BJ789" s="60"/>
      <c r="BK789" s="60"/>
    </row>
    <row r="790" spans="2:63" ht="13.2">
      <c r="B790" s="60"/>
      <c r="C790" s="60"/>
      <c r="N790" s="60"/>
      <c r="O790" s="60"/>
      <c r="Z790" s="60"/>
      <c r="AA790" s="60"/>
      <c r="AL790" s="60"/>
      <c r="AM790" s="60"/>
      <c r="AX790" s="60"/>
      <c r="AY790" s="60"/>
      <c r="BJ790" s="60"/>
      <c r="BK790" s="60"/>
    </row>
    <row r="791" spans="2:63" ht="13.2">
      <c r="B791" s="60"/>
      <c r="C791" s="60"/>
      <c r="N791" s="60"/>
      <c r="O791" s="60"/>
      <c r="Z791" s="60"/>
      <c r="AA791" s="60"/>
      <c r="AL791" s="60"/>
      <c r="AM791" s="60"/>
      <c r="AX791" s="60"/>
      <c r="AY791" s="60"/>
      <c r="BJ791" s="60"/>
      <c r="BK791" s="60"/>
    </row>
    <row r="792" spans="2:63" ht="13.2">
      <c r="B792" s="60"/>
      <c r="C792" s="60"/>
      <c r="N792" s="60"/>
      <c r="O792" s="60"/>
      <c r="Z792" s="60"/>
      <c r="AA792" s="60"/>
      <c r="AL792" s="60"/>
      <c r="AM792" s="60"/>
      <c r="AX792" s="60"/>
      <c r="AY792" s="60"/>
      <c r="BJ792" s="60"/>
      <c r="BK792" s="60"/>
    </row>
    <row r="793" spans="2:63" ht="13.2">
      <c r="B793" s="60"/>
      <c r="C793" s="60"/>
      <c r="N793" s="60"/>
      <c r="O793" s="60"/>
      <c r="Z793" s="60"/>
      <c r="AA793" s="60"/>
      <c r="AL793" s="60"/>
      <c r="AM793" s="60"/>
      <c r="AX793" s="60"/>
      <c r="AY793" s="60"/>
      <c r="BJ793" s="60"/>
      <c r="BK793" s="60"/>
    </row>
    <row r="794" spans="2:63" ht="13.2">
      <c r="B794" s="60"/>
      <c r="C794" s="60"/>
      <c r="N794" s="60"/>
      <c r="O794" s="60"/>
      <c r="Z794" s="60"/>
      <c r="AA794" s="60"/>
      <c r="AL794" s="60"/>
      <c r="AM794" s="60"/>
      <c r="AX794" s="60"/>
      <c r="AY794" s="60"/>
      <c r="BJ794" s="60"/>
      <c r="BK794" s="60"/>
    </row>
    <row r="795" spans="2:63" ht="13.2">
      <c r="B795" s="60"/>
      <c r="C795" s="60"/>
      <c r="N795" s="60"/>
      <c r="O795" s="60"/>
      <c r="Z795" s="60"/>
      <c r="AA795" s="60"/>
      <c r="AL795" s="60"/>
      <c r="AM795" s="60"/>
      <c r="AX795" s="60"/>
      <c r="AY795" s="60"/>
      <c r="BJ795" s="60"/>
      <c r="BK795" s="60"/>
    </row>
    <row r="796" spans="2:63" ht="13.2">
      <c r="B796" s="60"/>
      <c r="C796" s="60"/>
      <c r="N796" s="60"/>
      <c r="O796" s="60"/>
      <c r="Z796" s="60"/>
      <c r="AA796" s="60"/>
      <c r="AL796" s="60"/>
      <c r="AM796" s="60"/>
      <c r="AX796" s="60"/>
      <c r="AY796" s="60"/>
      <c r="BJ796" s="60"/>
      <c r="BK796" s="60"/>
    </row>
    <row r="797" spans="2:63" ht="13.2">
      <c r="B797" s="60"/>
      <c r="C797" s="60"/>
      <c r="N797" s="60"/>
      <c r="O797" s="60"/>
      <c r="Z797" s="60"/>
      <c r="AA797" s="60"/>
      <c r="AL797" s="60"/>
      <c r="AM797" s="60"/>
      <c r="AX797" s="60"/>
      <c r="AY797" s="60"/>
      <c r="BJ797" s="60"/>
      <c r="BK797" s="60"/>
    </row>
    <row r="798" spans="2:63" ht="13.2">
      <c r="B798" s="60"/>
      <c r="C798" s="60"/>
      <c r="N798" s="60"/>
      <c r="O798" s="60"/>
      <c r="Z798" s="60"/>
      <c r="AA798" s="60"/>
      <c r="AL798" s="60"/>
      <c r="AM798" s="60"/>
      <c r="AX798" s="60"/>
      <c r="AY798" s="60"/>
      <c r="BJ798" s="60"/>
      <c r="BK798" s="60"/>
    </row>
    <row r="799" spans="2:63" ht="13.2">
      <c r="B799" s="60"/>
      <c r="C799" s="60"/>
      <c r="N799" s="60"/>
      <c r="O799" s="60"/>
      <c r="Z799" s="60"/>
      <c r="AA799" s="60"/>
      <c r="AL799" s="60"/>
      <c r="AM799" s="60"/>
      <c r="AX799" s="60"/>
      <c r="AY799" s="60"/>
      <c r="BJ799" s="60"/>
      <c r="BK799" s="60"/>
    </row>
    <row r="800" spans="2:63" ht="13.2">
      <c r="B800" s="60"/>
      <c r="C800" s="60"/>
      <c r="N800" s="60"/>
      <c r="O800" s="60"/>
      <c r="Z800" s="60"/>
      <c r="AA800" s="60"/>
      <c r="AL800" s="60"/>
      <c r="AM800" s="60"/>
      <c r="AX800" s="60"/>
      <c r="AY800" s="60"/>
      <c r="BJ800" s="60"/>
      <c r="BK800" s="60"/>
    </row>
    <row r="801" spans="2:63" ht="13.2">
      <c r="B801" s="60"/>
      <c r="C801" s="60"/>
      <c r="N801" s="60"/>
      <c r="O801" s="60"/>
      <c r="Z801" s="60"/>
      <c r="AA801" s="60"/>
      <c r="AL801" s="60"/>
      <c r="AM801" s="60"/>
      <c r="AX801" s="60"/>
      <c r="AY801" s="60"/>
      <c r="BJ801" s="60"/>
      <c r="BK801" s="60"/>
    </row>
    <row r="802" spans="2:63" ht="13.2">
      <c r="B802" s="60"/>
      <c r="C802" s="60"/>
      <c r="N802" s="60"/>
      <c r="O802" s="60"/>
      <c r="Z802" s="60"/>
      <c r="AA802" s="60"/>
      <c r="AL802" s="60"/>
      <c r="AM802" s="60"/>
      <c r="AX802" s="60"/>
      <c r="AY802" s="60"/>
      <c r="BJ802" s="60"/>
      <c r="BK802" s="60"/>
    </row>
    <row r="803" spans="2:63" ht="13.2">
      <c r="B803" s="60"/>
      <c r="C803" s="60"/>
      <c r="N803" s="60"/>
      <c r="O803" s="60"/>
      <c r="Z803" s="60"/>
      <c r="AA803" s="60"/>
      <c r="AL803" s="60"/>
      <c r="AM803" s="60"/>
      <c r="AX803" s="60"/>
      <c r="AY803" s="60"/>
      <c r="BJ803" s="60"/>
      <c r="BK803" s="60"/>
    </row>
    <row r="804" spans="2:63" ht="13.2">
      <c r="B804" s="60"/>
      <c r="C804" s="60"/>
      <c r="N804" s="60"/>
      <c r="O804" s="60"/>
      <c r="Z804" s="60"/>
      <c r="AA804" s="60"/>
      <c r="AL804" s="60"/>
      <c r="AM804" s="60"/>
      <c r="AX804" s="60"/>
      <c r="AY804" s="60"/>
      <c r="BJ804" s="60"/>
      <c r="BK804" s="60"/>
    </row>
    <row r="805" spans="2:63" ht="13.2">
      <c r="B805" s="60"/>
      <c r="C805" s="60"/>
      <c r="N805" s="60"/>
      <c r="O805" s="60"/>
      <c r="Z805" s="60"/>
      <c r="AA805" s="60"/>
      <c r="AL805" s="60"/>
      <c r="AM805" s="60"/>
      <c r="AX805" s="60"/>
      <c r="AY805" s="60"/>
      <c r="BJ805" s="60"/>
      <c r="BK805" s="60"/>
    </row>
    <row r="806" spans="2:63" ht="13.2">
      <c r="B806" s="60"/>
      <c r="C806" s="60"/>
      <c r="N806" s="60"/>
      <c r="O806" s="60"/>
      <c r="Z806" s="60"/>
      <c r="AA806" s="60"/>
      <c r="AL806" s="60"/>
      <c r="AM806" s="60"/>
      <c r="AX806" s="60"/>
      <c r="AY806" s="60"/>
      <c r="BJ806" s="60"/>
      <c r="BK806" s="60"/>
    </row>
    <row r="807" spans="2:63" ht="13.2">
      <c r="B807" s="60"/>
      <c r="C807" s="60"/>
      <c r="N807" s="60"/>
      <c r="O807" s="60"/>
      <c r="Z807" s="60"/>
      <c r="AA807" s="60"/>
      <c r="AL807" s="60"/>
      <c r="AM807" s="60"/>
      <c r="AX807" s="60"/>
      <c r="AY807" s="60"/>
      <c r="BJ807" s="60"/>
      <c r="BK807" s="60"/>
    </row>
    <row r="808" spans="2:63" ht="13.2">
      <c r="B808" s="60"/>
      <c r="C808" s="60"/>
      <c r="N808" s="60"/>
      <c r="O808" s="60"/>
      <c r="Z808" s="60"/>
      <c r="AA808" s="60"/>
      <c r="AL808" s="60"/>
      <c r="AM808" s="60"/>
      <c r="AX808" s="60"/>
      <c r="AY808" s="60"/>
      <c r="BJ808" s="60"/>
      <c r="BK808" s="60"/>
    </row>
    <row r="809" spans="2:63" ht="13.2">
      <c r="B809" s="60"/>
      <c r="C809" s="60"/>
      <c r="N809" s="60"/>
      <c r="O809" s="60"/>
      <c r="Z809" s="60"/>
      <c r="AA809" s="60"/>
      <c r="AL809" s="60"/>
      <c r="AM809" s="60"/>
      <c r="AX809" s="60"/>
      <c r="AY809" s="60"/>
      <c r="BJ809" s="60"/>
      <c r="BK809" s="60"/>
    </row>
    <row r="810" spans="2:63" ht="13.2">
      <c r="B810" s="60"/>
      <c r="C810" s="60"/>
      <c r="N810" s="60"/>
      <c r="O810" s="60"/>
      <c r="Z810" s="60"/>
      <c r="AA810" s="60"/>
      <c r="AL810" s="60"/>
      <c r="AM810" s="60"/>
      <c r="AX810" s="60"/>
      <c r="AY810" s="60"/>
      <c r="BJ810" s="60"/>
      <c r="BK810" s="60"/>
    </row>
    <row r="811" spans="2:63" ht="13.2">
      <c r="B811" s="60"/>
      <c r="C811" s="60"/>
      <c r="N811" s="60"/>
      <c r="O811" s="60"/>
      <c r="Z811" s="60"/>
      <c r="AA811" s="60"/>
      <c r="AL811" s="60"/>
      <c r="AM811" s="60"/>
      <c r="AX811" s="60"/>
      <c r="AY811" s="60"/>
      <c r="BJ811" s="60"/>
      <c r="BK811" s="60"/>
    </row>
    <row r="812" spans="2:63" ht="13.2">
      <c r="B812" s="60"/>
      <c r="C812" s="60"/>
      <c r="N812" s="60"/>
      <c r="O812" s="60"/>
      <c r="Z812" s="60"/>
      <c r="AA812" s="60"/>
      <c r="AL812" s="60"/>
      <c r="AM812" s="60"/>
      <c r="AX812" s="60"/>
      <c r="AY812" s="60"/>
      <c r="BJ812" s="60"/>
      <c r="BK812" s="60"/>
    </row>
    <row r="813" spans="2:63" ht="13.2">
      <c r="B813" s="60"/>
      <c r="C813" s="60"/>
      <c r="N813" s="60"/>
      <c r="O813" s="60"/>
      <c r="Z813" s="60"/>
      <c r="AA813" s="60"/>
      <c r="AL813" s="60"/>
      <c r="AM813" s="60"/>
      <c r="AX813" s="60"/>
      <c r="AY813" s="60"/>
      <c r="BJ813" s="60"/>
      <c r="BK813" s="60"/>
    </row>
    <row r="814" spans="2:63" ht="13.2">
      <c r="B814" s="60"/>
      <c r="C814" s="60"/>
      <c r="N814" s="60"/>
      <c r="O814" s="60"/>
      <c r="Z814" s="60"/>
      <c r="AA814" s="60"/>
      <c r="AL814" s="60"/>
      <c r="AM814" s="60"/>
      <c r="AX814" s="60"/>
      <c r="AY814" s="60"/>
      <c r="BJ814" s="60"/>
      <c r="BK814" s="60"/>
    </row>
    <row r="815" spans="2:63" ht="13.2">
      <c r="B815" s="60"/>
      <c r="C815" s="60"/>
      <c r="N815" s="60"/>
      <c r="O815" s="60"/>
      <c r="Z815" s="60"/>
      <c r="AA815" s="60"/>
      <c r="AL815" s="60"/>
      <c r="AM815" s="60"/>
      <c r="AX815" s="60"/>
      <c r="AY815" s="60"/>
      <c r="BJ815" s="60"/>
      <c r="BK815" s="60"/>
    </row>
    <row r="816" spans="2:63" ht="13.2">
      <c r="B816" s="60"/>
      <c r="C816" s="60"/>
      <c r="N816" s="60"/>
      <c r="O816" s="60"/>
      <c r="Z816" s="60"/>
      <c r="AA816" s="60"/>
      <c r="AL816" s="60"/>
      <c r="AM816" s="60"/>
      <c r="AX816" s="60"/>
      <c r="AY816" s="60"/>
      <c r="BJ816" s="60"/>
      <c r="BK816" s="60"/>
    </row>
    <row r="817" spans="2:63" ht="13.2">
      <c r="B817" s="60"/>
      <c r="C817" s="60"/>
      <c r="N817" s="60"/>
      <c r="O817" s="60"/>
      <c r="Z817" s="60"/>
      <c r="AA817" s="60"/>
      <c r="AL817" s="60"/>
      <c r="AM817" s="60"/>
      <c r="AX817" s="60"/>
      <c r="AY817" s="60"/>
      <c r="BJ817" s="60"/>
      <c r="BK817" s="60"/>
    </row>
    <row r="818" spans="2:63" ht="13.2">
      <c r="B818" s="60"/>
      <c r="C818" s="60"/>
      <c r="N818" s="60"/>
      <c r="O818" s="60"/>
      <c r="Z818" s="60"/>
      <c r="AA818" s="60"/>
      <c r="AL818" s="60"/>
      <c r="AM818" s="60"/>
      <c r="AX818" s="60"/>
      <c r="AY818" s="60"/>
      <c r="BJ818" s="60"/>
      <c r="BK818" s="60"/>
    </row>
    <row r="819" spans="2:63" ht="13.2">
      <c r="B819" s="60"/>
      <c r="C819" s="60"/>
      <c r="N819" s="60"/>
      <c r="O819" s="60"/>
      <c r="Z819" s="60"/>
      <c r="AA819" s="60"/>
      <c r="AL819" s="60"/>
      <c r="AM819" s="60"/>
      <c r="AX819" s="60"/>
      <c r="AY819" s="60"/>
      <c r="BJ819" s="60"/>
      <c r="BK819" s="60"/>
    </row>
    <row r="820" spans="2:63" ht="13.2">
      <c r="B820" s="60"/>
      <c r="C820" s="60"/>
      <c r="N820" s="60"/>
      <c r="O820" s="60"/>
      <c r="Z820" s="60"/>
      <c r="AA820" s="60"/>
      <c r="AL820" s="60"/>
      <c r="AM820" s="60"/>
      <c r="AX820" s="60"/>
      <c r="AY820" s="60"/>
      <c r="BJ820" s="60"/>
      <c r="BK820" s="60"/>
    </row>
    <row r="821" spans="2:63" ht="13.2">
      <c r="B821" s="60"/>
      <c r="C821" s="60"/>
      <c r="N821" s="60"/>
      <c r="O821" s="60"/>
      <c r="Z821" s="60"/>
      <c r="AA821" s="60"/>
      <c r="AL821" s="60"/>
      <c r="AM821" s="60"/>
      <c r="AX821" s="60"/>
      <c r="AY821" s="60"/>
      <c r="BJ821" s="60"/>
      <c r="BK821" s="60"/>
    </row>
    <row r="822" spans="2:63" ht="13.2">
      <c r="B822" s="60"/>
      <c r="C822" s="60"/>
      <c r="N822" s="60"/>
      <c r="O822" s="60"/>
      <c r="Z822" s="60"/>
      <c r="AA822" s="60"/>
      <c r="AL822" s="60"/>
      <c r="AM822" s="60"/>
      <c r="AX822" s="60"/>
      <c r="AY822" s="60"/>
      <c r="BJ822" s="60"/>
      <c r="BK822" s="60"/>
    </row>
    <row r="823" spans="2:63" ht="13.2">
      <c r="B823" s="60"/>
      <c r="C823" s="60"/>
      <c r="N823" s="60"/>
      <c r="O823" s="60"/>
      <c r="Z823" s="60"/>
      <c r="AA823" s="60"/>
      <c r="AL823" s="60"/>
      <c r="AM823" s="60"/>
      <c r="AX823" s="60"/>
      <c r="AY823" s="60"/>
      <c r="BJ823" s="60"/>
      <c r="BK823" s="60"/>
    </row>
    <row r="824" spans="2:63" ht="13.2">
      <c r="B824" s="60"/>
      <c r="C824" s="60"/>
      <c r="N824" s="60"/>
      <c r="O824" s="60"/>
      <c r="Z824" s="60"/>
      <c r="AA824" s="60"/>
      <c r="AL824" s="60"/>
      <c r="AM824" s="60"/>
      <c r="AX824" s="60"/>
      <c r="AY824" s="60"/>
      <c r="BJ824" s="60"/>
      <c r="BK824" s="60"/>
    </row>
    <row r="825" spans="2:63" ht="13.2">
      <c r="B825" s="60"/>
      <c r="C825" s="60"/>
      <c r="N825" s="60"/>
      <c r="O825" s="60"/>
      <c r="Z825" s="60"/>
      <c r="AA825" s="60"/>
      <c r="AL825" s="60"/>
      <c r="AM825" s="60"/>
      <c r="AX825" s="60"/>
      <c r="AY825" s="60"/>
      <c r="BJ825" s="60"/>
      <c r="BK825" s="60"/>
    </row>
    <row r="826" spans="2:63" ht="13.2">
      <c r="B826" s="60"/>
      <c r="C826" s="60"/>
      <c r="N826" s="60"/>
      <c r="O826" s="60"/>
      <c r="Z826" s="60"/>
      <c r="AA826" s="60"/>
      <c r="AL826" s="60"/>
      <c r="AM826" s="60"/>
      <c r="AX826" s="60"/>
      <c r="AY826" s="60"/>
      <c r="BJ826" s="60"/>
      <c r="BK826" s="60"/>
    </row>
    <row r="827" spans="2:63" ht="13.2">
      <c r="B827" s="60"/>
      <c r="C827" s="60"/>
      <c r="N827" s="60"/>
      <c r="O827" s="60"/>
      <c r="Z827" s="60"/>
      <c r="AA827" s="60"/>
      <c r="AL827" s="60"/>
      <c r="AM827" s="60"/>
      <c r="AX827" s="60"/>
      <c r="AY827" s="60"/>
      <c r="BJ827" s="60"/>
      <c r="BK827" s="60"/>
    </row>
    <row r="828" spans="2:63" ht="13.2">
      <c r="B828" s="60"/>
      <c r="C828" s="60"/>
      <c r="N828" s="60"/>
      <c r="O828" s="60"/>
      <c r="Z828" s="60"/>
      <c r="AA828" s="60"/>
      <c r="AL828" s="60"/>
      <c r="AM828" s="60"/>
      <c r="AX828" s="60"/>
      <c r="AY828" s="60"/>
      <c r="BJ828" s="60"/>
      <c r="BK828" s="60"/>
    </row>
    <row r="829" spans="2:63" ht="13.2">
      <c r="B829" s="60"/>
      <c r="C829" s="60"/>
      <c r="N829" s="60"/>
      <c r="O829" s="60"/>
      <c r="Z829" s="60"/>
      <c r="AA829" s="60"/>
      <c r="AL829" s="60"/>
      <c r="AM829" s="60"/>
      <c r="AX829" s="60"/>
      <c r="AY829" s="60"/>
      <c r="BJ829" s="60"/>
      <c r="BK829" s="60"/>
    </row>
    <row r="830" spans="2:63" ht="13.2">
      <c r="B830" s="60"/>
      <c r="C830" s="60"/>
      <c r="N830" s="60"/>
      <c r="O830" s="60"/>
      <c r="Z830" s="60"/>
      <c r="AA830" s="60"/>
      <c r="AL830" s="60"/>
      <c r="AM830" s="60"/>
      <c r="AX830" s="60"/>
      <c r="AY830" s="60"/>
      <c r="BJ830" s="60"/>
      <c r="BK830" s="60"/>
    </row>
    <row r="831" spans="2:63" ht="13.2">
      <c r="B831" s="60"/>
      <c r="C831" s="60"/>
      <c r="N831" s="60"/>
      <c r="O831" s="60"/>
      <c r="Z831" s="60"/>
      <c r="AA831" s="60"/>
      <c r="AL831" s="60"/>
      <c r="AM831" s="60"/>
      <c r="AX831" s="60"/>
      <c r="AY831" s="60"/>
      <c r="BJ831" s="60"/>
      <c r="BK831" s="60"/>
    </row>
    <row r="832" spans="2:63" ht="13.2">
      <c r="B832" s="60"/>
      <c r="C832" s="60"/>
      <c r="N832" s="60"/>
      <c r="O832" s="60"/>
      <c r="Z832" s="60"/>
      <c r="AA832" s="60"/>
      <c r="AL832" s="60"/>
      <c r="AM832" s="60"/>
      <c r="AX832" s="60"/>
      <c r="AY832" s="60"/>
      <c r="BJ832" s="60"/>
      <c r="BK832" s="60"/>
    </row>
    <row r="833" spans="2:63" ht="13.2">
      <c r="B833" s="60"/>
      <c r="C833" s="60"/>
      <c r="N833" s="60"/>
      <c r="O833" s="60"/>
      <c r="Z833" s="60"/>
      <c r="AA833" s="60"/>
      <c r="AL833" s="60"/>
      <c r="AM833" s="60"/>
      <c r="AX833" s="60"/>
      <c r="AY833" s="60"/>
      <c r="BJ833" s="60"/>
      <c r="BK833" s="60"/>
    </row>
    <row r="834" spans="2:63" ht="13.2">
      <c r="B834" s="60"/>
      <c r="C834" s="60"/>
      <c r="N834" s="60"/>
      <c r="O834" s="60"/>
      <c r="Z834" s="60"/>
      <c r="AA834" s="60"/>
      <c r="AL834" s="60"/>
      <c r="AM834" s="60"/>
      <c r="AX834" s="60"/>
      <c r="AY834" s="60"/>
      <c r="BJ834" s="60"/>
      <c r="BK834" s="60"/>
    </row>
    <row r="835" spans="2:63" ht="13.2">
      <c r="B835" s="60"/>
      <c r="C835" s="60"/>
      <c r="N835" s="60"/>
      <c r="O835" s="60"/>
      <c r="Z835" s="60"/>
      <c r="AA835" s="60"/>
      <c r="AL835" s="60"/>
      <c r="AM835" s="60"/>
      <c r="AX835" s="60"/>
      <c r="AY835" s="60"/>
      <c r="BJ835" s="60"/>
      <c r="BK835" s="60"/>
    </row>
    <row r="836" spans="2:63" ht="13.2">
      <c r="B836" s="60"/>
      <c r="C836" s="60"/>
      <c r="N836" s="60"/>
      <c r="O836" s="60"/>
      <c r="Z836" s="60"/>
      <c r="AA836" s="60"/>
      <c r="AL836" s="60"/>
      <c r="AM836" s="60"/>
      <c r="AX836" s="60"/>
      <c r="AY836" s="60"/>
      <c r="BJ836" s="60"/>
      <c r="BK836" s="60"/>
    </row>
    <row r="837" spans="2:63" ht="13.2">
      <c r="B837" s="60"/>
      <c r="C837" s="60"/>
      <c r="N837" s="60"/>
      <c r="O837" s="60"/>
      <c r="Z837" s="60"/>
      <c r="AA837" s="60"/>
      <c r="AL837" s="60"/>
      <c r="AM837" s="60"/>
      <c r="AX837" s="60"/>
      <c r="AY837" s="60"/>
      <c r="BJ837" s="60"/>
      <c r="BK837" s="60"/>
    </row>
    <row r="838" spans="2:63" ht="13.2">
      <c r="B838" s="60"/>
      <c r="C838" s="60"/>
      <c r="N838" s="60"/>
      <c r="O838" s="60"/>
      <c r="Z838" s="60"/>
      <c r="AA838" s="60"/>
      <c r="AL838" s="60"/>
      <c r="AM838" s="60"/>
      <c r="AX838" s="60"/>
      <c r="AY838" s="60"/>
      <c r="BJ838" s="60"/>
      <c r="BK838" s="60"/>
    </row>
    <row r="839" spans="2:63" ht="13.2">
      <c r="B839" s="60"/>
      <c r="C839" s="60"/>
      <c r="N839" s="60"/>
      <c r="O839" s="60"/>
      <c r="Z839" s="60"/>
      <c r="AA839" s="60"/>
      <c r="AL839" s="60"/>
      <c r="AM839" s="60"/>
      <c r="AX839" s="60"/>
      <c r="AY839" s="60"/>
      <c r="BJ839" s="60"/>
      <c r="BK839" s="60"/>
    </row>
    <row r="840" spans="2:63" ht="13.2">
      <c r="B840" s="60"/>
      <c r="C840" s="60"/>
      <c r="N840" s="60"/>
      <c r="O840" s="60"/>
      <c r="Z840" s="60"/>
      <c r="AA840" s="60"/>
      <c r="AL840" s="60"/>
      <c r="AM840" s="60"/>
      <c r="AX840" s="60"/>
      <c r="AY840" s="60"/>
      <c r="BJ840" s="60"/>
      <c r="BK840" s="60"/>
    </row>
    <row r="841" spans="2:63" ht="13.2">
      <c r="B841" s="60"/>
      <c r="C841" s="60"/>
      <c r="N841" s="60"/>
      <c r="O841" s="60"/>
      <c r="Z841" s="60"/>
      <c r="AA841" s="60"/>
      <c r="AL841" s="60"/>
      <c r="AM841" s="60"/>
      <c r="AX841" s="60"/>
      <c r="AY841" s="60"/>
      <c r="BJ841" s="60"/>
      <c r="BK841" s="60"/>
    </row>
    <row r="842" spans="2:63" ht="13.2">
      <c r="B842" s="60"/>
      <c r="C842" s="60"/>
      <c r="N842" s="60"/>
      <c r="O842" s="60"/>
      <c r="Z842" s="60"/>
      <c r="AA842" s="60"/>
      <c r="AL842" s="60"/>
      <c r="AM842" s="60"/>
      <c r="AX842" s="60"/>
      <c r="AY842" s="60"/>
      <c r="BJ842" s="60"/>
      <c r="BK842" s="60"/>
    </row>
    <row r="843" spans="2:63" ht="13.2">
      <c r="B843" s="60"/>
      <c r="C843" s="60"/>
      <c r="N843" s="60"/>
      <c r="O843" s="60"/>
      <c r="Z843" s="60"/>
      <c r="AA843" s="60"/>
      <c r="AL843" s="60"/>
      <c r="AM843" s="60"/>
      <c r="AX843" s="60"/>
      <c r="AY843" s="60"/>
      <c r="BJ843" s="60"/>
      <c r="BK843" s="60"/>
    </row>
    <row r="844" spans="2:63" ht="13.2">
      <c r="B844" s="60"/>
      <c r="C844" s="60"/>
      <c r="N844" s="60"/>
      <c r="O844" s="60"/>
      <c r="Z844" s="60"/>
      <c r="AA844" s="60"/>
      <c r="AL844" s="60"/>
      <c r="AM844" s="60"/>
      <c r="AX844" s="60"/>
      <c r="AY844" s="60"/>
      <c r="BJ844" s="60"/>
      <c r="BK844" s="60"/>
    </row>
    <row r="845" spans="2:63" ht="13.2">
      <c r="B845" s="60"/>
      <c r="C845" s="60"/>
      <c r="N845" s="60"/>
      <c r="O845" s="60"/>
      <c r="Z845" s="60"/>
      <c r="AA845" s="60"/>
      <c r="AL845" s="60"/>
      <c r="AM845" s="60"/>
      <c r="AX845" s="60"/>
      <c r="AY845" s="60"/>
      <c r="BJ845" s="60"/>
      <c r="BK845" s="60"/>
    </row>
    <row r="846" spans="2:63" ht="13.2">
      <c r="B846" s="60"/>
      <c r="C846" s="60"/>
      <c r="N846" s="60"/>
      <c r="O846" s="60"/>
      <c r="Z846" s="60"/>
      <c r="AA846" s="60"/>
      <c r="AL846" s="60"/>
      <c r="AM846" s="60"/>
      <c r="AX846" s="60"/>
      <c r="AY846" s="60"/>
      <c r="BJ846" s="60"/>
      <c r="BK846" s="60"/>
    </row>
    <row r="847" spans="2:63" ht="13.2">
      <c r="B847" s="60"/>
      <c r="C847" s="60"/>
      <c r="N847" s="60"/>
      <c r="O847" s="60"/>
      <c r="Z847" s="60"/>
      <c r="AA847" s="60"/>
      <c r="AL847" s="60"/>
      <c r="AM847" s="60"/>
      <c r="AX847" s="60"/>
      <c r="AY847" s="60"/>
      <c r="BJ847" s="60"/>
      <c r="BK847" s="60"/>
    </row>
    <row r="848" spans="2:63" ht="13.2">
      <c r="B848" s="60"/>
      <c r="C848" s="60"/>
      <c r="N848" s="60"/>
      <c r="O848" s="60"/>
      <c r="Z848" s="60"/>
      <c r="AA848" s="60"/>
      <c r="AL848" s="60"/>
      <c r="AM848" s="60"/>
      <c r="AX848" s="60"/>
      <c r="AY848" s="60"/>
      <c r="BJ848" s="60"/>
      <c r="BK848" s="60"/>
    </row>
    <row r="849" spans="2:63" ht="13.2">
      <c r="B849" s="60"/>
      <c r="C849" s="60"/>
      <c r="N849" s="60"/>
      <c r="O849" s="60"/>
      <c r="Z849" s="60"/>
      <c r="AA849" s="60"/>
      <c r="AL849" s="60"/>
      <c r="AM849" s="60"/>
      <c r="AX849" s="60"/>
      <c r="AY849" s="60"/>
      <c r="BJ849" s="60"/>
      <c r="BK849" s="60"/>
    </row>
    <row r="850" spans="2:63" ht="13.2">
      <c r="B850" s="60"/>
      <c r="C850" s="60"/>
      <c r="N850" s="60"/>
      <c r="O850" s="60"/>
      <c r="Z850" s="60"/>
      <c r="AA850" s="60"/>
      <c r="AL850" s="60"/>
      <c r="AM850" s="60"/>
      <c r="AX850" s="60"/>
      <c r="AY850" s="60"/>
      <c r="BJ850" s="60"/>
      <c r="BK850" s="60"/>
    </row>
    <row r="851" spans="2:63" ht="13.2">
      <c r="B851" s="60"/>
      <c r="C851" s="60"/>
      <c r="N851" s="60"/>
      <c r="O851" s="60"/>
      <c r="Z851" s="60"/>
      <c r="AA851" s="60"/>
      <c r="AL851" s="60"/>
      <c r="AM851" s="60"/>
      <c r="AX851" s="60"/>
      <c r="AY851" s="60"/>
      <c r="BJ851" s="60"/>
      <c r="BK851" s="60"/>
    </row>
    <row r="852" spans="2:63" ht="13.2">
      <c r="B852" s="60"/>
      <c r="C852" s="60"/>
      <c r="N852" s="60"/>
      <c r="O852" s="60"/>
      <c r="Z852" s="60"/>
      <c r="AA852" s="60"/>
      <c r="AL852" s="60"/>
      <c r="AM852" s="60"/>
      <c r="AX852" s="60"/>
      <c r="AY852" s="60"/>
      <c r="BJ852" s="60"/>
      <c r="BK852" s="60"/>
    </row>
    <row r="853" spans="2:63" ht="13.2">
      <c r="B853" s="60"/>
      <c r="C853" s="60"/>
      <c r="N853" s="60"/>
      <c r="O853" s="60"/>
      <c r="Z853" s="60"/>
      <c r="AA853" s="60"/>
      <c r="AL853" s="60"/>
      <c r="AM853" s="60"/>
      <c r="AX853" s="60"/>
      <c r="AY853" s="60"/>
      <c r="BJ853" s="60"/>
      <c r="BK853" s="60"/>
    </row>
    <row r="854" spans="2:63" ht="13.2">
      <c r="B854" s="60"/>
      <c r="C854" s="60"/>
      <c r="N854" s="60"/>
      <c r="O854" s="60"/>
      <c r="Z854" s="60"/>
      <c r="AA854" s="60"/>
      <c r="AL854" s="60"/>
      <c r="AM854" s="60"/>
      <c r="AX854" s="60"/>
      <c r="AY854" s="60"/>
      <c r="BJ854" s="60"/>
      <c r="BK854" s="60"/>
    </row>
    <row r="855" spans="2:63" ht="13.2">
      <c r="B855" s="60"/>
      <c r="C855" s="60"/>
      <c r="N855" s="60"/>
      <c r="O855" s="60"/>
      <c r="Z855" s="60"/>
      <c r="AA855" s="60"/>
      <c r="AL855" s="60"/>
      <c r="AM855" s="60"/>
      <c r="AX855" s="60"/>
      <c r="AY855" s="60"/>
      <c r="BJ855" s="60"/>
      <c r="BK855" s="60"/>
    </row>
    <row r="856" spans="2:63" ht="13.2">
      <c r="B856" s="60"/>
      <c r="C856" s="60"/>
      <c r="N856" s="60"/>
      <c r="O856" s="60"/>
      <c r="Z856" s="60"/>
      <c r="AA856" s="60"/>
      <c r="AL856" s="60"/>
      <c r="AM856" s="60"/>
      <c r="AX856" s="60"/>
      <c r="AY856" s="60"/>
      <c r="BJ856" s="60"/>
      <c r="BK856" s="60"/>
    </row>
    <row r="857" spans="2:63" ht="13.2">
      <c r="B857" s="60"/>
      <c r="C857" s="60"/>
      <c r="N857" s="60"/>
      <c r="O857" s="60"/>
      <c r="Z857" s="60"/>
      <c r="AA857" s="60"/>
      <c r="AL857" s="60"/>
      <c r="AM857" s="60"/>
      <c r="AX857" s="60"/>
      <c r="AY857" s="60"/>
      <c r="BJ857" s="60"/>
      <c r="BK857" s="60"/>
    </row>
    <row r="858" spans="2:63" ht="13.2">
      <c r="B858" s="60"/>
      <c r="C858" s="60"/>
      <c r="N858" s="60"/>
      <c r="O858" s="60"/>
      <c r="Z858" s="60"/>
      <c r="AA858" s="60"/>
      <c r="AL858" s="60"/>
      <c r="AM858" s="60"/>
      <c r="AX858" s="60"/>
      <c r="AY858" s="60"/>
      <c r="BJ858" s="60"/>
      <c r="BK858" s="60"/>
    </row>
    <row r="859" spans="2:63" ht="13.2">
      <c r="B859" s="60"/>
      <c r="C859" s="60"/>
      <c r="N859" s="60"/>
      <c r="O859" s="60"/>
      <c r="Z859" s="60"/>
      <c r="AA859" s="60"/>
      <c r="AL859" s="60"/>
      <c r="AM859" s="60"/>
      <c r="AX859" s="60"/>
      <c r="AY859" s="60"/>
      <c r="BJ859" s="60"/>
      <c r="BK859" s="60"/>
    </row>
    <row r="860" spans="2:63" ht="13.2">
      <c r="B860" s="60"/>
      <c r="C860" s="60"/>
      <c r="N860" s="60"/>
      <c r="O860" s="60"/>
      <c r="Z860" s="60"/>
      <c r="AA860" s="60"/>
      <c r="AL860" s="60"/>
      <c r="AM860" s="60"/>
      <c r="AX860" s="60"/>
      <c r="AY860" s="60"/>
      <c r="BJ860" s="60"/>
      <c r="BK860" s="60"/>
    </row>
    <row r="861" spans="2:63" ht="13.2">
      <c r="B861" s="60"/>
      <c r="C861" s="60"/>
      <c r="N861" s="60"/>
      <c r="O861" s="60"/>
      <c r="Z861" s="60"/>
      <c r="AA861" s="60"/>
      <c r="AL861" s="60"/>
      <c r="AM861" s="60"/>
      <c r="AX861" s="60"/>
      <c r="AY861" s="60"/>
      <c r="BJ861" s="60"/>
      <c r="BK861" s="60"/>
    </row>
    <row r="862" spans="2:63" ht="13.2">
      <c r="B862" s="60"/>
      <c r="C862" s="60"/>
      <c r="N862" s="60"/>
      <c r="O862" s="60"/>
      <c r="Z862" s="60"/>
      <c r="AA862" s="60"/>
      <c r="AL862" s="60"/>
      <c r="AM862" s="60"/>
      <c r="AX862" s="60"/>
      <c r="AY862" s="60"/>
      <c r="BJ862" s="60"/>
      <c r="BK862" s="60"/>
    </row>
    <row r="863" spans="2:63" ht="13.2">
      <c r="B863" s="60"/>
      <c r="C863" s="60"/>
      <c r="N863" s="60"/>
      <c r="O863" s="60"/>
      <c r="Z863" s="60"/>
      <c r="AA863" s="60"/>
      <c r="AL863" s="60"/>
      <c r="AM863" s="60"/>
      <c r="AX863" s="60"/>
      <c r="AY863" s="60"/>
      <c r="BJ863" s="60"/>
      <c r="BK863" s="60"/>
    </row>
    <row r="864" spans="2:63" ht="13.2">
      <c r="B864" s="60"/>
      <c r="C864" s="60"/>
      <c r="N864" s="60"/>
      <c r="O864" s="60"/>
      <c r="Z864" s="60"/>
      <c r="AA864" s="60"/>
      <c r="AL864" s="60"/>
      <c r="AM864" s="60"/>
      <c r="AX864" s="60"/>
      <c r="AY864" s="60"/>
      <c r="BJ864" s="60"/>
      <c r="BK864" s="60"/>
    </row>
    <row r="865" spans="2:63" ht="13.2">
      <c r="B865" s="60"/>
      <c r="C865" s="60"/>
      <c r="N865" s="60"/>
      <c r="O865" s="60"/>
      <c r="Z865" s="60"/>
      <c r="AA865" s="60"/>
      <c r="AL865" s="60"/>
      <c r="AM865" s="60"/>
      <c r="AX865" s="60"/>
      <c r="AY865" s="60"/>
      <c r="BJ865" s="60"/>
      <c r="BK865" s="60"/>
    </row>
    <row r="866" spans="2:63" ht="13.2">
      <c r="B866" s="60"/>
      <c r="C866" s="60"/>
      <c r="N866" s="60"/>
      <c r="O866" s="60"/>
      <c r="Z866" s="60"/>
      <c r="AA866" s="60"/>
      <c r="AL866" s="60"/>
      <c r="AM866" s="60"/>
      <c r="AX866" s="60"/>
      <c r="AY866" s="60"/>
      <c r="BJ866" s="60"/>
      <c r="BK866" s="60"/>
    </row>
    <row r="867" spans="2:63" ht="13.2">
      <c r="B867" s="60"/>
      <c r="C867" s="60"/>
      <c r="N867" s="60"/>
      <c r="O867" s="60"/>
      <c r="Z867" s="60"/>
      <c r="AA867" s="60"/>
      <c r="AL867" s="60"/>
      <c r="AM867" s="60"/>
      <c r="AX867" s="60"/>
      <c r="AY867" s="60"/>
      <c r="BJ867" s="60"/>
      <c r="BK867" s="60"/>
    </row>
    <row r="868" spans="2:63" ht="13.2">
      <c r="B868" s="60"/>
      <c r="C868" s="60"/>
      <c r="N868" s="60"/>
      <c r="O868" s="60"/>
      <c r="Z868" s="60"/>
      <c r="AA868" s="60"/>
      <c r="AL868" s="60"/>
      <c r="AM868" s="60"/>
      <c r="AX868" s="60"/>
      <c r="AY868" s="60"/>
      <c r="BJ868" s="60"/>
      <c r="BK868" s="60"/>
    </row>
    <row r="869" spans="2:63" ht="13.2">
      <c r="B869" s="60"/>
      <c r="C869" s="60"/>
      <c r="N869" s="60"/>
      <c r="O869" s="60"/>
      <c r="Z869" s="60"/>
      <c r="AA869" s="60"/>
      <c r="AL869" s="60"/>
      <c r="AM869" s="60"/>
      <c r="AX869" s="60"/>
      <c r="AY869" s="60"/>
      <c r="BJ869" s="60"/>
      <c r="BK869" s="60"/>
    </row>
    <row r="870" spans="2:63" ht="13.2">
      <c r="B870" s="60"/>
      <c r="C870" s="60"/>
      <c r="N870" s="60"/>
      <c r="O870" s="60"/>
      <c r="Z870" s="60"/>
      <c r="AA870" s="60"/>
      <c r="AL870" s="60"/>
      <c r="AM870" s="60"/>
      <c r="AX870" s="60"/>
      <c r="AY870" s="60"/>
      <c r="BJ870" s="60"/>
      <c r="BK870" s="60"/>
    </row>
    <row r="871" spans="2:63" ht="13.2">
      <c r="B871" s="60"/>
      <c r="C871" s="60"/>
      <c r="N871" s="60"/>
      <c r="O871" s="60"/>
      <c r="Z871" s="60"/>
      <c r="AA871" s="60"/>
      <c r="AL871" s="60"/>
      <c r="AM871" s="60"/>
      <c r="AX871" s="60"/>
      <c r="AY871" s="60"/>
      <c r="BJ871" s="60"/>
      <c r="BK871" s="60"/>
    </row>
    <row r="872" spans="2:63" ht="13.2">
      <c r="B872" s="60"/>
      <c r="C872" s="60"/>
      <c r="N872" s="60"/>
      <c r="O872" s="60"/>
      <c r="Z872" s="60"/>
      <c r="AA872" s="60"/>
      <c r="AL872" s="60"/>
      <c r="AM872" s="60"/>
      <c r="AX872" s="60"/>
      <c r="AY872" s="60"/>
      <c r="BJ872" s="60"/>
      <c r="BK872" s="60"/>
    </row>
    <row r="873" spans="2:63" ht="13.2">
      <c r="B873" s="60"/>
      <c r="C873" s="60"/>
      <c r="N873" s="60"/>
      <c r="O873" s="60"/>
      <c r="Z873" s="60"/>
      <c r="AA873" s="60"/>
      <c r="AL873" s="60"/>
      <c r="AM873" s="60"/>
      <c r="AX873" s="60"/>
      <c r="AY873" s="60"/>
      <c r="BJ873" s="60"/>
      <c r="BK873" s="60"/>
    </row>
    <row r="874" spans="2:63" ht="13.2">
      <c r="B874" s="60"/>
      <c r="C874" s="60"/>
      <c r="N874" s="60"/>
      <c r="O874" s="60"/>
      <c r="Z874" s="60"/>
      <c r="AA874" s="60"/>
      <c r="AL874" s="60"/>
      <c r="AM874" s="60"/>
      <c r="AX874" s="60"/>
      <c r="AY874" s="60"/>
      <c r="BJ874" s="60"/>
      <c r="BK874" s="60"/>
    </row>
    <row r="875" spans="2:63" ht="13.2">
      <c r="B875" s="60"/>
      <c r="C875" s="60"/>
      <c r="N875" s="60"/>
      <c r="O875" s="60"/>
      <c r="Z875" s="60"/>
      <c r="AA875" s="60"/>
      <c r="AL875" s="60"/>
      <c r="AM875" s="60"/>
      <c r="AX875" s="60"/>
      <c r="AY875" s="60"/>
      <c r="BJ875" s="60"/>
      <c r="BK875" s="60"/>
    </row>
    <row r="876" spans="2:63" ht="13.2">
      <c r="B876" s="60"/>
      <c r="C876" s="60"/>
      <c r="N876" s="60"/>
      <c r="O876" s="60"/>
      <c r="Z876" s="60"/>
      <c r="AA876" s="60"/>
      <c r="AL876" s="60"/>
      <c r="AM876" s="60"/>
      <c r="AX876" s="60"/>
      <c r="AY876" s="60"/>
      <c r="BJ876" s="60"/>
      <c r="BK876" s="60"/>
    </row>
    <row r="877" spans="2:63" ht="13.2">
      <c r="B877" s="60"/>
      <c r="C877" s="60"/>
      <c r="N877" s="60"/>
      <c r="O877" s="60"/>
      <c r="Z877" s="60"/>
      <c r="AA877" s="60"/>
      <c r="AL877" s="60"/>
      <c r="AM877" s="60"/>
      <c r="AX877" s="60"/>
      <c r="AY877" s="60"/>
      <c r="BJ877" s="60"/>
      <c r="BK877" s="60"/>
    </row>
    <row r="878" spans="2:63" ht="13.2">
      <c r="B878" s="60"/>
      <c r="C878" s="60"/>
      <c r="N878" s="60"/>
      <c r="O878" s="60"/>
      <c r="Z878" s="60"/>
      <c r="AA878" s="60"/>
      <c r="AL878" s="60"/>
      <c r="AM878" s="60"/>
      <c r="AX878" s="60"/>
      <c r="AY878" s="60"/>
      <c r="BJ878" s="60"/>
      <c r="BK878" s="60"/>
    </row>
    <row r="879" spans="2:63" ht="13.2">
      <c r="B879" s="60"/>
      <c r="C879" s="60"/>
      <c r="N879" s="60"/>
      <c r="O879" s="60"/>
      <c r="Z879" s="60"/>
      <c r="AA879" s="60"/>
      <c r="AL879" s="60"/>
      <c r="AM879" s="60"/>
      <c r="AX879" s="60"/>
      <c r="AY879" s="60"/>
      <c r="BJ879" s="60"/>
      <c r="BK879" s="60"/>
    </row>
    <row r="880" spans="2:63" ht="13.2">
      <c r="B880" s="60"/>
      <c r="C880" s="60"/>
      <c r="N880" s="60"/>
      <c r="O880" s="60"/>
      <c r="Z880" s="60"/>
      <c r="AA880" s="60"/>
      <c r="AL880" s="60"/>
      <c r="AM880" s="60"/>
      <c r="AX880" s="60"/>
      <c r="AY880" s="60"/>
      <c r="BJ880" s="60"/>
      <c r="BK880" s="60"/>
    </row>
    <row r="881" spans="2:63" ht="13.2">
      <c r="B881" s="60"/>
      <c r="C881" s="60"/>
      <c r="N881" s="60"/>
      <c r="O881" s="60"/>
      <c r="Z881" s="60"/>
      <c r="AA881" s="60"/>
      <c r="AL881" s="60"/>
      <c r="AM881" s="60"/>
      <c r="AX881" s="60"/>
      <c r="AY881" s="60"/>
      <c r="BJ881" s="60"/>
      <c r="BK881" s="60"/>
    </row>
    <row r="882" spans="2:63" ht="13.2">
      <c r="B882" s="60"/>
      <c r="C882" s="60"/>
      <c r="N882" s="60"/>
      <c r="O882" s="60"/>
      <c r="Z882" s="60"/>
      <c r="AA882" s="60"/>
      <c r="AL882" s="60"/>
      <c r="AM882" s="60"/>
      <c r="AX882" s="60"/>
      <c r="AY882" s="60"/>
      <c r="BJ882" s="60"/>
      <c r="BK882" s="60"/>
    </row>
    <row r="883" spans="2:63" ht="13.2">
      <c r="B883" s="60"/>
      <c r="C883" s="60"/>
      <c r="N883" s="60"/>
      <c r="O883" s="60"/>
      <c r="Z883" s="60"/>
      <c r="AA883" s="60"/>
      <c r="AL883" s="60"/>
      <c r="AM883" s="60"/>
      <c r="AX883" s="60"/>
      <c r="AY883" s="60"/>
      <c r="BJ883" s="60"/>
      <c r="BK883" s="60"/>
    </row>
    <row r="884" spans="2:63" ht="13.2">
      <c r="B884" s="60"/>
      <c r="C884" s="60"/>
      <c r="N884" s="60"/>
      <c r="O884" s="60"/>
      <c r="Z884" s="60"/>
      <c r="AA884" s="60"/>
      <c r="AL884" s="60"/>
      <c r="AM884" s="60"/>
      <c r="AX884" s="60"/>
      <c r="AY884" s="60"/>
      <c r="BJ884" s="60"/>
      <c r="BK884" s="60"/>
    </row>
    <row r="885" spans="2:63" ht="13.2">
      <c r="B885" s="60"/>
      <c r="C885" s="60"/>
      <c r="N885" s="60"/>
      <c r="O885" s="60"/>
      <c r="Z885" s="60"/>
      <c r="AA885" s="60"/>
      <c r="AL885" s="60"/>
      <c r="AM885" s="60"/>
      <c r="AX885" s="60"/>
      <c r="AY885" s="60"/>
      <c r="BJ885" s="60"/>
      <c r="BK885" s="60"/>
    </row>
    <row r="886" spans="2:63" ht="13.2">
      <c r="B886" s="60"/>
      <c r="C886" s="60"/>
      <c r="N886" s="60"/>
      <c r="O886" s="60"/>
      <c r="Z886" s="60"/>
      <c r="AA886" s="60"/>
      <c r="AL886" s="60"/>
      <c r="AM886" s="60"/>
      <c r="AX886" s="60"/>
      <c r="AY886" s="60"/>
      <c r="BJ886" s="60"/>
      <c r="BK886" s="60"/>
    </row>
    <row r="887" spans="2:63" ht="13.2">
      <c r="B887" s="60"/>
      <c r="C887" s="60"/>
      <c r="N887" s="60"/>
      <c r="O887" s="60"/>
      <c r="Z887" s="60"/>
      <c r="AA887" s="60"/>
      <c r="AL887" s="60"/>
      <c r="AM887" s="60"/>
      <c r="AX887" s="60"/>
      <c r="AY887" s="60"/>
      <c r="BJ887" s="60"/>
      <c r="BK887" s="60"/>
    </row>
    <row r="888" spans="2:63" ht="13.2">
      <c r="B888" s="60"/>
      <c r="C888" s="60"/>
      <c r="N888" s="60"/>
      <c r="O888" s="60"/>
      <c r="Z888" s="60"/>
      <c r="AA888" s="60"/>
      <c r="AL888" s="60"/>
      <c r="AM888" s="60"/>
      <c r="AX888" s="60"/>
      <c r="AY888" s="60"/>
      <c r="BJ888" s="60"/>
      <c r="BK888" s="60"/>
    </row>
    <row r="889" spans="2:63" ht="13.2">
      <c r="B889" s="60"/>
      <c r="C889" s="60"/>
      <c r="N889" s="60"/>
      <c r="O889" s="60"/>
      <c r="Z889" s="60"/>
      <c r="AA889" s="60"/>
      <c r="AL889" s="60"/>
      <c r="AM889" s="60"/>
      <c r="AX889" s="60"/>
      <c r="AY889" s="60"/>
      <c r="BJ889" s="60"/>
      <c r="BK889" s="60"/>
    </row>
    <row r="890" spans="2:63" ht="13.2">
      <c r="B890" s="60"/>
      <c r="C890" s="60"/>
      <c r="N890" s="60"/>
      <c r="O890" s="60"/>
      <c r="Z890" s="60"/>
      <c r="AA890" s="60"/>
      <c r="AL890" s="60"/>
      <c r="AM890" s="60"/>
      <c r="AX890" s="60"/>
      <c r="AY890" s="60"/>
      <c r="BJ890" s="60"/>
      <c r="BK890" s="60"/>
    </row>
    <row r="891" spans="2:63" ht="13.2">
      <c r="B891" s="60"/>
      <c r="C891" s="60"/>
      <c r="N891" s="60"/>
      <c r="O891" s="60"/>
      <c r="Z891" s="60"/>
      <c r="AA891" s="60"/>
      <c r="AL891" s="60"/>
      <c r="AM891" s="60"/>
      <c r="AX891" s="60"/>
      <c r="AY891" s="60"/>
      <c r="BJ891" s="60"/>
      <c r="BK891" s="60"/>
    </row>
    <row r="892" spans="2:63" ht="13.2">
      <c r="B892" s="60"/>
      <c r="C892" s="60"/>
      <c r="N892" s="60"/>
      <c r="O892" s="60"/>
      <c r="Z892" s="60"/>
      <c r="AA892" s="60"/>
      <c r="AL892" s="60"/>
      <c r="AM892" s="60"/>
      <c r="AX892" s="60"/>
      <c r="AY892" s="60"/>
      <c r="BJ892" s="60"/>
      <c r="BK892" s="60"/>
    </row>
    <row r="893" spans="2:63" ht="13.2">
      <c r="B893" s="60"/>
      <c r="C893" s="60"/>
      <c r="N893" s="60"/>
      <c r="O893" s="60"/>
      <c r="Z893" s="60"/>
      <c r="AA893" s="60"/>
      <c r="AL893" s="60"/>
      <c r="AM893" s="60"/>
      <c r="AX893" s="60"/>
      <c r="AY893" s="60"/>
      <c r="BJ893" s="60"/>
      <c r="BK893" s="60"/>
    </row>
    <row r="894" spans="2:63" ht="13.2">
      <c r="B894" s="60"/>
      <c r="C894" s="60"/>
      <c r="N894" s="60"/>
      <c r="O894" s="60"/>
      <c r="Z894" s="60"/>
      <c r="AA894" s="60"/>
      <c r="AL894" s="60"/>
      <c r="AM894" s="60"/>
      <c r="AX894" s="60"/>
      <c r="AY894" s="60"/>
      <c r="BJ894" s="60"/>
      <c r="BK894" s="60"/>
    </row>
    <row r="895" spans="2:63" ht="13.2">
      <c r="B895" s="60"/>
      <c r="C895" s="60"/>
      <c r="N895" s="60"/>
      <c r="O895" s="60"/>
      <c r="Z895" s="60"/>
      <c r="AA895" s="60"/>
      <c r="AL895" s="60"/>
      <c r="AM895" s="60"/>
      <c r="AX895" s="60"/>
      <c r="AY895" s="60"/>
      <c r="BJ895" s="60"/>
      <c r="BK895" s="60"/>
    </row>
    <row r="896" spans="2:63" ht="13.2">
      <c r="B896" s="60"/>
      <c r="C896" s="60"/>
      <c r="N896" s="60"/>
      <c r="O896" s="60"/>
      <c r="Z896" s="60"/>
      <c r="AA896" s="60"/>
      <c r="AL896" s="60"/>
      <c r="AM896" s="60"/>
      <c r="AX896" s="60"/>
      <c r="AY896" s="60"/>
      <c r="BJ896" s="60"/>
      <c r="BK896" s="60"/>
    </row>
    <row r="897" spans="2:63" ht="13.2">
      <c r="B897" s="60"/>
      <c r="C897" s="60"/>
      <c r="N897" s="60"/>
      <c r="O897" s="60"/>
      <c r="Z897" s="60"/>
      <c r="AA897" s="60"/>
      <c r="AL897" s="60"/>
      <c r="AM897" s="60"/>
      <c r="AX897" s="60"/>
      <c r="AY897" s="60"/>
      <c r="BJ897" s="60"/>
      <c r="BK897" s="60"/>
    </row>
    <row r="898" spans="2:63" ht="13.2">
      <c r="B898" s="60"/>
      <c r="C898" s="60"/>
      <c r="N898" s="60"/>
      <c r="O898" s="60"/>
      <c r="Z898" s="60"/>
      <c r="AA898" s="60"/>
      <c r="AL898" s="60"/>
      <c r="AM898" s="60"/>
      <c r="AX898" s="60"/>
      <c r="AY898" s="60"/>
      <c r="BJ898" s="60"/>
      <c r="BK898" s="60"/>
    </row>
    <row r="899" spans="2:63" ht="13.2">
      <c r="B899" s="60"/>
      <c r="C899" s="60"/>
      <c r="N899" s="60"/>
      <c r="O899" s="60"/>
      <c r="Z899" s="60"/>
      <c r="AA899" s="60"/>
      <c r="AL899" s="60"/>
      <c r="AM899" s="60"/>
      <c r="AX899" s="60"/>
      <c r="AY899" s="60"/>
      <c r="BJ899" s="60"/>
      <c r="BK899" s="60"/>
    </row>
    <row r="900" spans="2:63" ht="13.2">
      <c r="B900" s="60"/>
      <c r="C900" s="60"/>
      <c r="N900" s="60"/>
      <c r="O900" s="60"/>
      <c r="Z900" s="60"/>
      <c r="AA900" s="60"/>
      <c r="AL900" s="60"/>
      <c r="AM900" s="60"/>
      <c r="AX900" s="60"/>
      <c r="AY900" s="60"/>
      <c r="BJ900" s="60"/>
      <c r="BK900" s="60"/>
    </row>
    <row r="901" spans="2:63" ht="13.2">
      <c r="B901" s="60"/>
      <c r="C901" s="60"/>
      <c r="N901" s="60"/>
      <c r="O901" s="60"/>
      <c r="Z901" s="60"/>
      <c r="AA901" s="60"/>
      <c r="AL901" s="60"/>
      <c r="AM901" s="60"/>
      <c r="AX901" s="60"/>
      <c r="AY901" s="60"/>
      <c r="BJ901" s="60"/>
      <c r="BK901" s="60"/>
    </row>
    <row r="902" spans="2:63" ht="13.2">
      <c r="B902" s="60"/>
      <c r="C902" s="60"/>
      <c r="N902" s="60"/>
      <c r="O902" s="60"/>
      <c r="Z902" s="60"/>
      <c r="AA902" s="60"/>
      <c r="AL902" s="60"/>
      <c r="AM902" s="60"/>
      <c r="AX902" s="60"/>
      <c r="AY902" s="60"/>
      <c r="BJ902" s="60"/>
      <c r="BK902" s="60"/>
    </row>
    <row r="903" spans="2:63" ht="13.2">
      <c r="B903" s="60"/>
      <c r="C903" s="60"/>
      <c r="N903" s="60"/>
      <c r="O903" s="60"/>
      <c r="Z903" s="60"/>
      <c r="AA903" s="60"/>
      <c r="AL903" s="60"/>
      <c r="AM903" s="60"/>
      <c r="AX903" s="60"/>
      <c r="AY903" s="60"/>
      <c r="BJ903" s="60"/>
      <c r="BK903" s="60"/>
    </row>
    <row r="904" spans="2:63" ht="13.2">
      <c r="B904" s="60"/>
      <c r="C904" s="60"/>
      <c r="N904" s="60"/>
      <c r="O904" s="60"/>
      <c r="Z904" s="60"/>
      <c r="AA904" s="60"/>
      <c r="AL904" s="60"/>
      <c r="AM904" s="60"/>
      <c r="AX904" s="60"/>
      <c r="AY904" s="60"/>
      <c r="BJ904" s="60"/>
      <c r="BK904" s="60"/>
    </row>
    <row r="905" spans="2:63" ht="13.2">
      <c r="B905" s="60"/>
      <c r="C905" s="60"/>
      <c r="N905" s="60"/>
      <c r="O905" s="60"/>
      <c r="Z905" s="60"/>
      <c r="AA905" s="60"/>
      <c r="AL905" s="60"/>
      <c r="AM905" s="60"/>
      <c r="AX905" s="60"/>
      <c r="AY905" s="60"/>
      <c r="BJ905" s="60"/>
      <c r="BK905" s="60"/>
    </row>
    <row r="906" spans="2:63" ht="13.2">
      <c r="B906" s="60"/>
      <c r="C906" s="60"/>
      <c r="N906" s="60"/>
      <c r="O906" s="60"/>
      <c r="Z906" s="60"/>
      <c r="AA906" s="60"/>
      <c r="AL906" s="60"/>
      <c r="AM906" s="60"/>
      <c r="AX906" s="60"/>
      <c r="AY906" s="60"/>
      <c r="BJ906" s="60"/>
      <c r="BK906" s="60"/>
    </row>
    <row r="907" spans="2:63" ht="13.2">
      <c r="B907" s="60"/>
      <c r="C907" s="60"/>
      <c r="N907" s="60"/>
      <c r="O907" s="60"/>
      <c r="Z907" s="60"/>
      <c r="AA907" s="60"/>
      <c r="AL907" s="60"/>
      <c r="AM907" s="60"/>
      <c r="AX907" s="60"/>
      <c r="AY907" s="60"/>
      <c r="BJ907" s="60"/>
      <c r="BK907" s="60"/>
    </row>
    <row r="908" spans="2:63" ht="13.2">
      <c r="B908" s="60"/>
      <c r="C908" s="60"/>
      <c r="N908" s="60"/>
      <c r="O908" s="60"/>
      <c r="Z908" s="60"/>
      <c r="AA908" s="60"/>
      <c r="AL908" s="60"/>
      <c r="AM908" s="60"/>
      <c r="AX908" s="60"/>
      <c r="AY908" s="60"/>
      <c r="BJ908" s="60"/>
      <c r="BK908" s="60"/>
    </row>
    <row r="909" spans="2:63" ht="13.2">
      <c r="B909" s="60"/>
      <c r="C909" s="60"/>
      <c r="N909" s="60"/>
      <c r="O909" s="60"/>
      <c r="Z909" s="60"/>
      <c r="AA909" s="60"/>
      <c r="AL909" s="60"/>
      <c r="AM909" s="60"/>
      <c r="AX909" s="60"/>
      <c r="AY909" s="60"/>
      <c r="BJ909" s="60"/>
      <c r="BK909" s="60"/>
    </row>
    <row r="910" spans="2:63" ht="13.2">
      <c r="B910" s="60"/>
      <c r="C910" s="60"/>
      <c r="N910" s="60"/>
      <c r="O910" s="60"/>
      <c r="Z910" s="60"/>
      <c r="AA910" s="60"/>
      <c r="AL910" s="60"/>
      <c r="AM910" s="60"/>
      <c r="AX910" s="60"/>
      <c r="AY910" s="60"/>
      <c r="BJ910" s="60"/>
      <c r="BK910" s="60"/>
    </row>
    <row r="911" spans="2:63" ht="13.2">
      <c r="B911" s="60"/>
      <c r="C911" s="60"/>
      <c r="N911" s="60"/>
      <c r="O911" s="60"/>
      <c r="Z911" s="60"/>
      <c r="AA911" s="60"/>
      <c r="AL911" s="60"/>
      <c r="AM911" s="60"/>
      <c r="AX911" s="60"/>
      <c r="AY911" s="60"/>
      <c r="BJ911" s="60"/>
      <c r="BK911" s="60"/>
    </row>
    <row r="912" spans="2:63" ht="13.2">
      <c r="B912" s="60"/>
      <c r="C912" s="60"/>
      <c r="N912" s="60"/>
      <c r="O912" s="60"/>
      <c r="Z912" s="60"/>
      <c r="AA912" s="60"/>
      <c r="AL912" s="60"/>
      <c r="AM912" s="60"/>
      <c r="AX912" s="60"/>
      <c r="AY912" s="60"/>
      <c r="BJ912" s="60"/>
      <c r="BK912" s="60"/>
    </row>
    <row r="913" spans="2:63" ht="13.2">
      <c r="B913" s="60"/>
      <c r="C913" s="60"/>
      <c r="N913" s="60"/>
      <c r="O913" s="60"/>
      <c r="Z913" s="60"/>
      <c r="AA913" s="60"/>
      <c r="AL913" s="60"/>
      <c r="AM913" s="60"/>
      <c r="AX913" s="60"/>
      <c r="AY913" s="60"/>
      <c r="BJ913" s="60"/>
      <c r="BK913" s="60"/>
    </row>
    <row r="914" spans="2:63" ht="13.2">
      <c r="B914" s="60"/>
      <c r="C914" s="60"/>
      <c r="N914" s="60"/>
      <c r="O914" s="60"/>
      <c r="Z914" s="60"/>
      <c r="AA914" s="60"/>
      <c r="AL914" s="60"/>
      <c r="AM914" s="60"/>
      <c r="AX914" s="60"/>
      <c r="AY914" s="60"/>
      <c r="BJ914" s="60"/>
      <c r="BK914" s="60"/>
    </row>
    <row r="915" spans="2:63" ht="13.2">
      <c r="B915" s="60"/>
      <c r="C915" s="60"/>
      <c r="N915" s="60"/>
      <c r="O915" s="60"/>
      <c r="Z915" s="60"/>
      <c r="AA915" s="60"/>
      <c r="AL915" s="60"/>
      <c r="AM915" s="60"/>
      <c r="AX915" s="60"/>
      <c r="AY915" s="60"/>
      <c r="BJ915" s="60"/>
      <c r="BK915" s="60"/>
    </row>
    <row r="916" spans="2:63" ht="13.2">
      <c r="B916" s="60"/>
      <c r="C916" s="60"/>
      <c r="N916" s="60"/>
      <c r="O916" s="60"/>
      <c r="Z916" s="60"/>
      <c r="AA916" s="60"/>
      <c r="AL916" s="60"/>
      <c r="AM916" s="60"/>
      <c r="AX916" s="60"/>
      <c r="AY916" s="60"/>
      <c r="BJ916" s="60"/>
      <c r="BK916" s="60"/>
    </row>
    <row r="917" spans="2:63" ht="13.2">
      <c r="B917" s="60"/>
      <c r="C917" s="60"/>
      <c r="N917" s="60"/>
      <c r="O917" s="60"/>
      <c r="Z917" s="60"/>
      <c r="AA917" s="60"/>
      <c r="AL917" s="60"/>
      <c r="AM917" s="60"/>
      <c r="AX917" s="60"/>
      <c r="AY917" s="60"/>
      <c r="BJ917" s="60"/>
      <c r="BK917" s="60"/>
    </row>
    <row r="918" spans="2:63" ht="13.2">
      <c r="B918" s="60"/>
      <c r="C918" s="60"/>
      <c r="N918" s="60"/>
      <c r="O918" s="60"/>
      <c r="Z918" s="60"/>
      <c r="AA918" s="60"/>
      <c r="AL918" s="60"/>
      <c r="AM918" s="60"/>
      <c r="AX918" s="60"/>
      <c r="AY918" s="60"/>
      <c r="BJ918" s="60"/>
      <c r="BK918" s="60"/>
    </row>
    <row r="919" spans="2:63" ht="13.2">
      <c r="B919" s="60"/>
      <c r="C919" s="60"/>
      <c r="N919" s="60"/>
      <c r="O919" s="60"/>
      <c r="Z919" s="60"/>
      <c r="AA919" s="60"/>
      <c r="AL919" s="60"/>
      <c r="AM919" s="60"/>
      <c r="AX919" s="60"/>
      <c r="AY919" s="60"/>
      <c r="BJ919" s="60"/>
      <c r="BK919" s="60"/>
    </row>
    <row r="920" spans="2:63" ht="13.2">
      <c r="B920" s="60"/>
      <c r="C920" s="60"/>
      <c r="N920" s="60"/>
      <c r="O920" s="60"/>
      <c r="Z920" s="60"/>
      <c r="AA920" s="60"/>
      <c r="AL920" s="60"/>
      <c r="AM920" s="60"/>
      <c r="AX920" s="60"/>
      <c r="AY920" s="60"/>
      <c r="BJ920" s="60"/>
      <c r="BK920" s="60"/>
    </row>
    <row r="921" spans="2:63" ht="13.2">
      <c r="B921" s="60"/>
      <c r="C921" s="60"/>
      <c r="N921" s="60"/>
      <c r="O921" s="60"/>
      <c r="Z921" s="60"/>
      <c r="AA921" s="60"/>
      <c r="AL921" s="60"/>
      <c r="AM921" s="60"/>
      <c r="AX921" s="60"/>
      <c r="AY921" s="60"/>
      <c r="BJ921" s="60"/>
      <c r="BK921" s="60"/>
    </row>
    <row r="922" spans="2:63" ht="13.2">
      <c r="B922" s="60"/>
      <c r="C922" s="60"/>
      <c r="N922" s="60"/>
      <c r="O922" s="60"/>
      <c r="Z922" s="60"/>
      <c r="AA922" s="60"/>
      <c r="AL922" s="60"/>
      <c r="AM922" s="60"/>
      <c r="AX922" s="60"/>
      <c r="AY922" s="60"/>
      <c r="BJ922" s="60"/>
      <c r="BK922" s="60"/>
    </row>
    <row r="923" spans="2:63" ht="13.2">
      <c r="B923" s="60"/>
      <c r="C923" s="60"/>
      <c r="N923" s="60"/>
      <c r="O923" s="60"/>
      <c r="Z923" s="60"/>
      <c r="AA923" s="60"/>
      <c r="AL923" s="60"/>
      <c r="AM923" s="60"/>
      <c r="AX923" s="60"/>
      <c r="AY923" s="60"/>
      <c r="BJ923" s="60"/>
      <c r="BK923" s="60"/>
    </row>
    <row r="924" spans="2:63" ht="13.2">
      <c r="B924" s="60"/>
      <c r="C924" s="60"/>
      <c r="N924" s="60"/>
      <c r="O924" s="60"/>
      <c r="Z924" s="60"/>
      <c r="AA924" s="60"/>
      <c r="AL924" s="60"/>
      <c r="AM924" s="60"/>
      <c r="AX924" s="60"/>
      <c r="AY924" s="60"/>
      <c r="BJ924" s="60"/>
      <c r="BK924" s="60"/>
    </row>
    <row r="925" spans="2:63" ht="13.2">
      <c r="B925" s="60"/>
      <c r="C925" s="60"/>
      <c r="N925" s="60"/>
      <c r="O925" s="60"/>
      <c r="Z925" s="60"/>
      <c r="AA925" s="60"/>
      <c r="AL925" s="60"/>
      <c r="AM925" s="60"/>
      <c r="AX925" s="60"/>
      <c r="AY925" s="60"/>
      <c r="BJ925" s="60"/>
      <c r="BK925" s="60"/>
    </row>
    <row r="926" spans="2:63" ht="13.2">
      <c r="B926" s="60"/>
      <c r="C926" s="60"/>
      <c r="N926" s="60"/>
      <c r="O926" s="60"/>
      <c r="Z926" s="60"/>
      <c r="AA926" s="60"/>
      <c r="AL926" s="60"/>
      <c r="AM926" s="60"/>
      <c r="AX926" s="60"/>
      <c r="AY926" s="60"/>
      <c r="BJ926" s="60"/>
      <c r="BK926" s="60"/>
    </row>
    <row r="927" spans="2:63" ht="13.2">
      <c r="B927" s="60"/>
      <c r="C927" s="60"/>
      <c r="N927" s="60"/>
      <c r="O927" s="60"/>
      <c r="Z927" s="60"/>
      <c r="AA927" s="60"/>
      <c r="AL927" s="60"/>
      <c r="AM927" s="60"/>
      <c r="AX927" s="60"/>
      <c r="AY927" s="60"/>
      <c r="BJ927" s="60"/>
      <c r="BK927" s="60"/>
    </row>
    <row r="928" spans="2:63" ht="13.2">
      <c r="B928" s="60"/>
      <c r="C928" s="60"/>
      <c r="N928" s="60"/>
      <c r="O928" s="60"/>
      <c r="Z928" s="60"/>
      <c r="AA928" s="60"/>
      <c r="AL928" s="60"/>
      <c r="AM928" s="60"/>
      <c r="AX928" s="60"/>
      <c r="AY928" s="60"/>
      <c r="BJ928" s="60"/>
      <c r="BK928" s="60"/>
    </row>
    <row r="929" spans="2:63" ht="13.2">
      <c r="B929" s="60"/>
      <c r="C929" s="60"/>
      <c r="N929" s="60"/>
      <c r="O929" s="60"/>
      <c r="Z929" s="60"/>
      <c r="AA929" s="60"/>
      <c r="AL929" s="60"/>
      <c r="AM929" s="60"/>
      <c r="AX929" s="60"/>
      <c r="AY929" s="60"/>
      <c r="BJ929" s="60"/>
      <c r="BK929" s="60"/>
    </row>
    <row r="930" spans="2:63" ht="13.2">
      <c r="B930" s="60"/>
      <c r="C930" s="60"/>
      <c r="N930" s="60"/>
      <c r="O930" s="60"/>
      <c r="Z930" s="60"/>
      <c r="AA930" s="60"/>
      <c r="AL930" s="60"/>
      <c r="AM930" s="60"/>
      <c r="AX930" s="60"/>
      <c r="AY930" s="60"/>
      <c r="BJ930" s="60"/>
      <c r="BK930" s="60"/>
    </row>
    <row r="931" spans="2:63" ht="13.2">
      <c r="B931" s="60"/>
      <c r="C931" s="60"/>
      <c r="N931" s="60"/>
      <c r="O931" s="60"/>
      <c r="Z931" s="60"/>
      <c r="AA931" s="60"/>
      <c r="AL931" s="60"/>
      <c r="AM931" s="60"/>
      <c r="AX931" s="60"/>
      <c r="AY931" s="60"/>
      <c r="BJ931" s="60"/>
      <c r="BK931" s="60"/>
    </row>
    <row r="932" spans="2:63" ht="13.2">
      <c r="B932" s="60"/>
      <c r="C932" s="60"/>
      <c r="N932" s="60"/>
      <c r="O932" s="60"/>
      <c r="Z932" s="60"/>
      <c r="AA932" s="60"/>
      <c r="AL932" s="60"/>
      <c r="AM932" s="60"/>
      <c r="AX932" s="60"/>
      <c r="AY932" s="60"/>
      <c r="BJ932" s="60"/>
      <c r="BK932" s="60"/>
    </row>
    <row r="933" spans="2:63" ht="13.2">
      <c r="B933" s="60"/>
      <c r="C933" s="60"/>
      <c r="N933" s="60"/>
      <c r="O933" s="60"/>
      <c r="Z933" s="60"/>
      <c r="AA933" s="60"/>
      <c r="AL933" s="60"/>
      <c r="AM933" s="60"/>
      <c r="AX933" s="60"/>
      <c r="AY933" s="60"/>
      <c r="BJ933" s="60"/>
      <c r="BK933" s="60"/>
    </row>
    <row r="934" spans="2:63" ht="13.2">
      <c r="B934" s="60"/>
      <c r="C934" s="60"/>
      <c r="N934" s="60"/>
      <c r="O934" s="60"/>
      <c r="Z934" s="60"/>
      <c r="AA934" s="60"/>
      <c r="AL934" s="60"/>
      <c r="AM934" s="60"/>
      <c r="AX934" s="60"/>
      <c r="AY934" s="60"/>
      <c r="BJ934" s="60"/>
      <c r="BK934" s="60"/>
    </row>
    <row r="935" spans="2:63" ht="13.2">
      <c r="B935" s="60"/>
      <c r="C935" s="60"/>
      <c r="N935" s="60"/>
      <c r="O935" s="60"/>
      <c r="Z935" s="60"/>
      <c r="AA935" s="60"/>
      <c r="AL935" s="60"/>
      <c r="AM935" s="60"/>
      <c r="AX935" s="60"/>
      <c r="AY935" s="60"/>
      <c r="BJ935" s="60"/>
      <c r="BK935" s="60"/>
    </row>
    <row r="936" spans="2:63" ht="13.2">
      <c r="B936" s="60"/>
      <c r="C936" s="60"/>
      <c r="N936" s="60"/>
      <c r="O936" s="60"/>
      <c r="Z936" s="60"/>
      <c r="AA936" s="60"/>
      <c r="AL936" s="60"/>
      <c r="AM936" s="60"/>
      <c r="AX936" s="60"/>
      <c r="AY936" s="60"/>
      <c r="BJ936" s="60"/>
      <c r="BK936" s="60"/>
    </row>
    <row r="937" spans="2:63" ht="13.2">
      <c r="B937" s="60"/>
      <c r="C937" s="60"/>
      <c r="N937" s="60"/>
      <c r="O937" s="60"/>
      <c r="Z937" s="60"/>
      <c r="AA937" s="60"/>
      <c r="AL937" s="60"/>
      <c r="AM937" s="60"/>
      <c r="AX937" s="60"/>
      <c r="AY937" s="60"/>
      <c r="BJ937" s="60"/>
      <c r="BK937" s="60"/>
    </row>
    <row r="938" spans="2:63" ht="13.2">
      <c r="B938" s="60"/>
      <c r="C938" s="60"/>
      <c r="N938" s="60"/>
      <c r="O938" s="60"/>
      <c r="Z938" s="60"/>
      <c r="AA938" s="60"/>
      <c r="AL938" s="60"/>
      <c r="AM938" s="60"/>
      <c r="AX938" s="60"/>
      <c r="AY938" s="60"/>
      <c r="BJ938" s="60"/>
      <c r="BK938" s="60"/>
    </row>
    <row r="939" spans="2:63" ht="13.2">
      <c r="B939" s="60"/>
      <c r="C939" s="60"/>
      <c r="N939" s="60"/>
      <c r="O939" s="60"/>
      <c r="Z939" s="60"/>
      <c r="AA939" s="60"/>
      <c r="AL939" s="60"/>
      <c r="AM939" s="60"/>
      <c r="AX939" s="60"/>
      <c r="AY939" s="60"/>
      <c r="BJ939" s="60"/>
      <c r="BK939" s="60"/>
    </row>
    <row r="940" spans="2:63" ht="13.2">
      <c r="B940" s="60"/>
      <c r="C940" s="60"/>
      <c r="N940" s="60"/>
      <c r="O940" s="60"/>
      <c r="Z940" s="60"/>
      <c r="AA940" s="60"/>
      <c r="AL940" s="60"/>
      <c r="AM940" s="60"/>
      <c r="AX940" s="60"/>
      <c r="AY940" s="60"/>
      <c r="BJ940" s="60"/>
      <c r="BK940" s="60"/>
    </row>
    <row r="941" spans="2:63" ht="13.2">
      <c r="B941" s="60"/>
      <c r="C941" s="60"/>
      <c r="N941" s="60"/>
      <c r="O941" s="60"/>
      <c r="Z941" s="60"/>
      <c r="AA941" s="60"/>
      <c r="AL941" s="60"/>
      <c r="AM941" s="60"/>
      <c r="AX941" s="60"/>
      <c r="AY941" s="60"/>
      <c r="BJ941" s="60"/>
      <c r="BK941" s="60"/>
    </row>
    <row r="942" spans="2:63" ht="13.2">
      <c r="B942" s="60"/>
      <c r="C942" s="60"/>
      <c r="N942" s="60"/>
      <c r="O942" s="60"/>
      <c r="Z942" s="60"/>
      <c r="AA942" s="60"/>
      <c r="AL942" s="60"/>
      <c r="AM942" s="60"/>
      <c r="AX942" s="60"/>
      <c r="AY942" s="60"/>
      <c r="BJ942" s="60"/>
      <c r="BK942" s="60"/>
    </row>
    <row r="943" spans="2:63" ht="13.2">
      <c r="B943" s="60"/>
      <c r="C943" s="60"/>
      <c r="N943" s="60"/>
      <c r="O943" s="60"/>
      <c r="Z943" s="60"/>
      <c r="AA943" s="60"/>
      <c r="AL943" s="60"/>
      <c r="AM943" s="60"/>
      <c r="AX943" s="60"/>
      <c r="AY943" s="60"/>
      <c r="BJ943" s="60"/>
      <c r="BK943" s="60"/>
    </row>
    <row r="944" spans="2:63" ht="13.2">
      <c r="B944" s="60"/>
      <c r="C944" s="60"/>
      <c r="N944" s="60"/>
      <c r="O944" s="60"/>
      <c r="Z944" s="60"/>
      <c r="AA944" s="60"/>
      <c r="AL944" s="60"/>
      <c r="AM944" s="60"/>
      <c r="AX944" s="60"/>
      <c r="AY944" s="60"/>
      <c r="BJ944" s="60"/>
      <c r="BK944" s="60"/>
    </row>
    <row r="945" spans="2:63" ht="13.2">
      <c r="B945" s="60"/>
      <c r="C945" s="60"/>
      <c r="N945" s="60"/>
      <c r="O945" s="60"/>
      <c r="Z945" s="60"/>
      <c r="AA945" s="60"/>
      <c r="AL945" s="60"/>
      <c r="AM945" s="60"/>
      <c r="AX945" s="60"/>
      <c r="AY945" s="60"/>
      <c r="BJ945" s="60"/>
      <c r="BK945" s="60"/>
    </row>
    <row r="946" spans="2:63" ht="13.2">
      <c r="B946" s="60"/>
      <c r="C946" s="60"/>
      <c r="N946" s="60"/>
      <c r="O946" s="60"/>
      <c r="Z946" s="60"/>
      <c r="AA946" s="60"/>
      <c r="AL946" s="60"/>
      <c r="AM946" s="60"/>
      <c r="AX946" s="60"/>
      <c r="AY946" s="60"/>
      <c r="BJ946" s="60"/>
      <c r="BK946" s="60"/>
    </row>
    <row r="947" spans="2:63" ht="13.2">
      <c r="B947" s="60"/>
      <c r="C947" s="60"/>
      <c r="N947" s="60"/>
      <c r="O947" s="60"/>
      <c r="Z947" s="60"/>
      <c r="AA947" s="60"/>
      <c r="AL947" s="60"/>
      <c r="AM947" s="60"/>
      <c r="AX947" s="60"/>
      <c r="AY947" s="60"/>
      <c r="BJ947" s="60"/>
      <c r="BK947" s="60"/>
    </row>
    <row r="948" spans="2:63" ht="13.2">
      <c r="B948" s="60"/>
      <c r="C948" s="60"/>
      <c r="N948" s="60"/>
      <c r="O948" s="60"/>
      <c r="Z948" s="60"/>
      <c r="AA948" s="60"/>
      <c r="AL948" s="60"/>
      <c r="AM948" s="60"/>
      <c r="AX948" s="60"/>
      <c r="AY948" s="60"/>
      <c r="BJ948" s="60"/>
      <c r="BK948" s="60"/>
    </row>
    <row r="949" spans="2:63" ht="13.2">
      <c r="B949" s="60"/>
      <c r="C949" s="60"/>
      <c r="N949" s="60"/>
      <c r="O949" s="60"/>
      <c r="Z949" s="60"/>
      <c r="AA949" s="60"/>
      <c r="AL949" s="60"/>
      <c r="AM949" s="60"/>
      <c r="AX949" s="60"/>
      <c r="AY949" s="60"/>
      <c r="BJ949" s="60"/>
      <c r="BK949" s="60"/>
    </row>
    <row r="950" spans="2:63" ht="13.2">
      <c r="B950" s="60"/>
      <c r="C950" s="60"/>
      <c r="N950" s="60"/>
      <c r="O950" s="60"/>
      <c r="Z950" s="60"/>
      <c r="AA950" s="60"/>
      <c r="AL950" s="60"/>
      <c r="AM950" s="60"/>
      <c r="AX950" s="60"/>
      <c r="AY950" s="60"/>
      <c r="BJ950" s="60"/>
      <c r="BK950" s="60"/>
    </row>
    <row r="951" spans="2:63" ht="13.2">
      <c r="B951" s="60"/>
      <c r="C951" s="60"/>
      <c r="N951" s="60"/>
      <c r="O951" s="60"/>
      <c r="Z951" s="60"/>
      <c r="AA951" s="60"/>
      <c r="AL951" s="60"/>
      <c r="AM951" s="60"/>
      <c r="AX951" s="60"/>
      <c r="AY951" s="60"/>
      <c r="BJ951" s="60"/>
      <c r="BK951" s="60"/>
    </row>
    <row r="952" spans="2:63" ht="13.2">
      <c r="B952" s="60"/>
      <c r="C952" s="60"/>
      <c r="N952" s="60"/>
      <c r="O952" s="60"/>
      <c r="Z952" s="60"/>
      <c r="AA952" s="60"/>
      <c r="AL952" s="60"/>
      <c r="AM952" s="60"/>
      <c r="AX952" s="60"/>
      <c r="AY952" s="60"/>
      <c r="BJ952" s="60"/>
      <c r="BK952" s="60"/>
    </row>
    <row r="953" spans="2:63" ht="13.2">
      <c r="B953" s="60"/>
      <c r="C953" s="60"/>
      <c r="N953" s="60"/>
      <c r="O953" s="60"/>
      <c r="Z953" s="60"/>
      <c r="AA953" s="60"/>
      <c r="AL953" s="60"/>
      <c r="AM953" s="60"/>
      <c r="AX953" s="60"/>
      <c r="AY953" s="60"/>
      <c r="BJ953" s="60"/>
      <c r="BK953" s="60"/>
    </row>
    <row r="954" spans="2:63" ht="13.2">
      <c r="B954" s="60"/>
      <c r="C954" s="60"/>
      <c r="N954" s="60"/>
      <c r="O954" s="60"/>
      <c r="Z954" s="60"/>
      <c r="AA954" s="60"/>
      <c r="AL954" s="60"/>
      <c r="AM954" s="60"/>
      <c r="AX954" s="60"/>
      <c r="AY954" s="60"/>
      <c r="BJ954" s="60"/>
      <c r="BK954" s="60"/>
    </row>
    <row r="955" spans="2:63" ht="13.2">
      <c r="B955" s="60"/>
      <c r="C955" s="60"/>
      <c r="N955" s="60"/>
      <c r="O955" s="60"/>
      <c r="Z955" s="60"/>
      <c r="AA955" s="60"/>
      <c r="AL955" s="60"/>
      <c r="AM955" s="60"/>
      <c r="AX955" s="60"/>
      <c r="AY955" s="60"/>
      <c r="BJ955" s="60"/>
      <c r="BK955" s="60"/>
    </row>
    <row r="956" spans="2:63" ht="13.2">
      <c r="B956" s="60"/>
      <c r="C956" s="60"/>
      <c r="N956" s="60"/>
      <c r="O956" s="60"/>
      <c r="Z956" s="60"/>
      <c r="AA956" s="60"/>
      <c r="AL956" s="60"/>
      <c r="AM956" s="60"/>
      <c r="AX956" s="60"/>
      <c r="AY956" s="60"/>
      <c r="BJ956" s="60"/>
      <c r="BK956" s="60"/>
    </row>
    <row r="957" spans="2:63" ht="13.2">
      <c r="B957" s="60"/>
      <c r="C957" s="60"/>
      <c r="N957" s="60"/>
      <c r="O957" s="60"/>
      <c r="Z957" s="60"/>
      <c r="AA957" s="60"/>
      <c r="AL957" s="60"/>
      <c r="AM957" s="60"/>
      <c r="AX957" s="60"/>
      <c r="AY957" s="60"/>
      <c r="BJ957" s="60"/>
      <c r="BK957" s="60"/>
    </row>
    <row r="958" spans="2:63" ht="13.2">
      <c r="B958" s="60"/>
      <c r="C958" s="60"/>
      <c r="N958" s="60"/>
      <c r="O958" s="60"/>
      <c r="Z958" s="60"/>
      <c r="AA958" s="60"/>
      <c r="AL958" s="60"/>
      <c r="AM958" s="60"/>
      <c r="AX958" s="60"/>
      <c r="AY958" s="60"/>
      <c r="BJ958" s="60"/>
      <c r="BK958" s="60"/>
    </row>
    <row r="959" spans="2:63" ht="13.2">
      <c r="B959" s="60"/>
      <c r="C959" s="60"/>
      <c r="N959" s="60"/>
      <c r="O959" s="60"/>
      <c r="Z959" s="60"/>
      <c r="AA959" s="60"/>
      <c r="AL959" s="60"/>
      <c r="AM959" s="60"/>
      <c r="AX959" s="60"/>
      <c r="AY959" s="60"/>
      <c r="BJ959" s="60"/>
      <c r="BK959" s="60"/>
    </row>
    <row r="960" spans="2:63" ht="13.2">
      <c r="B960" s="60"/>
      <c r="C960" s="60"/>
      <c r="N960" s="60"/>
      <c r="O960" s="60"/>
      <c r="Z960" s="60"/>
      <c r="AA960" s="60"/>
      <c r="AL960" s="60"/>
      <c r="AM960" s="60"/>
      <c r="AX960" s="60"/>
      <c r="AY960" s="60"/>
      <c r="BJ960" s="60"/>
      <c r="BK960" s="60"/>
    </row>
    <row r="961" spans="2:63" ht="13.2">
      <c r="B961" s="60"/>
      <c r="C961" s="60"/>
      <c r="N961" s="60"/>
      <c r="O961" s="60"/>
      <c r="Z961" s="60"/>
      <c r="AA961" s="60"/>
      <c r="AL961" s="60"/>
      <c r="AM961" s="60"/>
      <c r="AX961" s="60"/>
      <c r="AY961" s="60"/>
      <c r="BJ961" s="60"/>
      <c r="BK961" s="60"/>
    </row>
    <row r="962" spans="2:63" ht="13.2">
      <c r="B962" s="60"/>
      <c r="C962" s="60"/>
      <c r="N962" s="60"/>
      <c r="O962" s="60"/>
      <c r="Z962" s="60"/>
      <c r="AA962" s="60"/>
      <c r="AL962" s="60"/>
      <c r="AM962" s="60"/>
      <c r="AX962" s="60"/>
      <c r="AY962" s="60"/>
      <c r="BJ962" s="60"/>
      <c r="BK962" s="60"/>
    </row>
    <row r="963" spans="2:63" ht="13.2">
      <c r="B963" s="60"/>
      <c r="C963" s="60"/>
      <c r="N963" s="60"/>
      <c r="O963" s="60"/>
      <c r="Z963" s="60"/>
      <c r="AA963" s="60"/>
      <c r="AL963" s="60"/>
      <c r="AM963" s="60"/>
      <c r="AX963" s="60"/>
      <c r="AY963" s="60"/>
      <c r="BJ963" s="60"/>
      <c r="BK963" s="60"/>
    </row>
    <row r="964" spans="2:63" ht="13.2">
      <c r="B964" s="60"/>
      <c r="C964" s="60"/>
      <c r="N964" s="60"/>
      <c r="O964" s="60"/>
      <c r="Z964" s="60"/>
      <c r="AA964" s="60"/>
      <c r="AL964" s="60"/>
      <c r="AM964" s="60"/>
      <c r="AX964" s="60"/>
      <c r="AY964" s="60"/>
      <c r="BJ964" s="60"/>
      <c r="BK964" s="60"/>
    </row>
    <row r="965" spans="2:63" ht="13.2">
      <c r="B965" s="60"/>
      <c r="C965" s="60"/>
      <c r="N965" s="60"/>
      <c r="O965" s="60"/>
      <c r="Z965" s="60"/>
      <c r="AA965" s="60"/>
      <c r="AL965" s="60"/>
      <c r="AM965" s="60"/>
      <c r="AX965" s="60"/>
      <c r="AY965" s="60"/>
      <c r="BJ965" s="60"/>
      <c r="BK965" s="60"/>
    </row>
    <row r="966" spans="2:63" ht="13.2">
      <c r="B966" s="60"/>
      <c r="C966" s="60"/>
      <c r="N966" s="60"/>
      <c r="O966" s="60"/>
      <c r="Z966" s="60"/>
      <c r="AA966" s="60"/>
      <c r="AL966" s="60"/>
      <c r="AM966" s="60"/>
      <c r="AX966" s="60"/>
      <c r="AY966" s="60"/>
      <c r="BJ966" s="60"/>
      <c r="BK966" s="60"/>
    </row>
    <row r="967" spans="2:63" ht="13.2">
      <c r="B967" s="60"/>
      <c r="C967" s="60"/>
      <c r="N967" s="60"/>
      <c r="O967" s="60"/>
      <c r="Z967" s="60"/>
      <c r="AA967" s="60"/>
      <c r="AL967" s="60"/>
      <c r="AM967" s="60"/>
      <c r="AX967" s="60"/>
      <c r="AY967" s="60"/>
      <c r="BJ967" s="60"/>
      <c r="BK967" s="60"/>
    </row>
    <row r="968" spans="2:63" ht="13.2">
      <c r="B968" s="60"/>
      <c r="C968" s="60"/>
      <c r="N968" s="60"/>
      <c r="O968" s="60"/>
      <c r="Z968" s="60"/>
      <c r="AA968" s="60"/>
      <c r="AL968" s="60"/>
      <c r="AM968" s="60"/>
      <c r="AX968" s="60"/>
      <c r="AY968" s="60"/>
      <c r="BJ968" s="60"/>
      <c r="BK968" s="60"/>
    </row>
    <row r="969" spans="2:63" ht="13.2">
      <c r="B969" s="60"/>
      <c r="C969" s="60"/>
      <c r="N969" s="60"/>
      <c r="O969" s="60"/>
      <c r="Z969" s="60"/>
      <c r="AA969" s="60"/>
      <c r="AL969" s="60"/>
      <c r="AM969" s="60"/>
      <c r="AX969" s="60"/>
      <c r="AY969" s="60"/>
      <c r="BJ969" s="60"/>
      <c r="BK969" s="60"/>
    </row>
    <row r="970" spans="2:63" ht="13.2">
      <c r="B970" s="60"/>
      <c r="C970" s="60"/>
      <c r="N970" s="60"/>
      <c r="O970" s="60"/>
      <c r="Z970" s="60"/>
      <c r="AA970" s="60"/>
      <c r="AL970" s="60"/>
      <c r="AM970" s="60"/>
      <c r="AX970" s="60"/>
      <c r="AY970" s="60"/>
      <c r="BJ970" s="60"/>
      <c r="BK970" s="60"/>
    </row>
    <row r="971" spans="2:63" ht="13.2">
      <c r="B971" s="60"/>
      <c r="C971" s="60"/>
      <c r="N971" s="60"/>
      <c r="O971" s="60"/>
      <c r="Z971" s="60"/>
      <c r="AA971" s="60"/>
      <c r="AL971" s="60"/>
      <c r="AM971" s="60"/>
      <c r="AX971" s="60"/>
      <c r="AY971" s="60"/>
      <c r="BJ971" s="60"/>
      <c r="BK971" s="60"/>
    </row>
    <row r="972" spans="2:63" ht="13.2">
      <c r="B972" s="60"/>
      <c r="C972" s="60"/>
      <c r="N972" s="60"/>
      <c r="O972" s="60"/>
      <c r="Z972" s="60"/>
      <c r="AA972" s="60"/>
      <c r="AL972" s="60"/>
      <c r="AM972" s="60"/>
      <c r="AX972" s="60"/>
      <c r="AY972" s="60"/>
      <c r="BJ972" s="60"/>
      <c r="BK972" s="60"/>
    </row>
    <row r="973" spans="2:63" ht="13.2">
      <c r="B973" s="60"/>
      <c r="C973" s="60"/>
      <c r="N973" s="60"/>
      <c r="O973" s="60"/>
      <c r="Z973" s="60"/>
      <c r="AA973" s="60"/>
      <c r="AL973" s="60"/>
      <c r="AM973" s="60"/>
      <c r="AX973" s="60"/>
      <c r="AY973" s="60"/>
      <c r="BJ973" s="60"/>
      <c r="BK973" s="60"/>
    </row>
    <row r="974" spans="2:63" ht="13.2">
      <c r="B974" s="60"/>
      <c r="C974" s="60"/>
      <c r="N974" s="60"/>
      <c r="O974" s="60"/>
      <c r="Z974" s="60"/>
      <c r="AA974" s="60"/>
      <c r="AL974" s="60"/>
      <c r="AM974" s="60"/>
      <c r="AX974" s="60"/>
      <c r="AY974" s="60"/>
      <c r="BJ974" s="60"/>
      <c r="BK974" s="60"/>
    </row>
    <row r="975" spans="2:63" ht="13.2">
      <c r="B975" s="60"/>
      <c r="C975" s="60"/>
      <c r="N975" s="60"/>
      <c r="O975" s="60"/>
      <c r="Z975" s="60"/>
      <c r="AA975" s="60"/>
      <c r="AL975" s="60"/>
      <c r="AM975" s="60"/>
      <c r="AX975" s="60"/>
      <c r="AY975" s="60"/>
      <c r="BJ975" s="60"/>
      <c r="BK975" s="60"/>
    </row>
    <row r="976" spans="2:63" ht="13.2">
      <c r="B976" s="60"/>
      <c r="C976" s="60"/>
      <c r="N976" s="60"/>
      <c r="O976" s="60"/>
      <c r="Z976" s="60"/>
      <c r="AA976" s="60"/>
      <c r="AL976" s="60"/>
      <c r="AM976" s="60"/>
      <c r="AX976" s="60"/>
      <c r="AY976" s="60"/>
      <c r="BJ976" s="60"/>
      <c r="BK976" s="60"/>
    </row>
    <row r="977" spans="2:63" ht="13.2">
      <c r="B977" s="60"/>
      <c r="C977" s="60"/>
      <c r="N977" s="60"/>
      <c r="O977" s="60"/>
      <c r="Z977" s="60"/>
      <c r="AA977" s="60"/>
      <c r="AL977" s="60"/>
      <c r="AM977" s="60"/>
      <c r="AX977" s="60"/>
      <c r="AY977" s="60"/>
      <c r="BJ977" s="60"/>
      <c r="BK977" s="60"/>
    </row>
    <row r="978" spans="2:63" ht="13.2">
      <c r="B978" s="60"/>
      <c r="C978" s="60"/>
      <c r="N978" s="60"/>
      <c r="O978" s="60"/>
      <c r="Z978" s="60"/>
      <c r="AA978" s="60"/>
      <c r="AL978" s="60"/>
      <c r="AM978" s="60"/>
      <c r="AX978" s="60"/>
      <c r="AY978" s="60"/>
      <c r="BJ978" s="60"/>
      <c r="BK978" s="60"/>
    </row>
    <row r="979" spans="2:63" ht="13.2">
      <c r="B979" s="60"/>
      <c r="C979" s="60"/>
      <c r="N979" s="60"/>
      <c r="O979" s="60"/>
      <c r="Z979" s="60"/>
      <c r="AA979" s="60"/>
      <c r="AL979" s="60"/>
      <c r="AM979" s="60"/>
      <c r="AX979" s="60"/>
      <c r="AY979" s="60"/>
      <c r="BJ979" s="60"/>
      <c r="BK979" s="60"/>
    </row>
    <row r="980" spans="2:63" ht="13.2">
      <c r="B980" s="60"/>
      <c r="C980" s="60"/>
      <c r="N980" s="60"/>
      <c r="O980" s="60"/>
      <c r="Z980" s="60"/>
      <c r="AA980" s="60"/>
      <c r="AL980" s="60"/>
      <c r="AM980" s="60"/>
      <c r="AX980" s="60"/>
      <c r="AY980" s="60"/>
      <c r="BJ980" s="60"/>
      <c r="BK980" s="60"/>
    </row>
    <row r="981" spans="2:63" ht="13.2">
      <c r="B981" s="60"/>
      <c r="C981" s="60"/>
      <c r="N981" s="60"/>
      <c r="O981" s="60"/>
      <c r="Z981" s="60"/>
      <c r="AA981" s="60"/>
      <c r="AL981" s="60"/>
      <c r="AM981" s="60"/>
      <c r="AX981" s="60"/>
      <c r="AY981" s="60"/>
      <c r="BJ981" s="60"/>
      <c r="BK981" s="60"/>
    </row>
    <row r="982" spans="2:63" ht="13.2">
      <c r="B982" s="60"/>
      <c r="C982" s="60"/>
      <c r="N982" s="60"/>
      <c r="O982" s="60"/>
      <c r="Z982" s="60"/>
      <c r="AA982" s="60"/>
      <c r="AL982" s="60"/>
      <c r="AM982" s="60"/>
      <c r="AX982" s="60"/>
      <c r="AY982" s="60"/>
      <c r="BJ982" s="60"/>
      <c r="BK982" s="60"/>
    </row>
    <row r="983" spans="2:63" ht="13.2">
      <c r="B983" s="60"/>
      <c r="C983" s="60"/>
      <c r="N983" s="60"/>
      <c r="O983" s="60"/>
      <c r="Z983" s="60"/>
      <c r="AA983" s="60"/>
      <c r="AL983" s="60"/>
      <c r="AM983" s="60"/>
      <c r="AX983" s="60"/>
      <c r="AY983" s="60"/>
      <c r="BJ983" s="60"/>
      <c r="BK983" s="60"/>
    </row>
    <row r="984" spans="2:63" ht="13.2">
      <c r="B984" s="60"/>
      <c r="C984" s="60"/>
      <c r="N984" s="60"/>
      <c r="O984" s="60"/>
      <c r="Z984" s="60"/>
      <c r="AA984" s="60"/>
      <c r="AL984" s="60"/>
      <c r="AM984" s="60"/>
      <c r="AX984" s="60"/>
      <c r="AY984" s="60"/>
      <c r="BJ984" s="60"/>
      <c r="BK984" s="60"/>
    </row>
    <row r="985" spans="2:63" ht="13.2">
      <c r="B985" s="60"/>
      <c r="C985" s="60"/>
      <c r="N985" s="60"/>
      <c r="O985" s="60"/>
      <c r="Z985" s="60"/>
      <c r="AA985" s="60"/>
      <c r="AL985" s="60"/>
      <c r="AM985" s="60"/>
      <c r="AX985" s="60"/>
      <c r="AY985" s="60"/>
      <c r="BJ985" s="60"/>
      <c r="BK985" s="60"/>
    </row>
    <row r="986" spans="2:63" ht="13.2">
      <c r="B986" s="60"/>
      <c r="C986" s="60"/>
      <c r="N986" s="60"/>
      <c r="O986" s="60"/>
      <c r="Z986" s="60"/>
      <c r="AA986" s="60"/>
      <c r="AL986" s="60"/>
      <c r="AM986" s="60"/>
      <c r="AX986" s="60"/>
      <c r="AY986" s="60"/>
      <c r="BJ986" s="60"/>
      <c r="BK986" s="60"/>
    </row>
    <row r="987" spans="2:63" ht="13.2">
      <c r="B987" s="60"/>
      <c r="C987" s="60"/>
      <c r="N987" s="60"/>
      <c r="O987" s="60"/>
      <c r="Z987" s="60"/>
      <c r="AA987" s="60"/>
      <c r="AL987" s="60"/>
      <c r="AM987" s="60"/>
      <c r="AX987" s="60"/>
      <c r="AY987" s="60"/>
      <c r="BJ987" s="60"/>
      <c r="BK987" s="60"/>
    </row>
    <row r="988" spans="2:63" ht="13.2">
      <c r="B988" s="60"/>
      <c r="C988" s="60"/>
      <c r="N988" s="60"/>
      <c r="O988" s="60"/>
      <c r="Z988" s="60"/>
      <c r="AA988" s="60"/>
      <c r="AL988" s="60"/>
      <c r="AM988" s="60"/>
      <c r="AX988" s="60"/>
      <c r="AY988" s="60"/>
      <c r="BJ988" s="60"/>
      <c r="BK988" s="60"/>
    </row>
    <row r="989" spans="2:63" ht="13.2">
      <c r="B989" s="60"/>
      <c r="C989" s="60"/>
      <c r="N989" s="60"/>
      <c r="O989" s="60"/>
      <c r="Z989" s="60"/>
      <c r="AA989" s="60"/>
      <c r="AL989" s="60"/>
      <c r="AM989" s="60"/>
      <c r="AX989" s="60"/>
      <c r="AY989" s="60"/>
      <c r="BJ989" s="60"/>
      <c r="BK989" s="60"/>
    </row>
    <row r="990" spans="2:63" ht="13.2">
      <c r="B990" s="60"/>
      <c r="C990" s="60"/>
      <c r="N990" s="60"/>
      <c r="O990" s="60"/>
      <c r="Z990" s="60"/>
      <c r="AA990" s="60"/>
      <c r="AL990" s="60"/>
      <c r="AM990" s="60"/>
      <c r="AX990" s="60"/>
      <c r="AY990" s="60"/>
      <c r="BJ990" s="60"/>
      <c r="BK990" s="60"/>
    </row>
    <row r="991" spans="2:63" ht="13.2">
      <c r="B991" s="60"/>
      <c r="C991" s="60"/>
      <c r="N991" s="60"/>
      <c r="O991" s="60"/>
      <c r="Z991" s="60"/>
      <c r="AA991" s="60"/>
      <c r="AL991" s="60"/>
      <c r="AM991" s="60"/>
      <c r="AX991" s="60"/>
      <c r="AY991" s="60"/>
      <c r="BJ991" s="60"/>
      <c r="BK991" s="60"/>
    </row>
    <row r="992" spans="2:63" ht="13.2">
      <c r="B992" s="60"/>
      <c r="C992" s="60"/>
      <c r="N992" s="60"/>
      <c r="O992" s="60"/>
      <c r="Z992" s="60"/>
      <c r="AA992" s="60"/>
      <c r="AL992" s="60"/>
      <c r="AM992" s="60"/>
      <c r="AX992" s="60"/>
      <c r="AY992" s="60"/>
      <c r="BJ992" s="60"/>
      <c r="BK992" s="60"/>
    </row>
    <row r="993" spans="2:63" ht="13.2">
      <c r="B993" s="60"/>
      <c r="C993" s="60"/>
      <c r="N993" s="60"/>
      <c r="O993" s="60"/>
      <c r="Z993" s="60"/>
      <c r="AA993" s="60"/>
      <c r="AL993" s="60"/>
      <c r="AM993" s="60"/>
      <c r="AX993" s="60"/>
      <c r="AY993" s="60"/>
      <c r="BJ993" s="60"/>
      <c r="BK993" s="60"/>
    </row>
    <row r="994" spans="2:63" ht="13.2">
      <c r="B994" s="60"/>
      <c r="C994" s="60"/>
      <c r="N994" s="60"/>
      <c r="O994" s="60"/>
      <c r="Z994" s="60"/>
      <c r="AA994" s="60"/>
      <c r="AL994" s="60"/>
      <c r="AM994" s="60"/>
      <c r="AX994" s="60"/>
      <c r="AY994" s="60"/>
      <c r="BJ994" s="60"/>
      <c r="BK994" s="60"/>
    </row>
    <row r="995" spans="2:63" ht="13.2">
      <c r="B995" s="60"/>
      <c r="C995" s="60"/>
      <c r="N995" s="60"/>
      <c r="O995" s="60"/>
      <c r="Z995" s="60"/>
      <c r="AA995" s="60"/>
      <c r="AL995" s="60"/>
      <c r="AM995" s="60"/>
      <c r="AX995" s="60"/>
      <c r="AY995" s="60"/>
      <c r="BJ995" s="60"/>
      <c r="BK995" s="60"/>
    </row>
    <row r="996" spans="2:63" ht="13.2">
      <c r="B996" s="60"/>
      <c r="C996" s="60"/>
      <c r="N996" s="60"/>
      <c r="O996" s="60"/>
      <c r="Z996" s="60"/>
      <c r="AA996" s="60"/>
      <c r="AL996" s="60"/>
      <c r="AM996" s="60"/>
      <c r="AX996" s="60"/>
      <c r="AY996" s="60"/>
      <c r="BJ996" s="60"/>
      <c r="BK996" s="60"/>
    </row>
    <row r="997" spans="2:63" ht="13.2">
      <c r="B997" s="60"/>
      <c r="C997" s="60"/>
      <c r="N997" s="60"/>
      <c r="O997" s="60"/>
      <c r="Z997" s="60"/>
      <c r="AA997" s="60"/>
      <c r="AL997" s="60"/>
      <c r="AM997" s="60"/>
      <c r="AX997" s="60"/>
      <c r="AY997" s="60"/>
      <c r="BJ997" s="60"/>
      <c r="BK997" s="60"/>
    </row>
    <row r="998" spans="2:63" ht="13.2">
      <c r="B998" s="60"/>
      <c r="C998" s="60"/>
      <c r="N998" s="60"/>
      <c r="O998" s="60"/>
      <c r="Z998" s="60"/>
      <c r="AA998" s="60"/>
      <c r="AL998" s="60"/>
      <c r="AM998" s="60"/>
      <c r="AX998" s="60"/>
      <c r="AY998" s="60"/>
      <c r="BJ998" s="60"/>
      <c r="BK998" s="60"/>
    </row>
    <row r="999" spans="2:63" ht="13.2">
      <c r="B999" s="60"/>
      <c r="C999" s="60"/>
      <c r="N999" s="60"/>
      <c r="O999" s="60"/>
      <c r="Z999" s="60"/>
      <c r="AA999" s="60"/>
      <c r="AL999" s="60"/>
      <c r="AM999" s="60"/>
      <c r="AX999" s="60"/>
      <c r="AY999" s="60"/>
      <c r="BJ999" s="60"/>
      <c r="BK999" s="60"/>
    </row>
    <row r="1000" spans="2:63" ht="13.2">
      <c r="B1000" s="60"/>
      <c r="C1000" s="60"/>
      <c r="N1000" s="60"/>
      <c r="O1000" s="60"/>
      <c r="Z1000" s="60"/>
      <c r="AA1000" s="60"/>
      <c r="AL1000" s="60"/>
      <c r="AM1000" s="60"/>
      <c r="AX1000" s="60"/>
      <c r="AY1000" s="60"/>
      <c r="BJ1000" s="60"/>
      <c r="BK1000" s="60"/>
    </row>
    <row r="1001" spans="2:63" ht="13.2">
      <c r="B1001" s="60"/>
      <c r="C1001" s="60"/>
      <c r="N1001" s="60"/>
      <c r="O1001" s="60"/>
      <c r="Z1001" s="60"/>
      <c r="AA1001" s="60"/>
      <c r="AL1001" s="60"/>
      <c r="AM1001" s="60"/>
      <c r="AX1001" s="60"/>
      <c r="AY1001" s="60"/>
      <c r="BJ1001" s="60"/>
      <c r="BK1001" s="60"/>
    </row>
    <row r="1002" spans="2:63" ht="13.2">
      <c r="B1002" s="60"/>
      <c r="C1002" s="60"/>
      <c r="N1002" s="60"/>
      <c r="O1002" s="60"/>
      <c r="Z1002" s="60"/>
      <c r="AA1002" s="60"/>
      <c r="AL1002" s="60"/>
      <c r="AM1002" s="60"/>
      <c r="AX1002" s="60"/>
      <c r="AY1002" s="60"/>
      <c r="BJ1002" s="60"/>
      <c r="BK1002" s="60"/>
    </row>
    <row r="1003" spans="2:63" ht="13.2">
      <c r="B1003" s="60"/>
      <c r="C1003" s="60"/>
      <c r="N1003" s="60"/>
      <c r="O1003" s="60"/>
      <c r="Z1003" s="60"/>
      <c r="AA1003" s="60"/>
      <c r="AL1003" s="60"/>
      <c r="AM1003" s="60"/>
      <c r="AX1003" s="60"/>
      <c r="AY1003" s="60"/>
      <c r="BJ1003" s="60"/>
      <c r="BK1003" s="60"/>
    </row>
    <row r="1004" spans="2:63" ht="13.2">
      <c r="B1004" s="60"/>
      <c r="C1004" s="60"/>
      <c r="N1004" s="60"/>
      <c r="O1004" s="60"/>
      <c r="Z1004" s="60"/>
      <c r="AA1004" s="60"/>
      <c r="AL1004" s="60"/>
      <c r="AM1004" s="60"/>
      <c r="AX1004" s="60"/>
      <c r="AY1004" s="60"/>
      <c r="BJ1004" s="60"/>
      <c r="BK1004" s="60"/>
    </row>
    <row r="1005" spans="2:63" ht="13.2">
      <c r="B1005" s="60"/>
      <c r="C1005" s="60"/>
      <c r="N1005" s="60"/>
      <c r="O1005" s="60"/>
      <c r="Z1005" s="60"/>
      <c r="AA1005" s="60"/>
      <c r="AL1005" s="60"/>
      <c r="AM1005" s="60"/>
      <c r="AX1005" s="60"/>
      <c r="AY1005" s="60"/>
      <c r="BJ1005" s="60"/>
      <c r="BK1005" s="60"/>
    </row>
    <row r="1006" spans="2:63" ht="13.2">
      <c r="B1006" s="60"/>
      <c r="C1006" s="60"/>
      <c r="N1006" s="60"/>
      <c r="O1006" s="60"/>
      <c r="Z1006" s="60"/>
      <c r="AA1006" s="60"/>
      <c r="AL1006" s="60"/>
      <c r="AM1006" s="60"/>
      <c r="AX1006" s="60"/>
      <c r="AY1006" s="60"/>
      <c r="BJ1006" s="60"/>
      <c r="BK1006" s="60"/>
    </row>
    <row r="1007" spans="2:63" ht="13.2">
      <c r="B1007" s="60"/>
      <c r="C1007" s="60"/>
      <c r="N1007" s="60"/>
      <c r="O1007" s="60"/>
      <c r="Z1007" s="60"/>
      <c r="AA1007" s="60"/>
      <c r="AL1007" s="60"/>
      <c r="AM1007" s="60"/>
      <c r="AX1007" s="60"/>
      <c r="AY1007" s="60"/>
      <c r="BJ1007" s="60"/>
      <c r="BK1007" s="60"/>
    </row>
    <row r="1008" spans="2:63" ht="13.2">
      <c r="B1008" s="60"/>
      <c r="C1008" s="60"/>
      <c r="N1008" s="60"/>
      <c r="O1008" s="60"/>
      <c r="Z1008" s="60"/>
      <c r="AA1008" s="60"/>
      <c r="AL1008" s="60"/>
      <c r="AM1008" s="60"/>
      <c r="AX1008" s="60"/>
      <c r="AY1008" s="60"/>
      <c r="BJ1008" s="60"/>
      <c r="BK1008" s="60"/>
    </row>
    <row r="1009" spans="2:63" ht="13.2">
      <c r="B1009" s="60"/>
      <c r="C1009" s="60"/>
      <c r="N1009" s="60"/>
      <c r="O1009" s="60"/>
      <c r="Z1009" s="60"/>
      <c r="AA1009" s="60"/>
      <c r="AL1009" s="60"/>
      <c r="AM1009" s="60"/>
      <c r="AX1009" s="60"/>
      <c r="AY1009" s="60"/>
      <c r="BJ1009" s="60"/>
      <c r="BK1009" s="60"/>
    </row>
    <row r="1010" spans="2:63" ht="13.2">
      <c r="B1010" s="60"/>
      <c r="C1010" s="60"/>
      <c r="N1010" s="60"/>
      <c r="O1010" s="60"/>
      <c r="Z1010" s="60"/>
      <c r="AA1010" s="60"/>
      <c r="AL1010" s="60"/>
      <c r="AM1010" s="60"/>
      <c r="AX1010" s="60"/>
      <c r="AY1010" s="60"/>
      <c r="BJ1010" s="60"/>
      <c r="BK1010" s="60"/>
    </row>
    <row r="1011" spans="2:63" ht="13.2">
      <c r="B1011" s="60"/>
      <c r="C1011" s="60"/>
      <c r="N1011" s="60"/>
      <c r="O1011" s="60"/>
      <c r="Z1011" s="60"/>
      <c r="AA1011" s="60"/>
      <c r="AL1011" s="60"/>
      <c r="AM1011" s="60"/>
      <c r="AX1011" s="60"/>
      <c r="AY1011" s="60"/>
      <c r="BJ1011" s="60"/>
      <c r="BK1011" s="60"/>
    </row>
    <row r="1012" spans="2:63" ht="13.2">
      <c r="B1012" s="60"/>
      <c r="C1012" s="60"/>
      <c r="N1012" s="60"/>
      <c r="O1012" s="60"/>
      <c r="Z1012" s="60"/>
      <c r="AA1012" s="60"/>
      <c r="AL1012" s="60"/>
      <c r="AM1012" s="60"/>
      <c r="AX1012" s="60"/>
      <c r="AY1012" s="60"/>
      <c r="BJ1012" s="60"/>
      <c r="BK1012" s="60"/>
    </row>
    <row r="1013" spans="2:63" ht="13.2">
      <c r="B1013" s="60"/>
      <c r="C1013" s="60"/>
      <c r="N1013" s="60"/>
      <c r="O1013" s="60"/>
      <c r="Z1013" s="60"/>
      <c r="AA1013" s="60"/>
      <c r="AL1013" s="60"/>
      <c r="AM1013" s="60"/>
      <c r="AX1013" s="60"/>
      <c r="AY1013" s="60"/>
      <c r="BJ1013" s="60"/>
      <c r="BK1013" s="60"/>
    </row>
    <row r="1014" spans="2:63" ht="13.2">
      <c r="B1014" s="60"/>
      <c r="C1014" s="60"/>
      <c r="N1014" s="60"/>
      <c r="O1014" s="60"/>
      <c r="Z1014" s="60"/>
      <c r="AA1014" s="60"/>
      <c r="AL1014" s="60"/>
      <c r="AM1014" s="60"/>
      <c r="AX1014" s="60"/>
      <c r="AY1014" s="60"/>
      <c r="BJ1014" s="60"/>
      <c r="BK1014" s="60"/>
    </row>
    <row r="1015" spans="2:63" ht="13.2">
      <c r="B1015" s="60"/>
      <c r="C1015" s="60"/>
      <c r="N1015" s="60"/>
      <c r="O1015" s="60"/>
      <c r="Z1015" s="60"/>
      <c r="AA1015" s="60"/>
      <c r="AL1015" s="60"/>
      <c r="AM1015" s="60"/>
      <c r="AX1015" s="60"/>
      <c r="AY1015" s="60"/>
      <c r="BJ1015" s="60"/>
      <c r="BK1015" s="60"/>
    </row>
    <row r="1016" spans="2:63" ht="13.2">
      <c r="B1016" s="60"/>
      <c r="C1016" s="60"/>
      <c r="N1016" s="60"/>
      <c r="O1016" s="60"/>
      <c r="Z1016" s="60"/>
      <c r="AA1016" s="60"/>
      <c r="AL1016" s="60"/>
      <c r="AM1016" s="60"/>
      <c r="AX1016" s="60"/>
      <c r="AY1016" s="60"/>
      <c r="BJ1016" s="60"/>
      <c r="BK1016" s="60"/>
    </row>
    <row r="1017" spans="2:63" ht="13.2">
      <c r="B1017" s="60"/>
      <c r="C1017" s="60"/>
      <c r="N1017" s="60"/>
      <c r="O1017" s="60"/>
      <c r="Z1017" s="60"/>
      <c r="AA1017" s="60"/>
      <c r="AL1017" s="60"/>
      <c r="AM1017" s="60"/>
      <c r="AX1017" s="60"/>
      <c r="AY1017" s="60"/>
      <c r="BJ1017" s="60"/>
      <c r="BK1017" s="60"/>
    </row>
    <row r="1018" spans="2:63" ht="13.2">
      <c r="B1018" s="60"/>
      <c r="C1018" s="60"/>
      <c r="N1018" s="60"/>
      <c r="O1018" s="60"/>
      <c r="Z1018" s="60"/>
      <c r="AA1018" s="60"/>
      <c r="AL1018" s="60"/>
      <c r="AM1018" s="60"/>
      <c r="AX1018" s="60"/>
      <c r="AY1018" s="60"/>
      <c r="BJ1018" s="60"/>
      <c r="BK1018" s="60"/>
    </row>
    <row r="1019" spans="2:63" ht="13.2">
      <c r="B1019" s="60"/>
      <c r="C1019" s="60"/>
      <c r="N1019" s="60"/>
      <c r="O1019" s="60"/>
      <c r="Z1019" s="60"/>
      <c r="AA1019" s="60"/>
      <c r="AL1019" s="60"/>
      <c r="AM1019" s="60"/>
      <c r="AX1019" s="60"/>
      <c r="AY1019" s="60"/>
      <c r="BJ1019" s="60"/>
      <c r="BK1019" s="60"/>
    </row>
    <row r="1020" spans="2:63" ht="13.2">
      <c r="B1020" s="60"/>
      <c r="C1020" s="60"/>
      <c r="N1020" s="60"/>
      <c r="O1020" s="60"/>
      <c r="Z1020" s="60"/>
      <c r="AA1020" s="60"/>
      <c r="AL1020" s="60"/>
      <c r="AM1020" s="60"/>
      <c r="AX1020" s="60"/>
      <c r="AY1020" s="60"/>
      <c r="BJ1020" s="60"/>
      <c r="BK1020" s="60"/>
    </row>
    <row r="1021" spans="2:63" ht="13.2">
      <c r="B1021" s="60"/>
      <c r="C1021" s="60"/>
      <c r="N1021" s="60"/>
      <c r="O1021" s="60"/>
      <c r="Z1021" s="60"/>
      <c r="AA1021" s="60"/>
      <c r="AL1021" s="60"/>
      <c r="AM1021" s="60"/>
      <c r="AX1021" s="60"/>
      <c r="AY1021" s="60"/>
      <c r="BJ1021" s="60"/>
      <c r="BK1021" s="60"/>
    </row>
    <row r="1022" spans="2:63" ht="13.2">
      <c r="B1022" s="60"/>
      <c r="C1022" s="60"/>
      <c r="N1022" s="60"/>
      <c r="O1022" s="60"/>
      <c r="Z1022" s="60"/>
      <c r="AA1022" s="60"/>
      <c r="AL1022" s="60"/>
      <c r="AM1022" s="60"/>
      <c r="AX1022" s="60"/>
      <c r="AY1022" s="60"/>
      <c r="BJ1022" s="60"/>
      <c r="BK1022" s="60"/>
    </row>
    <row r="1023" spans="2:63" ht="13.2">
      <c r="B1023" s="60"/>
      <c r="C1023" s="60"/>
      <c r="N1023" s="60"/>
      <c r="O1023" s="60"/>
      <c r="Z1023" s="60"/>
      <c r="AA1023" s="60"/>
      <c r="AL1023" s="60"/>
      <c r="AM1023" s="60"/>
      <c r="AX1023" s="60"/>
      <c r="AY1023" s="60"/>
      <c r="BJ1023" s="60"/>
      <c r="BK1023" s="60"/>
    </row>
    <row r="1024" spans="2:63" ht="13.2">
      <c r="B1024" s="60"/>
      <c r="C1024" s="60"/>
      <c r="N1024" s="60"/>
      <c r="O1024" s="60"/>
      <c r="Z1024" s="60"/>
      <c r="AA1024" s="60"/>
      <c r="AL1024" s="60"/>
      <c r="AM1024" s="60"/>
      <c r="AX1024" s="60"/>
      <c r="AY1024" s="60"/>
      <c r="BJ1024" s="60"/>
      <c r="BK1024" s="60"/>
    </row>
    <row r="1025" spans="2:63" ht="13.2">
      <c r="B1025" s="60"/>
      <c r="C1025" s="60"/>
      <c r="N1025" s="60"/>
      <c r="O1025" s="60"/>
      <c r="Z1025" s="60"/>
      <c r="AA1025" s="60"/>
      <c r="AL1025" s="60"/>
      <c r="AM1025" s="60"/>
      <c r="AX1025" s="60"/>
      <c r="AY1025" s="60"/>
      <c r="BJ1025" s="60"/>
      <c r="BK1025" s="60"/>
    </row>
    <row r="1026" spans="2:63" ht="13.2">
      <c r="B1026" s="60"/>
      <c r="C1026" s="60"/>
      <c r="N1026" s="60"/>
      <c r="O1026" s="60"/>
      <c r="Z1026" s="60"/>
      <c r="AA1026" s="60"/>
      <c r="AL1026" s="60"/>
      <c r="AM1026" s="60"/>
      <c r="AX1026" s="60"/>
      <c r="AY1026" s="60"/>
      <c r="BJ1026" s="60"/>
      <c r="BK1026" s="60"/>
    </row>
    <row r="1027" spans="2:63" ht="13.2">
      <c r="B1027" s="60"/>
      <c r="C1027" s="60"/>
      <c r="N1027" s="60"/>
      <c r="O1027" s="60"/>
      <c r="Z1027" s="60"/>
      <c r="AA1027" s="60"/>
      <c r="AL1027" s="60"/>
      <c r="AM1027" s="60"/>
      <c r="AX1027" s="60"/>
      <c r="AY1027" s="60"/>
      <c r="BJ1027" s="60"/>
      <c r="BK1027" s="60"/>
    </row>
    <row r="1028" spans="2:63" ht="13.2">
      <c r="B1028" s="60"/>
      <c r="C1028" s="60"/>
      <c r="N1028" s="60"/>
      <c r="O1028" s="60"/>
      <c r="Z1028" s="60"/>
      <c r="AA1028" s="60"/>
      <c r="AL1028" s="60"/>
      <c r="AM1028" s="60"/>
      <c r="AX1028" s="60"/>
      <c r="AY1028" s="60"/>
      <c r="BJ1028" s="60"/>
      <c r="BK1028" s="60"/>
    </row>
    <row r="1029" spans="2:63" ht="13.2">
      <c r="B1029" s="60"/>
      <c r="C1029" s="60"/>
      <c r="N1029" s="60"/>
      <c r="O1029" s="60"/>
      <c r="Z1029" s="60"/>
      <c r="AA1029" s="60"/>
      <c r="AL1029" s="60"/>
      <c r="AM1029" s="60"/>
      <c r="AX1029" s="60"/>
      <c r="AY1029" s="60"/>
      <c r="BJ1029" s="60"/>
      <c r="BK1029" s="60"/>
    </row>
    <row r="1030" spans="2:63" ht="13.2">
      <c r="B1030" s="60"/>
      <c r="C1030" s="60"/>
      <c r="N1030" s="60"/>
      <c r="O1030" s="60"/>
      <c r="Z1030" s="60"/>
      <c r="AA1030" s="60"/>
      <c r="AL1030" s="60"/>
      <c r="AM1030" s="60"/>
      <c r="AX1030" s="60"/>
      <c r="AY1030" s="60"/>
      <c r="BJ1030" s="60"/>
      <c r="BK1030" s="60"/>
    </row>
    <row r="1031" spans="2:63" ht="13.2">
      <c r="B1031" s="60"/>
      <c r="C1031" s="60"/>
      <c r="N1031" s="60"/>
      <c r="O1031" s="60"/>
      <c r="Z1031" s="60"/>
      <c r="AA1031" s="60"/>
      <c r="AL1031" s="60"/>
      <c r="AM1031" s="60"/>
      <c r="AX1031" s="60"/>
      <c r="AY1031" s="60"/>
      <c r="BJ1031" s="60"/>
      <c r="BK1031" s="60"/>
    </row>
    <row r="1032" spans="2:63" ht="13.2">
      <c r="B1032" s="60"/>
      <c r="C1032" s="60"/>
      <c r="N1032" s="60"/>
      <c r="O1032" s="60"/>
      <c r="Z1032" s="60"/>
      <c r="AA1032" s="60"/>
      <c r="AL1032" s="60"/>
      <c r="AM1032" s="60"/>
      <c r="AX1032" s="60"/>
      <c r="AY1032" s="60"/>
      <c r="BJ1032" s="60"/>
      <c r="BK1032" s="60"/>
    </row>
    <row r="1033" spans="2:63" ht="13.2">
      <c r="B1033" s="60"/>
      <c r="C1033" s="60"/>
      <c r="N1033" s="60"/>
      <c r="O1033" s="60"/>
      <c r="Z1033" s="60"/>
      <c r="AA1033" s="60"/>
      <c r="AL1033" s="60"/>
      <c r="AM1033" s="60"/>
      <c r="AX1033" s="60"/>
      <c r="AY1033" s="60"/>
      <c r="BJ1033" s="60"/>
      <c r="BK1033" s="60"/>
    </row>
    <row r="1034" spans="2:63" ht="13.2">
      <c r="B1034" s="60"/>
      <c r="C1034" s="60"/>
      <c r="N1034" s="60"/>
      <c r="O1034" s="60"/>
      <c r="Z1034" s="60"/>
      <c r="AA1034" s="60"/>
      <c r="AL1034" s="60"/>
      <c r="AM1034" s="60"/>
      <c r="AX1034" s="60"/>
      <c r="AY1034" s="60"/>
      <c r="BJ1034" s="60"/>
      <c r="BK1034" s="60"/>
    </row>
    <row r="1035" spans="2:63" ht="13.2">
      <c r="B1035" s="60"/>
      <c r="C1035" s="60"/>
      <c r="N1035" s="60"/>
      <c r="O1035" s="60"/>
      <c r="Z1035" s="60"/>
      <c r="AA1035" s="60"/>
      <c r="AL1035" s="60"/>
      <c r="AM1035" s="60"/>
      <c r="AX1035" s="60"/>
      <c r="AY1035" s="60"/>
      <c r="BJ1035" s="60"/>
      <c r="BK1035" s="60"/>
    </row>
    <row r="1036" spans="2:63" ht="13.2">
      <c r="B1036" s="60"/>
      <c r="C1036" s="60"/>
      <c r="N1036" s="60"/>
      <c r="O1036" s="60"/>
      <c r="Z1036" s="60"/>
      <c r="AA1036" s="60"/>
      <c r="AL1036" s="60"/>
      <c r="AM1036" s="60"/>
      <c r="AX1036" s="60"/>
      <c r="AY1036" s="60"/>
      <c r="BJ1036" s="60"/>
      <c r="BK1036" s="60"/>
    </row>
    <row r="1037" spans="2:63" ht="13.2">
      <c r="B1037" s="60"/>
      <c r="C1037" s="60"/>
      <c r="N1037" s="60"/>
      <c r="O1037" s="60"/>
      <c r="Z1037" s="60"/>
      <c r="AA1037" s="60"/>
      <c r="AL1037" s="60"/>
      <c r="AM1037" s="60"/>
      <c r="AX1037" s="60"/>
      <c r="AY1037" s="60"/>
      <c r="BJ1037" s="60"/>
      <c r="BK1037" s="60"/>
    </row>
    <row r="1038" spans="2:63" ht="13.2">
      <c r="B1038" s="60"/>
      <c r="C1038" s="60"/>
      <c r="N1038" s="60"/>
      <c r="O1038" s="60"/>
      <c r="Z1038" s="60"/>
      <c r="AA1038" s="60"/>
      <c r="AL1038" s="60"/>
      <c r="AM1038" s="60"/>
      <c r="AX1038" s="60"/>
      <c r="AY1038" s="60"/>
      <c r="BJ1038" s="60"/>
      <c r="BK1038" s="60"/>
    </row>
    <row r="1039" spans="2:63" ht="13.2">
      <c r="B1039" s="60"/>
      <c r="C1039" s="60"/>
      <c r="N1039" s="60"/>
      <c r="O1039" s="60"/>
      <c r="Z1039" s="60"/>
      <c r="AA1039" s="60"/>
      <c r="AL1039" s="60"/>
      <c r="AM1039" s="60"/>
      <c r="AX1039" s="60"/>
      <c r="AY1039" s="60"/>
      <c r="BJ1039" s="60"/>
      <c r="BK1039" s="60"/>
    </row>
    <row r="1040" spans="2:63" ht="13.2">
      <c r="B1040" s="60"/>
      <c r="C1040" s="60"/>
      <c r="N1040" s="60"/>
      <c r="O1040" s="60"/>
      <c r="Z1040" s="60"/>
      <c r="AA1040" s="60"/>
      <c r="AL1040" s="60"/>
      <c r="AM1040" s="60"/>
      <c r="AX1040" s="60"/>
      <c r="AY1040" s="60"/>
      <c r="BJ1040" s="60"/>
      <c r="BK1040" s="60"/>
    </row>
    <row r="1041" spans="2:63" ht="13.2">
      <c r="B1041" s="60"/>
      <c r="C1041" s="60"/>
      <c r="N1041" s="60"/>
      <c r="O1041" s="60"/>
      <c r="Z1041" s="60"/>
      <c r="AA1041" s="60"/>
      <c r="AL1041" s="60"/>
      <c r="AM1041" s="60"/>
      <c r="AX1041" s="60"/>
      <c r="AY1041" s="60"/>
      <c r="BJ1041" s="60"/>
      <c r="BK1041" s="60"/>
    </row>
    <row r="1042" spans="2:63" ht="13.2">
      <c r="B1042" s="60"/>
      <c r="C1042" s="60"/>
      <c r="N1042" s="60"/>
      <c r="O1042" s="60"/>
      <c r="Z1042" s="60"/>
      <c r="AA1042" s="60"/>
      <c r="AL1042" s="60"/>
      <c r="AM1042" s="60"/>
      <c r="AX1042" s="60"/>
      <c r="AY1042" s="60"/>
      <c r="BJ1042" s="60"/>
      <c r="BK1042" s="60"/>
    </row>
    <row r="1043" spans="2:63" ht="13.2">
      <c r="B1043" s="60"/>
      <c r="C1043" s="60"/>
      <c r="N1043" s="60"/>
      <c r="O1043" s="60"/>
      <c r="Z1043" s="60"/>
      <c r="AA1043" s="60"/>
      <c r="AL1043" s="60"/>
      <c r="AM1043" s="60"/>
      <c r="AX1043" s="60"/>
      <c r="AY1043" s="60"/>
      <c r="BJ1043" s="60"/>
      <c r="BK1043" s="60"/>
    </row>
    <row r="1044" spans="2:63" ht="13.2">
      <c r="B1044" s="60"/>
      <c r="C1044" s="60"/>
      <c r="N1044" s="60"/>
      <c r="O1044" s="60"/>
      <c r="Z1044" s="60"/>
      <c r="AA1044" s="60"/>
      <c r="AL1044" s="60"/>
      <c r="AM1044" s="60"/>
      <c r="AX1044" s="60"/>
      <c r="AY1044" s="60"/>
      <c r="BJ1044" s="60"/>
      <c r="BK1044" s="60"/>
    </row>
    <row r="1045" spans="2:63" ht="13.2">
      <c r="B1045" s="60"/>
      <c r="C1045" s="60"/>
      <c r="N1045" s="60"/>
      <c r="O1045" s="60"/>
      <c r="Z1045" s="60"/>
      <c r="AA1045" s="60"/>
      <c r="AL1045" s="60"/>
      <c r="AM1045" s="60"/>
      <c r="AX1045" s="60"/>
      <c r="AY1045" s="60"/>
      <c r="BJ1045" s="60"/>
      <c r="BK1045" s="60"/>
    </row>
    <row r="1046" spans="2:63" ht="13.2">
      <c r="B1046" s="60"/>
      <c r="C1046" s="60"/>
      <c r="N1046" s="60"/>
      <c r="O1046" s="60"/>
      <c r="Z1046" s="60"/>
      <c r="AA1046" s="60"/>
      <c r="AL1046" s="60"/>
      <c r="AM1046" s="60"/>
      <c r="AX1046" s="60"/>
      <c r="AY1046" s="60"/>
      <c r="BJ1046" s="60"/>
      <c r="BK1046" s="60"/>
    </row>
    <row r="1047" spans="2:63" ht="13.2">
      <c r="B1047" s="60"/>
      <c r="C1047" s="60"/>
      <c r="N1047" s="60"/>
      <c r="O1047" s="60"/>
      <c r="Z1047" s="60"/>
      <c r="AA1047" s="60"/>
      <c r="AL1047" s="60"/>
      <c r="AM1047" s="60"/>
      <c r="AX1047" s="60"/>
      <c r="AY1047" s="60"/>
      <c r="BJ1047" s="60"/>
      <c r="BK1047" s="60"/>
    </row>
    <row r="1048" spans="2:63" ht="13.2">
      <c r="B1048" s="60"/>
      <c r="C1048" s="60"/>
      <c r="N1048" s="60"/>
      <c r="O1048" s="60"/>
      <c r="Z1048" s="60"/>
      <c r="AA1048" s="60"/>
      <c r="AL1048" s="60"/>
      <c r="AM1048" s="60"/>
      <c r="AX1048" s="60"/>
      <c r="AY1048" s="60"/>
      <c r="BJ1048" s="60"/>
      <c r="BK1048" s="60"/>
    </row>
    <row r="1049" spans="2:63" ht="13.2">
      <c r="B1049" s="60"/>
      <c r="C1049" s="60"/>
      <c r="N1049" s="60"/>
      <c r="O1049" s="60"/>
      <c r="Z1049" s="60"/>
      <c r="AA1049" s="60"/>
      <c r="AL1049" s="60"/>
      <c r="AM1049" s="60"/>
      <c r="AX1049" s="60"/>
      <c r="AY1049" s="60"/>
      <c r="BJ1049" s="60"/>
      <c r="BK1049" s="60"/>
    </row>
    <row r="1050" spans="2:63" ht="13.2">
      <c r="B1050" s="60"/>
      <c r="C1050" s="60"/>
      <c r="N1050" s="60"/>
      <c r="O1050" s="60"/>
      <c r="Z1050" s="60"/>
      <c r="AA1050" s="60"/>
      <c r="AL1050" s="60"/>
      <c r="AM1050" s="60"/>
      <c r="AX1050" s="60"/>
      <c r="AY1050" s="60"/>
      <c r="BJ1050" s="60"/>
      <c r="BK1050" s="60"/>
    </row>
    <row r="1051" spans="2:63" ht="13.2">
      <c r="B1051" s="60"/>
      <c r="C1051" s="60"/>
      <c r="N1051" s="60"/>
      <c r="O1051" s="60"/>
      <c r="Z1051" s="60"/>
      <c r="AA1051" s="60"/>
      <c r="AL1051" s="60"/>
      <c r="AM1051" s="60"/>
      <c r="AX1051" s="60"/>
      <c r="AY1051" s="60"/>
      <c r="BJ1051" s="60"/>
      <c r="BK1051" s="60"/>
    </row>
    <row r="1052" spans="2:63" ht="13.2">
      <c r="B1052" s="60"/>
      <c r="C1052" s="60"/>
      <c r="N1052" s="60"/>
      <c r="O1052" s="60"/>
      <c r="Z1052" s="60"/>
      <c r="AA1052" s="60"/>
      <c r="AL1052" s="60"/>
      <c r="AM1052" s="60"/>
      <c r="AX1052" s="60"/>
      <c r="AY1052" s="60"/>
      <c r="BJ1052" s="60"/>
      <c r="BK1052" s="60"/>
    </row>
    <row r="1053" spans="2:63" ht="13.2">
      <c r="B1053" s="60"/>
      <c r="C1053" s="60"/>
      <c r="N1053" s="60"/>
      <c r="O1053" s="60"/>
      <c r="Z1053" s="60"/>
      <c r="AA1053" s="60"/>
      <c r="AL1053" s="60"/>
      <c r="AM1053" s="60"/>
      <c r="AX1053" s="60"/>
      <c r="AY1053" s="60"/>
      <c r="BJ1053" s="60"/>
      <c r="BK1053" s="60"/>
    </row>
    <row r="1054" spans="2:63" ht="13.2">
      <c r="B1054" s="60"/>
      <c r="C1054" s="60"/>
      <c r="N1054" s="60"/>
      <c r="O1054" s="60"/>
      <c r="Z1054" s="60"/>
      <c r="AA1054" s="60"/>
      <c r="AL1054" s="60"/>
      <c r="AM1054" s="60"/>
      <c r="AX1054" s="60"/>
      <c r="AY1054" s="60"/>
      <c r="BJ1054" s="60"/>
      <c r="BK1054" s="60"/>
    </row>
    <row r="1055" spans="2:63" ht="13.2">
      <c r="B1055" s="60"/>
      <c r="C1055" s="60"/>
      <c r="N1055" s="60"/>
      <c r="O1055" s="60"/>
      <c r="Z1055" s="60"/>
      <c r="AA1055" s="60"/>
      <c r="AL1055" s="60"/>
      <c r="AM1055" s="60"/>
      <c r="AX1055" s="60"/>
      <c r="AY1055" s="60"/>
      <c r="BJ1055" s="60"/>
      <c r="BK1055" s="60"/>
    </row>
    <row r="1056" spans="2:63" ht="13.2">
      <c r="B1056" s="60"/>
      <c r="C1056" s="60"/>
      <c r="N1056" s="60"/>
      <c r="O1056" s="60"/>
      <c r="Z1056" s="60"/>
      <c r="AA1056" s="60"/>
      <c r="AL1056" s="60"/>
      <c r="AM1056" s="60"/>
      <c r="AX1056" s="60"/>
      <c r="AY1056" s="60"/>
      <c r="BJ1056" s="60"/>
      <c r="BK1056" s="60"/>
    </row>
    <row r="1057" spans="2:63" ht="13.2">
      <c r="B1057" s="60"/>
      <c r="C1057" s="60"/>
      <c r="N1057" s="60"/>
      <c r="O1057" s="60"/>
      <c r="Z1057" s="60"/>
      <c r="AA1057" s="60"/>
      <c r="AL1057" s="60"/>
      <c r="AM1057" s="60"/>
      <c r="AX1057" s="60"/>
      <c r="AY1057" s="60"/>
      <c r="BJ1057" s="60"/>
      <c r="BK1057" s="60"/>
    </row>
    <row r="1058" spans="2:63" ht="13.2">
      <c r="B1058" s="60"/>
      <c r="C1058" s="60"/>
      <c r="N1058" s="60"/>
      <c r="O1058" s="60"/>
      <c r="Z1058" s="60"/>
      <c r="AA1058" s="60"/>
      <c r="AL1058" s="60"/>
      <c r="AM1058" s="60"/>
      <c r="AX1058" s="60"/>
      <c r="AY1058" s="60"/>
      <c r="BJ1058" s="60"/>
      <c r="BK1058" s="60"/>
    </row>
    <row r="1059" spans="2:63" ht="13.2">
      <c r="B1059" s="60"/>
      <c r="C1059" s="60"/>
      <c r="N1059" s="60"/>
      <c r="O1059" s="60"/>
      <c r="Z1059" s="60"/>
      <c r="AA1059" s="60"/>
      <c r="AL1059" s="60"/>
      <c r="AM1059" s="60"/>
      <c r="AX1059" s="60"/>
      <c r="AY1059" s="60"/>
      <c r="BJ1059" s="60"/>
      <c r="BK1059" s="60"/>
    </row>
    <row r="1060" spans="2:63" ht="13.2">
      <c r="B1060" s="60"/>
      <c r="C1060" s="60"/>
      <c r="N1060" s="60"/>
      <c r="O1060" s="60"/>
      <c r="Z1060" s="60"/>
      <c r="AA1060" s="60"/>
      <c r="AL1060" s="60"/>
      <c r="AM1060" s="60"/>
      <c r="AX1060" s="60"/>
      <c r="AY1060" s="60"/>
      <c r="BJ1060" s="60"/>
      <c r="BK1060" s="60"/>
    </row>
    <row r="1061" spans="2:63" ht="13.2">
      <c r="B1061" s="60"/>
      <c r="C1061" s="60"/>
      <c r="N1061" s="60"/>
      <c r="O1061" s="60"/>
      <c r="Z1061" s="60"/>
      <c r="AA1061" s="60"/>
      <c r="AL1061" s="60"/>
      <c r="AM1061" s="60"/>
      <c r="AX1061" s="60"/>
      <c r="AY1061" s="60"/>
      <c r="BJ1061" s="60"/>
      <c r="BK1061" s="60"/>
    </row>
    <row r="1062" spans="2:63" ht="13.2">
      <c r="B1062" s="60"/>
      <c r="C1062" s="60"/>
      <c r="N1062" s="60"/>
      <c r="O1062" s="60"/>
      <c r="Z1062" s="60"/>
      <c r="AA1062" s="60"/>
      <c r="AL1062" s="60"/>
      <c r="AM1062" s="60"/>
      <c r="AX1062" s="60"/>
      <c r="AY1062" s="60"/>
      <c r="BJ1062" s="60"/>
      <c r="BK1062" s="60"/>
    </row>
    <row r="1063" spans="2:63" ht="13.2">
      <c r="B1063" s="60"/>
      <c r="C1063" s="60"/>
      <c r="N1063" s="60"/>
      <c r="O1063" s="60"/>
      <c r="Z1063" s="60"/>
      <c r="AA1063" s="60"/>
      <c r="AL1063" s="60"/>
      <c r="AM1063" s="60"/>
      <c r="AX1063" s="60"/>
      <c r="AY1063" s="60"/>
      <c r="BJ1063" s="60"/>
      <c r="BK1063" s="60"/>
    </row>
    <row r="1064" spans="2:63" ht="13.2">
      <c r="B1064" s="60"/>
      <c r="C1064" s="60"/>
      <c r="N1064" s="60"/>
      <c r="O1064" s="60"/>
      <c r="Z1064" s="60"/>
      <c r="AA1064" s="60"/>
      <c r="AL1064" s="60"/>
      <c r="AM1064" s="60"/>
      <c r="AX1064" s="60"/>
      <c r="AY1064" s="60"/>
      <c r="BJ1064" s="60"/>
      <c r="BK1064" s="60"/>
    </row>
    <row r="1065" spans="2:63" ht="13.2">
      <c r="B1065" s="60"/>
      <c r="C1065" s="60"/>
      <c r="N1065" s="60"/>
      <c r="O1065" s="60"/>
      <c r="Z1065" s="60"/>
      <c r="AA1065" s="60"/>
      <c r="AL1065" s="60"/>
      <c r="AM1065" s="60"/>
      <c r="AX1065" s="60"/>
      <c r="AY1065" s="60"/>
      <c r="BJ1065" s="60"/>
      <c r="BK1065" s="60"/>
    </row>
    <row r="1066" spans="2:63" ht="13.2">
      <c r="B1066" s="60"/>
      <c r="C1066" s="60"/>
      <c r="N1066" s="60"/>
      <c r="O1066" s="60"/>
      <c r="Z1066" s="60"/>
      <c r="AA1066" s="60"/>
      <c r="AL1066" s="60"/>
      <c r="AM1066" s="60"/>
      <c r="AX1066" s="60"/>
      <c r="AY1066" s="60"/>
      <c r="BJ1066" s="60"/>
      <c r="BK1066" s="60"/>
    </row>
    <row r="1067" spans="2:63" ht="13.2">
      <c r="B1067" s="60"/>
      <c r="C1067" s="60"/>
      <c r="N1067" s="60"/>
      <c r="O1067" s="60"/>
      <c r="Z1067" s="60"/>
      <c r="AA1067" s="60"/>
      <c r="AL1067" s="60"/>
      <c r="AM1067" s="60"/>
      <c r="AX1067" s="60"/>
      <c r="AY1067" s="60"/>
      <c r="BJ1067" s="60"/>
      <c r="BK1067" s="60"/>
    </row>
    <row r="1068" spans="2:63" ht="13.2">
      <c r="B1068" s="60"/>
      <c r="C1068" s="60"/>
      <c r="N1068" s="60"/>
      <c r="O1068" s="60"/>
      <c r="Z1068" s="60"/>
      <c r="AA1068" s="60"/>
      <c r="AL1068" s="60"/>
      <c r="AM1068" s="60"/>
      <c r="AX1068" s="60"/>
      <c r="AY1068" s="60"/>
      <c r="BJ1068" s="60"/>
      <c r="BK1068" s="60"/>
    </row>
    <row r="1069" spans="2:63" ht="13.2">
      <c r="B1069" s="60"/>
      <c r="C1069" s="60"/>
      <c r="N1069" s="60"/>
      <c r="O1069" s="60"/>
      <c r="Z1069" s="60"/>
      <c r="AA1069" s="60"/>
      <c r="AL1069" s="60"/>
      <c r="AM1069" s="60"/>
      <c r="AX1069" s="60"/>
      <c r="AY1069" s="60"/>
      <c r="BJ1069" s="60"/>
      <c r="BK1069" s="60"/>
    </row>
    <row r="1070" spans="2:63" ht="13.2">
      <c r="B1070" s="60"/>
      <c r="C1070" s="60"/>
      <c r="N1070" s="60"/>
      <c r="O1070" s="60"/>
      <c r="Z1070" s="60"/>
      <c r="AA1070" s="60"/>
      <c r="AL1070" s="60"/>
      <c r="AM1070" s="60"/>
      <c r="AX1070" s="60"/>
      <c r="AY1070" s="60"/>
      <c r="BJ1070" s="60"/>
      <c r="BK1070" s="60"/>
    </row>
    <row r="1071" spans="2:63" ht="13.2">
      <c r="B1071" s="60"/>
      <c r="C1071" s="60"/>
      <c r="N1071" s="60"/>
      <c r="O1071" s="60"/>
      <c r="Z1071" s="60"/>
      <c r="AA1071" s="60"/>
      <c r="AL1071" s="60"/>
      <c r="AM1071" s="60"/>
      <c r="AX1071" s="60"/>
      <c r="AY1071" s="60"/>
      <c r="BJ1071" s="60"/>
      <c r="BK1071" s="60"/>
    </row>
    <row r="1072" spans="2:63" ht="13.2">
      <c r="B1072" s="60"/>
      <c r="C1072" s="60"/>
      <c r="N1072" s="60"/>
      <c r="O1072" s="60"/>
      <c r="Z1072" s="60"/>
      <c r="AA1072" s="60"/>
      <c r="AL1072" s="60"/>
      <c r="AM1072" s="60"/>
      <c r="AX1072" s="60"/>
      <c r="AY1072" s="60"/>
      <c r="BJ1072" s="60"/>
      <c r="BK1072" s="60"/>
    </row>
    <row r="1073" spans="2:63" ht="13.2">
      <c r="B1073" s="60"/>
      <c r="C1073" s="60"/>
      <c r="N1073" s="60"/>
      <c r="O1073" s="60"/>
      <c r="Z1073" s="60"/>
      <c r="AA1073" s="60"/>
      <c r="AL1073" s="60"/>
      <c r="AM1073" s="60"/>
      <c r="AX1073" s="60"/>
      <c r="AY1073" s="60"/>
      <c r="BJ1073" s="60"/>
      <c r="BK1073" s="60"/>
    </row>
    <row r="1074" spans="2:63" ht="13.2">
      <c r="B1074" s="60"/>
      <c r="C1074" s="60"/>
      <c r="N1074" s="60"/>
      <c r="O1074" s="60"/>
      <c r="Z1074" s="60"/>
      <c r="AA1074" s="60"/>
      <c r="AL1074" s="60"/>
      <c r="AM1074" s="60"/>
      <c r="AX1074" s="60"/>
      <c r="AY1074" s="60"/>
      <c r="BJ1074" s="60"/>
      <c r="BK1074" s="60"/>
    </row>
    <row r="1075" spans="2:63" ht="13.2">
      <c r="B1075" s="60"/>
      <c r="C1075" s="60"/>
      <c r="N1075" s="60"/>
      <c r="O1075" s="60"/>
      <c r="Z1075" s="60"/>
      <c r="AA1075" s="60"/>
      <c r="AL1075" s="60"/>
      <c r="AM1075" s="60"/>
      <c r="AX1075" s="60"/>
      <c r="AY1075" s="60"/>
      <c r="BJ1075" s="60"/>
      <c r="BK1075" s="60"/>
    </row>
    <row r="1076" spans="2:63" ht="13.2">
      <c r="B1076" s="60"/>
      <c r="C1076" s="60"/>
      <c r="N1076" s="60"/>
      <c r="O1076" s="60"/>
      <c r="Z1076" s="60"/>
      <c r="AA1076" s="60"/>
      <c r="AL1076" s="60"/>
      <c r="AM1076" s="60"/>
      <c r="AX1076" s="60"/>
      <c r="AY1076" s="60"/>
      <c r="BJ1076" s="60"/>
      <c r="BK1076" s="60"/>
    </row>
    <row r="1077" spans="2:63" ht="13.2">
      <c r="B1077" s="60"/>
      <c r="C1077" s="60"/>
      <c r="N1077" s="60"/>
      <c r="O1077" s="60"/>
      <c r="Z1077" s="60"/>
      <c r="AA1077" s="60"/>
      <c r="AL1077" s="60"/>
      <c r="AM1077" s="60"/>
      <c r="AX1077" s="60"/>
      <c r="AY1077" s="60"/>
      <c r="BJ1077" s="60"/>
      <c r="BK1077" s="60"/>
    </row>
    <row r="1078" spans="2:63" ht="13.2">
      <c r="B1078" s="60"/>
      <c r="C1078" s="60"/>
      <c r="N1078" s="60"/>
      <c r="O1078" s="60"/>
      <c r="Z1078" s="60"/>
      <c r="AA1078" s="60"/>
      <c r="AL1078" s="60"/>
      <c r="AM1078" s="60"/>
      <c r="AX1078" s="60"/>
      <c r="AY1078" s="60"/>
      <c r="BJ1078" s="60"/>
      <c r="BK1078" s="60"/>
    </row>
    <row r="1079" spans="2:63" ht="13.2">
      <c r="B1079" s="60"/>
      <c r="C1079" s="60"/>
      <c r="N1079" s="60"/>
      <c r="O1079" s="60"/>
      <c r="Z1079" s="60"/>
      <c r="AA1079" s="60"/>
      <c r="AL1079" s="60"/>
      <c r="AM1079" s="60"/>
      <c r="AX1079" s="60"/>
      <c r="AY1079" s="60"/>
      <c r="BJ1079" s="60"/>
      <c r="BK1079" s="60"/>
    </row>
    <row r="1080" spans="2:63" ht="13.2">
      <c r="B1080" s="60"/>
      <c r="C1080" s="60"/>
      <c r="N1080" s="60"/>
      <c r="O1080" s="60"/>
      <c r="Z1080" s="60"/>
      <c r="AA1080" s="60"/>
      <c r="AL1080" s="60"/>
      <c r="AM1080" s="60"/>
      <c r="AX1080" s="60"/>
      <c r="AY1080" s="60"/>
      <c r="BJ1080" s="60"/>
      <c r="BK1080" s="60"/>
    </row>
    <row r="1081" spans="2:63" ht="13.2">
      <c r="B1081" s="60"/>
      <c r="C1081" s="60"/>
      <c r="N1081" s="60"/>
      <c r="O1081" s="60"/>
      <c r="Z1081" s="60"/>
      <c r="AA1081" s="60"/>
      <c r="AL1081" s="60"/>
      <c r="AM1081" s="60"/>
      <c r="AX1081" s="60"/>
      <c r="AY1081" s="60"/>
      <c r="BJ1081" s="60"/>
      <c r="BK1081" s="60"/>
    </row>
    <row r="1082" spans="2:63" ht="13.2">
      <c r="B1082" s="60"/>
      <c r="C1082" s="60"/>
      <c r="N1082" s="60"/>
      <c r="O1082" s="60"/>
      <c r="Z1082" s="60"/>
      <c r="AA1082" s="60"/>
      <c r="AL1082" s="60"/>
      <c r="AM1082" s="60"/>
      <c r="AX1082" s="60"/>
      <c r="AY1082" s="60"/>
      <c r="BJ1082" s="60"/>
      <c r="BK1082" s="60"/>
    </row>
    <row r="1083" spans="2:63" ht="13.2">
      <c r="B1083" s="60"/>
      <c r="C1083" s="60"/>
      <c r="N1083" s="60"/>
      <c r="O1083" s="60"/>
      <c r="Z1083" s="60"/>
      <c r="AA1083" s="60"/>
      <c r="AL1083" s="60"/>
      <c r="AM1083" s="60"/>
      <c r="AX1083" s="60"/>
      <c r="AY1083" s="60"/>
      <c r="BJ1083" s="60"/>
      <c r="BK1083" s="60"/>
    </row>
    <row r="1084" spans="2:63" ht="13.2">
      <c r="B1084" s="60"/>
      <c r="C1084" s="60"/>
      <c r="N1084" s="60"/>
      <c r="O1084" s="60"/>
      <c r="Z1084" s="60"/>
      <c r="AA1084" s="60"/>
      <c r="AL1084" s="60"/>
      <c r="AM1084" s="60"/>
      <c r="AX1084" s="60"/>
      <c r="AY1084" s="60"/>
      <c r="BJ1084" s="60"/>
      <c r="BK1084" s="60"/>
    </row>
    <row r="1085" spans="2:63" ht="13.2">
      <c r="B1085" s="60"/>
      <c r="C1085" s="60"/>
      <c r="N1085" s="60"/>
      <c r="O1085" s="60"/>
      <c r="Z1085" s="60"/>
      <c r="AA1085" s="60"/>
      <c r="AL1085" s="60"/>
      <c r="AM1085" s="60"/>
      <c r="AX1085" s="60"/>
      <c r="AY1085" s="60"/>
      <c r="BJ1085" s="60"/>
      <c r="BK1085" s="60"/>
    </row>
    <row r="1086" spans="2:63" ht="13.2">
      <c r="B1086" s="60"/>
      <c r="C1086" s="60"/>
      <c r="N1086" s="60"/>
      <c r="O1086" s="60"/>
      <c r="Z1086" s="60"/>
      <c r="AA1086" s="60"/>
      <c r="AL1086" s="60"/>
      <c r="AM1086" s="60"/>
      <c r="AX1086" s="60"/>
      <c r="AY1086" s="60"/>
      <c r="BJ1086" s="60"/>
      <c r="BK1086" s="60"/>
    </row>
    <row r="1087" spans="2:63" ht="13.2">
      <c r="B1087" s="60"/>
      <c r="C1087" s="60"/>
      <c r="N1087" s="60"/>
      <c r="O1087" s="60"/>
      <c r="Z1087" s="60"/>
      <c r="AA1087" s="60"/>
      <c r="AL1087" s="60"/>
      <c r="AM1087" s="60"/>
      <c r="AX1087" s="60"/>
      <c r="AY1087" s="60"/>
      <c r="BJ1087" s="60"/>
      <c r="BK1087" s="60"/>
    </row>
    <row r="1088" spans="2:63" ht="13.2">
      <c r="B1088" s="60"/>
      <c r="C1088" s="60"/>
      <c r="N1088" s="60"/>
      <c r="O1088" s="60"/>
      <c r="Z1088" s="60"/>
      <c r="AA1088" s="60"/>
      <c r="AL1088" s="60"/>
      <c r="AM1088" s="60"/>
      <c r="AX1088" s="60"/>
      <c r="AY1088" s="60"/>
      <c r="BJ1088" s="60"/>
      <c r="BK1088" s="60"/>
    </row>
    <row r="1089" spans="2:63" ht="13.2">
      <c r="B1089" s="60"/>
      <c r="C1089" s="60"/>
      <c r="N1089" s="60"/>
      <c r="O1089" s="60"/>
      <c r="Z1089" s="60"/>
      <c r="AA1089" s="60"/>
      <c r="AL1089" s="60"/>
      <c r="AM1089" s="60"/>
      <c r="AX1089" s="60"/>
      <c r="AY1089" s="60"/>
      <c r="BJ1089" s="60"/>
      <c r="BK1089" s="60"/>
    </row>
    <row r="1090" spans="2:63" ht="13.2">
      <c r="B1090" s="60"/>
      <c r="C1090" s="60"/>
      <c r="N1090" s="60"/>
      <c r="O1090" s="60"/>
      <c r="Z1090" s="60"/>
      <c r="AA1090" s="60"/>
      <c r="AL1090" s="60"/>
      <c r="AM1090" s="60"/>
      <c r="AX1090" s="60"/>
      <c r="AY1090" s="60"/>
      <c r="BJ1090" s="60"/>
      <c r="BK1090" s="60"/>
    </row>
    <row r="1091" spans="2:63" ht="13.2">
      <c r="B1091" s="60"/>
      <c r="C1091" s="60"/>
      <c r="N1091" s="60"/>
      <c r="O1091" s="60"/>
      <c r="Z1091" s="60"/>
      <c r="AA1091" s="60"/>
      <c r="AL1091" s="60"/>
      <c r="AM1091" s="60"/>
      <c r="AX1091" s="60"/>
      <c r="AY1091" s="60"/>
      <c r="BJ1091" s="60"/>
      <c r="BK1091" s="60"/>
    </row>
    <row r="1092" spans="2:63" ht="13.2">
      <c r="B1092" s="60"/>
      <c r="C1092" s="60"/>
      <c r="N1092" s="60"/>
      <c r="O1092" s="60"/>
      <c r="Z1092" s="60"/>
      <c r="AA1092" s="60"/>
      <c r="AL1092" s="60"/>
      <c r="AM1092" s="60"/>
      <c r="AX1092" s="60"/>
      <c r="AY1092" s="60"/>
      <c r="BJ1092" s="60"/>
      <c r="BK1092" s="60"/>
    </row>
    <row r="1093" spans="2:63" ht="13.2">
      <c r="B1093" s="60"/>
      <c r="C1093" s="60"/>
      <c r="N1093" s="60"/>
      <c r="O1093" s="60"/>
      <c r="Z1093" s="60"/>
      <c r="AA1093" s="60"/>
      <c r="AL1093" s="60"/>
      <c r="AM1093" s="60"/>
      <c r="AX1093" s="60"/>
      <c r="AY1093" s="60"/>
      <c r="BJ1093" s="60"/>
      <c r="BK1093" s="60"/>
    </row>
    <row r="1094" spans="2:63" ht="13.2">
      <c r="B1094" s="60"/>
      <c r="C1094" s="60"/>
      <c r="N1094" s="60"/>
      <c r="O1094" s="60"/>
      <c r="Z1094" s="60"/>
      <c r="AA1094" s="60"/>
      <c r="AL1094" s="60"/>
      <c r="AM1094" s="60"/>
      <c r="AX1094" s="60"/>
      <c r="AY1094" s="60"/>
      <c r="BJ1094" s="60"/>
      <c r="BK1094" s="60"/>
    </row>
    <row r="1095" spans="2:63" ht="13.2">
      <c r="B1095" s="60"/>
      <c r="C1095" s="60"/>
      <c r="N1095" s="60"/>
      <c r="O1095" s="60"/>
      <c r="Z1095" s="60"/>
      <c r="AA1095" s="60"/>
      <c r="AL1095" s="60"/>
      <c r="AM1095" s="60"/>
      <c r="AX1095" s="60"/>
      <c r="AY1095" s="60"/>
      <c r="BJ1095" s="60"/>
      <c r="BK1095" s="60"/>
    </row>
    <row r="1096" spans="2:63" ht="13.2">
      <c r="B1096" s="60"/>
      <c r="C1096" s="60"/>
      <c r="N1096" s="60"/>
      <c r="O1096" s="60"/>
      <c r="Z1096" s="60"/>
      <c r="AA1096" s="60"/>
      <c r="AL1096" s="60"/>
      <c r="AM1096" s="60"/>
      <c r="AX1096" s="60"/>
      <c r="AY1096" s="60"/>
      <c r="BJ1096" s="60"/>
      <c r="BK1096" s="60"/>
    </row>
    <row r="1097" spans="2:63" ht="13.2">
      <c r="B1097" s="60"/>
      <c r="C1097" s="60"/>
      <c r="N1097" s="60"/>
      <c r="O1097" s="60"/>
      <c r="Z1097" s="60"/>
      <c r="AA1097" s="60"/>
      <c r="AL1097" s="60"/>
      <c r="AM1097" s="60"/>
      <c r="AX1097" s="60"/>
      <c r="AY1097" s="60"/>
      <c r="BJ1097" s="60"/>
      <c r="BK1097" s="60"/>
    </row>
    <row r="1098" spans="2:63" ht="13.2">
      <c r="B1098" s="60"/>
      <c r="C1098" s="60"/>
      <c r="N1098" s="60"/>
      <c r="O1098" s="60"/>
      <c r="Z1098" s="60"/>
      <c r="AA1098" s="60"/>
      <c r="AL1098" s="60"/>
      <c r="AM1098" s="60"/>
      <c r="AX1098" s="60"/>
      <c r="AY1098" s="60"/>
      <c r="BJ1098" s="60"/>
      <c r="BK1098" s="60"/>
    </row>
    <row r="1099" spans="2:63" ht="13.2">
      <c r="B1099" s="60"/>
      <c r="C1099" s="60"/>
      <c r="N1099" s="60"/>
      <c r="O1099" s="60"/>
      <c r="Z1099" s="60"/>
      <c r="AA1099" s="60"/>
      <c r="AL1099" s="60"/>
      <c r="AM1099" s="60"/>
      <c r="AX1099" s="60"/>
      <c r="AY1099" s="60"/>
      <c r="BJ1099" s="60"/>
      <c r="BK1099" s="60"/>
    </row>
    <row r="1100" spans="2:63" ht="13.2">
      <c r="B1100" s="60"/>
      <c r="C1100" s="60"/>
      <c r="N1100" s="60"/>
      <c r="O1100" s="60"/>
      <c r="Z1100" s="60"/>
      <c r="AA1100" s="60"/>
      <c r="AL1100" s="60"/>
      <c r="AM1100" s="60"/>
      <c r="AX1100" s="60"/>
      <c r="AY1100" s="60"/>
      <c r="BJ1100" s="60"/>
      <c r="BK1100" s="60"/>
    </row>
    <row r="1101" spans="2:63" ht="13.2">
      <c r="B1101" s="60"/>
      <c r="C1101" s="60"/>
      <c r="N1101" s="60"/>
      <c r="O1101" s="60"/>
      <c r="Z1101" s="60"/>
      <c r="AA1101" s="60"/>
      <c r="AL1101" s="60"/>
      <c r="AM1101" s="60"/>
      <c r="AX1101" s="60"/>
      <c r="AY1101" s="60"/>
      <c r="BJ1101" s="60"/>
      <c r="BK1101" s="60"/>
    </row>
    <row r="1102" spans="2:63" ht="13.2">
      <c r="B1102" s="60"/>
      <c r="C1102" s="60"/>
      <c r="N1102" s="60"/>
      <c r="O1102" s="60"/>
      <c r="Z1102" s="60"/>
      <c r="AA1102" s="60"/>
      <c r="AL1102" s="60"/>
      <c r="AM1102" s="60"/>
      <c r="AX1102" s="60"/>
      <c r="AY1102" s="60"/>
      <c r="BJ1102" s="60"/>
      <c r="BK1102" s="60"/>
    </row>
    <row r="1103" spans="2:63" ht="13.2">
      <c r="B1103" s="60"/>
      <c r="C1103" s="60"/>
      <c r="N1103" s="60"/>
      <c r="O1103" s="60"/>
      <c r="Z1103" s="60"/>
      <c r="AA1103" s="60"/>
      <c r="AL1103" s="60"/>
      <c r="AM1103" s="60"/>
      <c r="AX1103" s="60"/>
      <c r="AY1103" s="60"/>
      <c r="BJ1103" s="60"/>
      <c r="BK1103" s="60"/>
    </row>
    <row r="1104" spans="2:63" ht="13.2">
      <c r="B1104" s="60"/>
      <c r="C1104" s="60"/>
      <c r="N1104" s="60"/>
      <c r="O1104" s="60"/>
      <c r="Z1104" s="60"/>
      <c r="AA1104" s="60"/>
      <c r="AL1104" s="60"/>
      <c r="AM1104" s="60"/>
      <c r="AX1104" s="60"/>
      <c r="AY1104" s="60"/>
      <c r="BJ1104" s="60"/>
      <c r="BK1104" s="60"/>
    </row>
    <row r="1105" spans="2:63" ht="13.2">
      <c r="B1105" s="60"/>
      <c r="C1105" s="60"/>
      <c r="N1105" s="60"/>
      <c r="O1105" s="60"/>
      <c r="Z1105" s="60"/>
      <c r="AA1105" s="60"/>
      <c r="AL1105" s="60"/>
      <c r="AM1105" s="60"/>
      <c r="AX1105" s="60"/>
      <c r="AY1105" s="60"/>
      <c r="BJ1105" s="60"/>
      <c r="BK1105" s="60"/>
    </row>
    <row r="1106" spans="2:63" ht="13.2">
      <c r="B1106" s="60"/>
      <c r="C1106" s="60"/>
      <c r="N1106" s="60"/>
      <c r="O1106" s="60"/>
      <c r="Z1106" s="60"/>
      <c r="AA1106" s="60"/>
      <c r="AL1106" s="60"/>
      <c r="AM1106" s="60"/>
      <c r="AX1106" s="60"/>
      <c r="AY1106" s="60"/>
      <c r="BJ1106" s="60"/>
      <c r="BK1106" s="60"/>
    </row>
    <row r="1107" spans="2:63" ht="13.2">
      <c r="B1107" s="60"/>
      <c r="C1107" s="60"/>
      <c r="N1107" s="60"/>
      <c r="O1107" s="60"/>
      <c r="Z1107" s="60"/>
      <c r="AA1107" s="60"/>
      <c r="AL1107" s="60"/>
      <c r="AM1107" s="60"/>
      <c r="AX1107" s="60"/>
      <c r="AY1107" s="60"/>
      <c r="BJ1107" s="60"/>
      <c r="BK1107" s="60"/>
    </row>
    <row r="1108" spans="2:63" ht="13.2">
      <c r="B1108" s="60"/>
      <c r="C1108" s="60"/>
      <c r="N1108" s="60"/>
      <c r="O1108" s="60"/>
      <c r="Z1108" s="60"/>
      <c r="AA1108" s="60"/>
      <c r="AL1108" s="60"/>
      <c r="AM1108" s="60"/>
      <c r="AX1108" s="60"/>
      <c r="AY1108" s="60"/>
      <c r="BJ1108" s="60"/>
      <c r="BK1108" s="60"/>
    </row>
    <row r="1109" spans="2:63" ht="13.2">
      <c r="B1109" s="60"/>
      <c r="C1109" s="60"/>
      <c r="N1109" s="60"/>
      <c r="O1109" s="60"/>
      <c r="Z1109" s="60"/>
      <c r="AA1109" s="60"/>
      <c r="AL1109" s="60"/>
      <c r="AM1109" s="60"/>
      <c r="AX1109" s="60"/>
      <c r="AY1109" s="60"/>
      <c r="BJ1109" s="60"/>
      <c r="BK1109" s="60"/>
    </row>
    <row r="1110" spans="2:63" ht="13.2">
      <c r="B1110" s="60"/>
      <c r="C1110" s="60"/>
      <c r="N1110" s="60"/>
      <c r="O1110" s="60"/>
      <c r="Z1110" s="60"/>
      <c r="AA1110" s="60"/>
      <c r="AL1110" s="60"/>
      <c r="AM1110" s="60"/>
      <c r="AX1110" s="60"/>
      <c r="AY1110" s="60"/>
      <c r="BJ1110" s="60"/>
      <c r="BK1110" s="60"/>
    </row>
    <row r="1111" spans="2:63" ht="13.2">
      <c r="B1111" s="60"/>
      <c r="C1111" s="60"/>
      <c r="N1111" s="60"/>
      <c r="O1111" s="60"/>
      <c r="Z1111" s="60"/>
      <c r="AA1111" s="60"/>
      <c r="AL1111" s="60"/>
      <c r="AM1111" s="60"/>
      <c r="AX1111" s="60"/>
      <c r="AY1111" s="60"/>
      <c r="BJ1111" s="60"/>
      <c r="BK1111" s="60"/>
    </row>
    <row r="1112" spans="2:63" ht="13.2">
      <c r="B1112" s="60"/>
      <c r="C1112" s="60"/>
      <c r="N1112" s="60"/>
      <c r="O1112" s="60"/>
      <c r="Z1112" s="60"/>
      <c r="AA1112" s="60"/>
      <c r="AL1112" s="60"/>
      <c r="AM1112" s="60"/>
      <c r="AX1112" s="60"/>
      <c r="AY1112" s="60"/>
      <c r="BJ1112" s="60"/>
      <c r="BK1112" s="60"/>
    </row>
    <row r="1113" spans="2:63" ht="13.2">
      <c r="B1113" s="60"/>
      <c r="C1113" s="60"/>
      <c r="N1113" s="60"/>
      <c r="O1113" s="60"/>
      <c r="Z1113" s="60"/>
      <c r="AA1113" s="60"/>
      <c r="AL1113" s="60"/>
      <c r="AM1113" s="60"/>
      <c r="AX1113" s="60"/>
      <c r="AY1113" s="60"/>
      <c r="BJ1113" s="60"/>
      <c r="BK1113" s="60"/>
    </row>
    <row r="1114" spans="2:63" ht="13.2">
      <c r="B1114" s="60"/>
      <c r="C1114" s="60"/>
      <c r="N1114" s="60"/>
      <c r="O1114" s="60"/>
      <c r="Z1114" s="60"/>
      <c r="AA1114" s="60"/>
      <c r="AL1114" s="60"/>
      <c r="AM1114" s="60"/>
      <c r="AX1114" s="60"/>
      <c r="AY1114" s="60"/>
      <c r="BJ1114" s="60"/>
      <c r="BK1114" s="60"/>
    </row>
    <row r="1115" spans="2:63" ht="13.2">
      <c r="B1115" s="60"/>
      <c r="C1115" s="60"/>
      <c r="N1115" s="60"/>
      <c r="O1115" s="60"/>
      <c r="Z1115" s="60"/>
      <c r="AA1115" s="60"/>
      <c r="AL1115" s="60"/>
      <c r="AM1115" s="60"/>
      <c r="AX1115" s="60"/>
      <c r="AY1115" s="60"/>
      <c r="BJ1115" s="60"/>
      <c r="BK1115" s="60"/>
    </row>
    <row r="1116" spans="2:63" ht="13.2">
      <c r="B1116" s="60"/>
      <c r="C1116" s="60"/>
      <c r="N1116" s="60"/>
      <c r="O1116" s="60"/>
      <c r="Z1116" s="60"/>
      <c r="AA1116" s="60"/>
      <c r="AL1116" s="60"/>
      <c r="AM1116" s="60"/>
      <c r="AX1116" s="60"/>
      <c r="AY1116" s="60"/>
      <c r="BJ1116" s="60"/>
      <c r="BK1116" s="60"/>
    </row>
    <row r="1117" spans="2:63" ht="13.2">
      <c r="B1117" s="60"/>
      <c r="C1117" s="60"/>
      <c r="N1117" s="60"/>
      <c r="O1117" s="60"/>
      <c r="Z1117" s="60"/>
      <c r="AA1117" s="60"/>
      <c r="AL1117" s="60"/>
      <c r="AM1117" s="60"/>
      <c r="AX1117" s="60"/>
      <c r="AY1117" s="60"/>
      <c r="BJ1117" s="60"/>
      <c r="BK1117" s="60"/>
    </row>
    <row r="1118" spans="2:63" ht="13.2">
      <c r="B1118" s="60"/>
      <c r="C1118" s="60"/>
      <c r="N1118" s="60"/>
      <c r="O1118" s="60"/>
      <c r="Z1118" s="60"/>
      <c r="AA1118" s="60"/>
      <c r="AL1118" s="60"/>
      <c r="AM1118" s="60"/>
      <c r="AX1118" s="60"/>
      <c r="AY1118" s="60"/>
      <c r="BJ1118" s="60"/>
      <c r="BK1118" s="60"/>
    </row>
    <row r="1119" spans="2:63" ht="13.2">
      <c r="B1119" s="60"/>
      <c r="C1119" s="60"/>
      <c r="N1119" s="60"/>
      <c r="O1119" s="60"/>
      <c r="Z1119" s="60"/>
      <c r="AA1119" s="60"/>
      <c r="AL1119" s="60"/>
      <c r="AM1119" s="60"/>
      <c r="AX1119" s="60"/>
      <c r="AY1119" s="60"/>
      <c r="BJ1119" s="60"/>
      <c r="BK1119" s="60"/>
    </row>
    <row r="1120" spans="2:63" ht="13.2">
      <c r="B1120" s="60"/>
      <c r="C1120" s="60"/>
      <c r="N1120" s="60"/>
      <c r="O1120" s="60"/>
      <c r="Z1120" s="60"/>
      <c r="AA1120" s="60"/>
      <c r="AL1120" s="60"/>
      <c r="AM1120" s="60"/>
      <c r="AX1120" s="60"/>
      <c r="AY1120" s="60"/>
      <c r="BJ1120" s="60"/>
      <c r="BK1120" s="60"/>
    </row>
    <row r="1121" spans="2:63" ht="13.2">
      <c r="B1121" s="60"/>
      <c r="C1121" s="60"/>
      <c r="N1121" s="60"/>
      <c r="O1121" s="60"/>
      <c r="Z1121" s="60"/>
      <c r="AA1121" s="60"/>
      <c r="AL1121" s="60"/>
      <c r="AM1121" s="60"/>
      <c r="AX1121" s="60"/>
      <c r="AY1121" s="60"/>
      <c r="BJ1121" s="60"/>
      <c r="BK1121" s="60"/>
    </row>
    <row r="1122" spans="2:63" ht="13.2">
      <c r="B1122" s="60"/>
      <c r="C1122" s="60"/>
      <c r="N1122" s="60"/>
      <c r="O1122" s="60"/>
      <c r="Z1122" s="60"/>
      <c r="AA1122" s="60"/>
      <c r="AL1122" s="60"/>
      <c r="AM1122" s="60"/>
      <c r="AX1122" s="60"/>
      <c r="AY1122" s="60"/>
      <c r="BJ1122" s="60"/>
      <c r="BK1122" s="60"/>
    </row>
    <row r="1123" spans="2:63" ht="13.2">
      <c r="B1123" s="60"/>
      <c r="C1123" s="60"/>
      <c r="N1123" s="60"/>
      <c r="O1123" s="60"/>
      <c r="Z1123" s="60"/>
      <c r="AA1123" s="60"/>
      <c r="AL1123" s="60"/>
      <c r="AM1123" s="60"/>
      <c r="AX1123" s="60"/>
      <c r="AY1123" s="60"/>
      <c r="BJ1123" s="60"/>
      <c r="BK1123" s="60"/>
    </row>
    <row r="1124" spans="2:63" ht="13.2">
      <c r="B1124" s="60"/>
      <c r="C1124" s="60"/>
      <c r="N1124" s="60"/>
      <c r="O1124" s="60"/>
      <c r="Z1124" s="60"/>
      <c r="AA1124" s="60"/>
      <c r="AL1124" s="60"/>
      <c r="AM1124" s="60"/>
      <c r="AX1124" s="60"/>
      <c r="AY1124" s="60"/>
      <c r="BJ1124" s="60"/>
      <c r="BK1124" s="60"/>
    </row>
    <row r="1125" spans="2:63" ht="13.2">
      <c r="B1125" s="60"/>
      <c r="C1125" s="60"/>
      <c r="N1125" s="60"/>
      <c r="O1125" s="60"/>
      <c r="Z1125" s="60"/>
      <c r="AA1125" s="60"/>
      <c r="AL1125" s="60"/>
      <c r="AM1125" s="60"/>
      <c r="AX1125" s="60"/>
      <c r="AY1125" s="60"/>
      <c r="BJ1125" s="60"/>
      <c r="BK1125" s="60"/>
    </row>
    <row r="1126" spans="2:63" ht="13.2">
      <c r="B1126" s="60"/>
      <c r="C1126" s="60"/>
      <c r="N1126" s="60"/>
      <c r="O1126" s="60"/>
      <c r="Z1126" s="60"/>
      <c r="AA1126" s="60"/>
      <c r="AL1126" s="60"/>
      <c r="AM1126" s="60"/>
      <c r="AX1126" s="60"/>
      <c r="AY1126" s="60"/>
      <c r="BJ1126" s="60"/>
      <c r="BK1126" s="60"/>
    </row>
    <row r="1127" spans="2:63" ht="13.2">
      <c r="B1127" s="60"/>
      <c r="C1127" s="60"/>
      <c r="N1127" s="60"/>
      <c r="O1127" s="60"/>
      <c r="Z1127" s="60"/>
      <c r="AA1127" s="60"/>
      <c r="AL1127" s="60"/>
      <c r="AM1127" s="60"/>
      <c r="AX1127" s="60"/>
      <c r="AY1127" s="60"/>
      <c r="BJ1127" s="60"/>
      <c r="BK1127" s="60"/>
    </row>
    <row r="1128" spans="2:63" ht="13.2">
      <c r="B1128" s="60"/>
      <c r="C1128" s="60"/>
      <c r="N1128" s="60"/>
      <c r="O1128" s="60"/>
      <c r="Z1128" s="60"/>
      <c r="AA1128" s="60"/>
      <c r="AL1128" s="60"/>
      <c r="AM1128" s="60"/>
      <c r="AX1128" s="60"/>
      <c r="AY1128" s="60"/>
      <c r="BJ1128" s="60"/>
      <c r="BK1128" s="60"/>
    </row>
    <row r="1129" spans="2:63" ht="13.2">
      <c r="B1129" s="60"/>
      <c r="C1129" s="60"/>
      <c r="N1129" s="60"/>
      <c r="O1129" s="60"/>
      <c r="Z1129" s="60"/>
      <c r="AA1129" s="60"/>
      <c r="AL1129" s="60"/>
      <c r="AM1129" s="60"/>
      <c r="AX1129" s="60"/>
      <c r="AY1129" s="60"/>
      <c r="BJ1129" s="60"/>
      <c r="BK1129" s="60"/>
    </row>
    <row r="1130" spans="2:63" ht="13.2">
      <c r="B1130" s="60"/>
      <c r="C1130" s="60"/>
      <c r="N1130" s="60"/>
      <c r="O1130" s="60"/>
      <c r="Z1130" s="60"/>
      <c r="AA1130" s="60"/>
      <c r="AL1130" s="60"/>
      <c r="AM1130" s="60"/>
      <c r="AX1130" s="60"/>
      <c r="AY1130" s="60"/>
      <c r="BJ1130" s="60"/>
      <c r="BK1130" s="60"/>
    </row>
    <row r="1131" spans="2:63" ht="13.2">
      <c r="B1131" s="60"/>
      <c r="C1131" s="60"/>
      <c r="N1131" s="60"/>
      <c r="O1131" s="60"/>
      <c r="Z1131" s="60"/>
      <c r="AA1131" s="60"/>
      <c r="AL1131" s="60"/>
      <c r="AM1131" s="60"/>
      <c r="AX1131" s="60"/>
      <c r="AY1131" s="60"/>
      <c r="BJ1131" s="60"/>
      <c r="BK1131" s="60"/>
    </row>
    <row r="1132" spans="2:63" ht="13.2">
      <c r="B1132" s="60"/>
      <c r="C1132" s="60"/>
      <c r="N1132" s="60"/>
      <c r="O1132" s="60"/>
      <c r="Z1132" s="60"/>
      <c r="AA1132" s="60"/>
      <c r="AL1132" s="60"/>
      <c r="AM1132" s="60"/>
      <c r="AX1132" s="60"/>
      <c r="AY1132" s="60"/>
      <c r="BJ1132" s="60"/>
      <c r="BK1132" s="60"/>
    </row>
    <row r="1133" spans="2:63" ht="13.2">
      <c r="B1133" s="60"/>
      <c r="C1133" s="60"/>
      <c r="N1133" s="60"/>
      <c r="O1133" s="60"/>
      <c r="Z1133" s="60"/>
      <c r="AA1133" s="60"/>
      <c r="AL1133" s="60"/>
      <c r="AM1133" s="60"/>
      <c r="AX1133" s="60"/>
      <c r="AY1133" s="60"/>
      <c r="BJ1133" s="60"/>
      <c r="BK1133" s="60"/>
    </row>
    <row r="1134" spans="2:63" ht="13.2">
      <c r="B1134" s="60"/>
      <c r="C1134" s="60"/>
      <c r="N1134" s="60"/>
      <c r="O1134" s="60"/>
      <c r="Z1134" s="60"/>
      <c r="AA1134" s="60"/>
      <c r="AL1134" s="60"/>
      <c r="AM1134" s="60"/>
      <c r="AX1134" s="60"/>
      <c r="AY1134" s="60"/>
      <c r="BJ1134" s="60"/>
      <c r="BK1134" s="60"/>
    </row>
    <row r="1135" spans="2:63" ht="13.2">
      <c r="B1135" s="60"/>
      <c r="C1135" s="60"/>
      <c r="N1135" s="60"/>
      <c r="O1135" s="60"/>
      <c r="Z1135" s="60"/>
      <c r="AA1135" s="60"/>
      <c r="AL1135" s="60"/>
      <c r="AM1135" s="60"/>
      <c r="AX1135" s="60"/>
      <c r="AY1135" s="60"/>
      <c r="BJ1135" s="60"/>
      <c r="BK1135" s="60"/>
    </row>
    <row r="1136" spans="2:63" ht="13.2">
      <c r="B1136" s="60"/>
      <c r="C1136" s="60"/>
      <c r="N1136" s="60"/>
      <c r="O1136" s="60"/>
      <c r="Z1136" s="60"/>
      <c r="AA1136" s="60"/>
      <c r="AL1136" s="60"/>
      <c r="AM1136" s="60"/>
      <c r="AX1136" s="60"/>
      <c r="AY1136" s="60"/>
      <c r="BJ1136" s="60"/>
      <c r="BK1136" s="60"/>
    </row>
    <row r="1137" spans="2:63" ht="13.2">
      <c r="B1137" s="60"/>
      <c r="C1137" s="60"/>
      <c r="N1137" s="60"/>
      <c r="O1137" s="60"/>
      <c r="Z1137" s="60"/>
      <c r="AA1137" s="60"/>
      <c r="AL1137" s="60"/>
      <c r="AM1137" s="60"/>
      <c r="AX1137" s="60"/>
      <c r="AY1137" s="60"/>
      <c r="BJ1137" s="60"/>
      <c r="BK1137" s="60"/>
    </row>
    <row r="1138" spans="2:63" ht="13.2">
      <c r="B1138" s="60"/>
      <c r="C1138" s="60"/>
      <c r="N1138" s="60"/>
      <c r="O1138" s="60"/>
      <c r="Z1138" s="60"/>
      <c r="AA1138" s="60"/>
      <c r="AL1138" s="60"/>
      <c r="AM1138" s="60"/>
      <c r="AX1138" s="60"/>
      <c r="AY1138" s="60"/>
      <c r="BJ1138" s="60"/>
      <c r="BK1138" s="60"/>
    </row>
    <row r="1139" spans="2:63" ht="13.2">
      <c r="B1139" s="60"/>
      <c r="C1139" s="60"/>
      <c r="N1139" s="60"/>
      <c r="O1139" s="60"/>
      <c r="Z1139" s="60"/>
      <c r="AA1139" s="60"/>
      <c r="AL1139" s="60"/>
      <c r="AM1139" s="60"/>
      <c r="AX1139" s="60"/>
      <c r="AY1139" s="60"/>
      <c r="BJ1139" s="60"/>
      <c r="BK1139" s="60"/>
    </row>
    <row r="1140" spans="2:63" ht="13.2">
      <c r="B1140" s="60"/>
      <c r="C1140" s="60"/>
      <c r="N1140" s="60"/>
      <c r="O1140" s="60"/>
      <c r="Z1140" s="60"/>
      <c r="AA1140" s="60"/>
      <c r="AL1140" s="60"/>
      <c r="AM1140" s="60"/>
      <c r="AX1140" s="60"/>
      <c r="AY1140" s="60"/>
      <c r="BJ1140" s="60"/>
      <c r="BK1140" s="60"/>
    </row>
    <row r="1141" spans="2:63" ht="13.2">
      <c r="B1141" s="60"/>
      <c r="C1141" s="60"/>
      <c r="N1141" s="60"/>
      <c r="O1141" s="60"/>
      <c r="Z1141" s="60"/>
      <c r="AA1141" s="60"/>
      <c r="AL1141" s="60"/>
      <c r="AM1141" s="60"/>
      <c r="AX1141" s="60"/>
      <c r="AY1141" s="60"/>
      <c r="BJ1141" s="60"/>
      <c r="BK1141" s="60"/>
    </row>
    <row r="1142" spans="2:63" ht="13.2">
      <c r="B1142" s="60"/>
      <c r="C1142" s="60"/>
      <c r="N1142" s="60"/>
      <c r="O1142" s="60"/>
      <c r="Z1142" s="60"/>
      <c r="AA1142" s="60"/>
      <c r="AL1142" s="60"/>
      <c r="AM1142" s="60"/>
      <c r="AX1142" s="60"/>
      <c r="AY1142" s="60"/>
      <c r="BJ1142" s="60"/>
      <c r="BK1142" s="60"/>
    </row>
    <row r="1143" spans="2:63" ht="13.2">
      <c r="B1143" s="60"/>
      <c r="C1143" s="60"/>
      <c r="N1143" s="60"/>
      <c r="O1143" s="60"/>
      <c r="Z1143" s="60"/>
      <c r="AA1143" s="60"/>
      <c r="AL1143" s="60"/>
      <c r="AM1143" s="60"/>
      <c r="AX1143" s="60"/>
      <c r="AY1143" s="60"/>
      <c r="BJ1143" s="60"/>
      <c r="BK1143" s="60"/>
    </row>
    <row r="1144" spans="2:63" ht="13.2">
      <c r="B1144" s="60"/>
      <c r="C1144" s="60"/>
      <c r="N1144" s="60"/>
      <c r="O1144" s="60"/>
      <c r="Z1144" s="60"/>
      <c r="AA1144" s="60"/>
      <c r="AL1144" s="60"/>
      <c r="AM1144" s="60"/>
      <c r="AX1144" s="60"/>
      <c r="AY1144" s="60"/>
      <c r="BJ1144" s="60"/>
      <c r="BK1144" s="60"/>
    </row>
    <row r="1145" spans="2:63" ht="13.2">
      <c r="B1145" s="60"/>
      <c r="C1145" s="60"/>
      <c r="N1145" s="60"/>
      <c r="O1145" s="60"/>
      <c r="Z1145" s="60"/>
      <c r="AA1145" s="60"/>
      <c r="AL1145" s="60"/>
      <c r="AM1145" s="60"/>
      <c r="AX1145" s="60"/>
      <c r="AY1145" s="60"/>
      <c r="BJ1145" s="60"/>
      <c r="BK1145" s="60"/>
    </row>
    <row r="1146" spans="2:63" ht="13.2">
      <c r="B1146" s="60"/>
      <c r="C1146" s="60"/>
      <c r="N1146" s="60"/>
      <c r="O1146" s="60"/>
      <c r="Z1146" s="60"/>
      <c r="AA1146" s="60"/>
      <c r="AL1146" s="60"/>
      <c r="AM1146" s="60"/>
      <c r="AX1146" s="60"/>
      <c r="AY1146" s="60"/>
      <c r="BJ1146" s="60"/>
      <c r="BK1146" s="60"/>
    </row>
    <row r="1147" spans="2:63" ht="13.2">
      <c r="B1147" s="60"/>
      <c r="C1147" s="60"/>
      <c r="N1147" s="60"/>
      <c r="O1147" s="60"/>
      <c r="Z1147" s="60"/>
      <c r="AA1147" s="60"/>
      <c r="AL1147" s="60"/>
      <c r="AM1147" s="60"/>
      <c r="AX1147" s="60"/>
      <c r="AY1147" s="60"/>
      <c r="BJ1147" s="60"/>
      <c r="BK1147" s="60"/>
    </row>
    <row r="1148" spans="2:63" ht="13.2">
      <c r="B1148" s="60"/>
      <c r="C1148" s="60"/>
      <c r="N1148" s="60"/>
      <c r="O1148" s="60"/>
      <c r="Z1148" s="60"/>
      <c r="AA1148" s="60"/>
      <c r="AL1148" s="60"/>
      <c r="AM1148" s="60"/>
      <c r="AX1148" s="60"/>
      <c r="AY1148" s="60"/>
      <c r="BJ1148" s="60"/>
      <c r="BK1148" s="60"/>
    </row>
    <row r="1149" spans="2:63" ht="13.2">
      <c r="B1149" s="60"/>
      <c r="C1149" s="60"/>
      <c r="N1149" s="60"/>
      <c r="O1149" s="60"/>
      <c r="Z1149" s="60"/>
      <c r="AA1149" s="60"/>
      <c r="AL1149" s="60"/>
      <c r="AM1149" s="60"/>
      <c r="AX1149" s="60"/>
      <c r="AY1149" s="60"/>
      <c r="BJ1149" s="60"/>
      <c r="BK1149" s="60"/>
    </row>
    <row r="1150" spans="2:63" ht="13.2">
      <c r="B1150" s="60"/>
      <c r="C1150" s="60"/>
      <c r="N1150" s="60"/>
      <c r="O1150" s="60"/>
      <c r="Z1150" s="60"/>
      <c r="AA1150" s="60"/>
      <c r="AL1150" s="60"/>
      <c r="AM1150" s="60"/>
      <c r="AX1150" s="60"/>
      <c r="AY1150" s="60"/>
      <c r="BJ1150" s="60"/>
      <c r="BK1150" s="60"/>
    </row>
    <row r="1151" spans="2:63" ht="13.2">
      <c r="B1151" s="60"/>
      <c r="C1151" s="60"/>
      <c r="N1151" s="60"/>
      <c r="O1151" s="60"/>
      <c r="Z1151" s="60"/>
      <c r="AA1151" s="60"/>
      <c r="AL1151" s="60"/>
      <c r="AM1151" s="60"/>
      <c r="AX1151" s="60"/>
      <c r="AY1151" s="60"/>
      <c r="BJ1151" s="60"/>
      <c r="BK1151" s="60"/>
    </row>
    <row r="1152" spans="2:63" ht="13.2">
      <c r="B1152" s="60"/>
      <c r="C1152" s="60"/>
      <c r="N1152" s="60"/>
      <c r="O1152" s="60"/>
      <c r="Z1152" s="60"/>
      <c r="AA1152" s="60"/>
      <c r="AL1152" s="60"/>
      <c r="AM1152" s="60"/>
      <c r="AX1152" s="60"/>
      <c r="AY1152" s="60"/>
      <c r="BJ1152" s="60"/>
      <c r="BK1152" s="60"/>
    </row>
    <row r="1153" spans="2:63" ht="13.2">
      <c r="B1153" s="60"/>
      <c r="C1153" s="60"/>
      <c r="N1153" s="60"/>
      <c r="O1153" s="60"/>
      <c r="Z1153" s="60"/>
      <c r="AA1153" s="60"/>
      <c r="AL1153" s="60"/>
      <c r="AM1153" s="60"/>
      <c r="AX1153" s="60"/>
      <c r="AY1153" s="60"/>
      <c r="BJ1153" s="60"/>
      <c r="BK1153" s="60"/>
    </row>
    <row r="1154" spans="2:63" ht="13.2">
      <c r="B1154" s="60"/>
      <c r="C1154" s="60"/>
      <c r="N1154" s="60"/>
      <c r="O1154" s="60"/>
      <c r="Z1154" s="60"/>
      <c r="AA1154" s="60"/>
      <c r="AL1154" s="60"/>
      <c r="AM1154" s="60"/>
      <c r="AX1154" s="60"/>
      <c r="AY1154" s="60"/>
      <c r="BJ1154" s="60"/>
      <c r="BK1154" s="60"/>
    </row>
    <row r="1155" spans="2:63" ht="13.2">
      <c r="B1155" s="60"/>
      <c r="C1155" s="60"/>
      <c r="N1155" s="60"/>
      <c r="O1155" s="60"/>
      <c r="Z1155" s="60"/>
      <c r="AA1155" s="60"/>
      <c r="AL1155" s="60"/>
      <c r="AM1155" s="60"/>
      <c r="AX1155" s="60"/>
      <c r="AY1155" s="60"/>
      <c r="BJ1155" s="60"/>
      <c r="BK1155" s="60"/>
    </row>
    <row r="1156" spans="2:63" ht="13.2">
      <c r="B1156" s="60"/>
      <c r="C1156" s="60"/>
      <c r="N1156" s="60"/>
      <c r="O1156" s="60"/>
      <c r="Z1156" s="60"/>
      <c r="AA1156" s="60"/>
      <c r="AL1156" s="60"/>
      <c r="AM1156" s="60"/>
      <c r="AX1156" s="60"/>
      <c r="AY1156" s="60"/>
      <c r="BJ1156" s="60"/>
      <c r="BK1156" s="60"/>
    </row>
    <row r="1157" spans="2:63" ht="13.2">
      <c r="B1157" s="60"/>
      <c r="C1157" s="60"/>
      <c r="N1157" s="60"/>
      <c r="O1157" s="60"/>
      <c r="Z1157" s="60"/>
      <c r="AA1157" s="60"/>
      <c r="AL1157" s="60"/>
      <c r="AM1157" s="60"/>
      <c r="AX1157" s="60"/>
      <c r="AY1157" s="60"/>
      <c r="BJ1157" s="60"/>
      <c r="BK1157" s="60"/>
    </row>
    <row r="1158" spans="2:63" ht="13.2">
      <c r="B1158" s="60"/>
      <c r="C1158" s="60"/>
      <c r="N1158" s="60"/>
      <c r="O1158" s="60"/>
      <c r="Z1158" s="60"/>
      <c r="AA1158" s="60"/>
      <c r="AL1158" s="60"/>
      <c r="AM1158" s="60"/>
      <c r="AX1158" s="60"/>
      <c r="AY1158" s="60"/>
      <c r="BJ1158" s="60"/>
      <c r="BK1158" s="60"/>
    </row>
    <row r="1159" spans="2:63" ht="13.2">
      <c r="B1159" s="60"/>
      <c r="C1159" s="60"/>
      <c r="N1159" s="60"/>
      <c r="O1159" s="60"/>
      <c r="Z1159" s="60"/>
      <c r="AA1159" s="60"/>
      <c r="AL1159" s="60"/>
      <c r="AM1159" s="60"/>
      <c r="AX1159" s="60"/>
      <c r="AY1159" s="60"/>
      <c r="BJ1159" s="60"/>
      <c r="BK1159" s="60"/>
    </row>
    <row r="1160" spans="2:63" ht="13.2">
      <c r="B1160" s="60"/>
      <c r="C1160" s="60"/>
      <c r="N1160" s="60"/>
      <c r="O1160" s="60"/>
      <c r="Z1160" s="60"/>
      <c r="AA1160" s="60"/>
      <c r="AL1160" s="60"/>
      <c r="AM1160" s="60"/>
      <c r="AX1160" s="60"/>
      <c r="AY1160" s="60"/>
      <c r="BJ1160" s="60"/>
      <c r="BK1160" s="60"/>
    </row>
    <row r="1161" spans="2:63" ht="13.2">
      <c r="B1161" s="60"/>
      <c r="C1161" s="60"/>
      <c r="N1161" s="60"/>
      <c r="O1161" s="60"/>
      <c r="Z1161" s="60"/>
      <c r="AA1161" s="60"/>
      <c r="AL1161" s="60"/>
      <c r="AM1161" s="60"/>
      <c r="AX1161" s="60"/>
      <c r="AY1161" s="60"/>
      <c r="BJ1161" s="60"/>
      <c r="BK1161" s="60"/>
    </row>
    <row r="1162" spans="2:63" ht="13.2">
      <c r="B1162" s="60"/>
      <c r="C1162" s="60"/>
      <c r="N1162" s="60"/>
      <c r="O1162" s="60"/>
      <c r="Z1162" s="60"/>
      <c r="AA1162" s="60"/>
      <c r="AL1162" s="60"/>
      <c r="AM1162" s="60"/>
      <c r="AX1162" s="60"/>
      <c r="AY1162" s="60"/>
      <c r="BJ1162" s="60"/>
      <c r="BK1162" s="60"/>
    </row>
    <row r="1163" spans="2:63" ht="13.2">
      <c r="B1163" s="60"/>
      <c r="C1163" s="60"/>
      <c r="N1163" s="60"/>
      <c r="O1163" s="60"/>
      <c r="Z1163" s="60"/>
      <c r="AA1163" s="60"/>
      <c r="AL1163" s="60"/>
      <c r="AM1163" s="60"/>
      <c r="AX1163" s="60"/>
      <c r="AY1163" s="60"/>
      <c r="BJ1163" s="60"/>
      <c r="BK1163" s="60"/>
    </row>
    <row r="1164" spans="2:63" ht="13.2">
      <c r="B1164" s="60"/>
      <c r="C1164" s="60"/>
      <c r="N1164" s="60"/>
      <c r="O1164" s="60"/>
      <c r="Z1164" s="60"/>
      <c r="AA1164" s="60"/>
      <c r="AL1164" s="60"/>
      <c r="AM1164" s="60"/>
      <c r="AX1164" s="60"/>
      <c r="AY1164" s="60"/>
      <c r="BJ1164" s="60"/>
      <c r="BK1164" s="60"/>
    </row>
    <row r="1165" spans="2:63" ht="13.2">
      <c r="B1165" s="60"/>
      <c r="C1165" s="60"/>
      <c r="N1165" s="60"/>
      <c r="O1165" s="60"/>
      <c r="Z1165" s="60"/>
      <c r="AA1165" s="60"/>
      <c r="AL1165" s="60"/>
      <c r="AM1165" s="60"/>
      <c r="AX1165" s="60"/>
      <c r="AY1165" s="60"/>
      <c r="BJ1165" s="60"/>
      <c r="BK1165" s="60"/>
    </row>
    <row r="1166" spans="2:63" ht="13.2">
      <c r="B1166" s="60"/>
      <c r="C1166" s="60"/>
      <c r="N1166" s="60"/>
      <c r="O1166" s="60"/>
      <c r="Z1166" s="60"/>
      <c r="AA1166" s="60"/>
      <c r="AL1166" s="60"/>
      <c r="AM1166" s="60"/>
      <c r="AX1166" s="60"/>
      <c r="AY1166" s="60"/>
      <c r="BJ1166" s="60"/>
      <c r="BK1166" s="60"/>
    </row>
    <row r="1167" spans="2:63" ht="13.2">
      <c r="B1167" s="60"/>
      <c r="C1167" s="60"/>
      <c r="N1167" s="60"/>
      <c r="O1167" s="60"/>
      <c r="Z1167" s="60"/>
      <c r="AA1167" s="60"/>
      <c r="AL1167" s="60"/>
      <c r="AM1167" s="60"/>
      <c r="AX1167" s="60"/>
      <c r="AY1167" s="60"/>
      <c r="BJ1167" s="60"/>
      <c r="BK1167" s="60"/>
    </row>
    <row r="1168" spans="2:63" ht="13.2">
      <c r="B1168" s="60"/>
      <c r="C1168" s="60"/>
      <c r="N1168" s="60"/>
      <c r="O1168" s="60"/>
      <c r="Z1168" s="60"/>
      <c r="AA1168" s="60"/>
      <c r="AL1168" s="60"/>
      <c r="AM1168" s="60"/>
      <c r="AX1168" s="60"/>
      <c r="AY1168" s="60"/>
      <c r="BJ1168" s="60"/>
      <c r="BK1168" s="60"/>
    </row>
    <row r="1169" spans="2:63" ht="13.2">
      <c r="B1169" s="60"/>
      <c r="C1169" s="60"/>
      <c r="N1169" s="60"/>
      <c r="O1169" s="60"/>
      <c r="Z1169" s="60"/>
      <c r="AA1169" s="60"/>
      <c r="AL1169" s="60"/>
      <c r="AM1169" s="60"/>
      <c r="AX1169" s="60"/>
      <c r="AY1169" s="60"/>
      <c r="BJ1169" s="60"/>
      <c r="BK1169" s="60"/>
    </row>
    <row r="1170" spans="2:63" ht="13.2">
      <c r="B1170" s="60"/>
      <c r="C1170" s="60"/>
      <c r="N1170" s="60"/>
      <c r="O1170" s="60"/>
      <c r="Z1170" s="60"/>
      <c r="AA1170" s="60"/>
      <c r="AL1170" s="60"/>
      <c r="AM1170" s="60"/>
      <c r="AX1170" s="60"/>
      <c r="AY1170" s="60"/>
      <c r="BJ1170" s="60"/>
      <c r="BK1170" s="60"/>
    </row>
    <row r="1171" spans="2:63" ht="13.2">
      <c r="B1171" s="60"/>
      <c r="C1171" s="60"/>
      <c r="N1171" s="60"/>
      <c r="O1171" s="60"/>
      <c r="Z1171" s="60"/>
      <c r="AA1171" s="60"/>
      <c r="AL1171" s="60"/>
      <c r="AM1171" s="60"/>
      <c r="AX1171" s="60"/>
      <c r="AY1171" s="60"/>
      <c r="BJ1171" s="60"/>
      <c r="BK1171" s="60"/>
    </row>
  </sheetData>
  <mergeCells count="80">
    <mergeCell ref="A19:A25"/>
    <mergeCell ref="A26:A32"/>
    <mergeCell ref="A33:A36"/>
    <mergeCell ref="X3:Y3"/>
    <mergeCell ref="B3:B4"/>
    <mergeCell ref="C3:E3"/>
    <mergeCell ref="A5:A11"/>
    <mergeCell ref="A12:A18"/>
    <mergeCell ref="A184:A190"/>
    <mergeCell ref="A191:A197"/>
    <mergeCell ref="A198:A204"/>
    <mergeCell ref="A120:A126"/>
    <mergeCell ref="A127:A133"/>
    <mergeCell ref="A134:A140"/>
    <mergeCell ref="A141:A147"/>
    <mergeCell ref="A148:A154"/>
    <mergeCell ref="A155:A161"/>
    <mergeCell ref="A162:A169"/>
    <mergeCell ref="A99:A105"/>
    <mergeCell ref="A106:A112"/>
    <mergeCell ref="A113:A119"/>
    <mergeCell ref="A170:A176"/>
    <mergeCell ref="A177:A183"/>
    <mergeCell ref="A70:A73"/>
    <mergeCell ref="A74:A77"/>
    <mergeCell ref="A78:A84"/>
    <mergeCell ref="A85:A91"/>
    <mergeCell ref="A92:A98"/>
    <mergeCell ref="A41:A47"/>
    <mergeCell ref="A48:A54"/>
    <mergeCell ref="A55:A58"/>
    <mergeCell ref="A59:A62"/>
    <mergeCell ref="A63:A69"/>
    <mergeCell ref="AS3:AS4"/>
    <mergeCell ref="AT3:AT4"/>
    <mergeCell ref="AU3:AU4"/>
    <mergeCell ref="AV3:AW3"/>
    <mergeCell ref="A37:A40"/>
    <mergeCell ref="F3:H3"/>
    <mergeCell ref="I3:I4"/>
    <mergeCell ref="J3:J4"/>
    <mergeCell ref="K3:K4"/>
    <mergeCell ref="L3:M3"/>
    <mergeCell ref="N3:N4"/>
    <mergeCell ref="O3:Q3"/>
    <mergeCell ref="R3:T3"/>
    <mergeCell ref="U3:U4"/>
    <mergeCell ref="V3:V4"/>
    <mergeCell ref="W3:W4"/>
    <mergeCell ref="AI3:AI4"/>
    <mergeCell ref="AJ3:AK3"/>
    <mergeCell ref="AL3:AL4"/>
    <mergeCell ref="AM3:AO3"/>
    <mergeCell ref="AP3:AR3"/>
    <mergeCell ref="BQ3:BQ4"/>
    <mergeCell ref="BR3:BR4"/>
    <mergeCell ref="BS3:BS4"/>
    <mergeCell ref="BT3:BU3"/>
    <mergeCell ref="A2:A4"/>
    <mergeCell ref="B2:M2"/>
    <mergeCell ref="N2:Y2"/>
    <mergeCell ref="Z2:AK2"/>
    <mergeCell ref="AL2:AW2"/>
    <mergeCell ref="AX2:BI2"/>
    <mergeCell ref="BJ2:BU2"/>
    <mergeCell ref="Z3:Z4"/>
    <mergeCell ref="AA3:AC3"/>
    <mergeCell ref="AD3:AF3"/>
    <mergeCell ref="AG3:AG4"/>
    <mergeCell ref="AH3:AH4"/>
    <mergeCell ref="BG3:BG4"/>
    <mergeCell ref="BH3:BI3"/>
    <mergeCell ref="BJ3:BJ4"/>
    <mergeCell ref="BK3:BM3"/>
    <mergeCell ref="BN3:BP3"/>
    <mergeCell ref="AX3:AX4"/>
    <mergeCell ref="AY3:BA3"/>
    <mergeCell ref="BB3:BD3"/>
    <mergeCell ref="BE3:BE4"/>
    <mergeCell ref="BF3:BF4"/>
  </mergeCells>
  <conditionalFormatting sqref="I5:I8 U5:U8 AG5:AG8 BE5:BE8 BQ5:BQ8 U12:U15 AG12:AG15 BE12:BE15 BQ12:BQ15 U48:U51 AG48:AG51 BE48:BE51 BQ48:BQ51 U55 AG55 BE55 BQ55">
    <cfRule type="notContainsBlanks" dxfId="1" priority="1">
      <formula>LEN(TRIM(I5))&gt;0</formula>
    </cfRule>
  </conditionalFormatting>
  <conditionalFormatting sqref="I37">
    <cfRule type="notContainsBlanks" dxfId="0" priority="2">
      <formula>LEN(TRIM(I37))&gt;0</formula>
    </cfRule>
  </conditionalFormatting>
  <dataValidations count="1">
    <dataValidation type="list" allowBlank="1" showErrorMessage="1" sqref="I5:I204 U5:U204 AG5:AG204 AS5:AS204 BE5:BE204 BQ5:BQ204" xr:uid="{00000000-0002-0000-0A00-000000000000}">
      <formula1>"ประชุม,ประชุมออนไลน์,ติดตามงาน,POC,ปิดงาน,Training,สำรวจหน้างาน,แนะนำ,อื่นๆ"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063"/>
  <sheetViews>
    <sheetView workbookViewId="0">
      <pane ySplit="2" topLeftCell="A3" activePane="bottomLeft" state="frozen"/>
      <selection pane="bottomLeft" activeCell="H121" sqref="H121"/>
    </sheetView>
  </sheetViews>
  <sheetFormatPr defaultColWidth="12.5546875" defaultRowHeight="15.75" customHeight="1"/>
  <cols>
    <col min="1" max="1" width="15.44140625" customWidth="1"/>
    <col min="2" max="2" width="14.33203125" customWidth="1"/>
    <col min="3" max="3" width="15" customWidth="1"/>
    <col min="4" max="4" width="14.44140625" customWidth="1"/>
    <col min="5" max="5" width="39.109375" customWidth="1"/>
    <col min="6" max="6" width="13.33203125" customWidth="1"/>
    <col min="7" max="7" width="13.5546875" customWidth="1"/>
    <col min="8" max="8" width="32.44140625" customWidth="1"/>
    <col min="9" max="9" width="12.88671875" customWidth="1"/>
    <col min="10" max="10" width="18.88671875" customWidth="1"/>
    <col min="11" max="11" width="13.109375" customWidth="1"/>
  </cols>
  <sheetData>
    <row r="1" spans="1:10" ht="14.4">
      <c r="A1" s="62" t="s">
        <v>518</v>
      </c>
      <c r="B1" s="408"/>
      <c r="C1" s="75" t="s">
        <v>26</v>
      </c>
      <c r="D1" s="62"/>
      <c r="E1" s="68"/>
      <c r="F1" s="69"/>
      <c r="G1" s="62"/>
      <c r="H1" s="68"/>
      <c r="I1" s="99"/>
      <c r="J1" s="75"/>
    </row>
    <row r="2" spans="1:10" s="466" customFormat="1" ht="40.049999999999997" customHeight="1">
      <c r="A2" s="732" t="s">
        <v>514</v>
      </c>
      <c r="B2" s="733" t="s">
        <v>515</v>
      </c>
      <c r="C2" s="734" t="s">
        <v>13</v>
      </c>
      <c r="D2" s="733" t="s">
        <v>584</v>
      </c>
      <c r="E2" s="733" t="s">
        <v>523</v>
      </c>
      <c r="F2" s="733" t="s">
        <v>585</v>
      </c>
      <c r="G2" s="733" t="s">
        <v>516</v>
      </c>
      <c r="H2" s="733" t="s">
        <v>44</v>
      </c>
      <c r="I2" s="735"/>
      <c r="J2" s="736"/>
    </row>
    <row r="3" spans="1:10" ht="14.4">
      <c r="A3" s="410"/>
      <c r="B3" s="411"/>
      <c r="C3" s="411"/>
      <c r="D3" s="411"/>
      <c r="E3" s="412"/>
      <c r="F3" s="737"/>
      <c r="G3" s="411"/>
      <c r="H3" s="413"/>
      <c r="I3" s="79"/>
      <c r="J3" s="75"/>
    </row>
    <row r="4" spans="1:10" ht="14.4">
      <c r="A4" s="414"/>
      <c r="B4" s="415"/>
      <c r="C4" s="415"/>
      <c r="D4" s="332"/>
      <c r="E4" s="260"/>
      <c r="F4" s="738"/>
      <c r="G4" s="415"/>
      <c r="H4" s="416"/>
      <c r="I4" s="99"/>
      <c r="J4" s="75"/>
    </row>
    <row r="5" spans="1:10" ht="14.4">
      <c r="A5" s="414"/>
      <c r="B5" s="417"/>
      <c r="C5" s="417"/>
      <c r="D5" s="417"/>
      <c r="E5" s="418"/>
      <c r="F5" s="739"/>
      <c r="G5" s="417"/>
      <c r="H5" s="418"/>
      <c r="I5" s="99"/>
      <c r="J5" s="75"/>
    </row>
    <row r="6" spans="1:10" ht="14.4">
      <c r="A6" s="414"/>
      <c r="B6" s="415"/>
      <c r="C6" s="415"/>
      <c r="D6" s="415"/>
      <c r="E6" s="419"/>
      <c r="F6" s="740"/>
      <c r="G6" s="415"/>
      <c r="H6" s="416"/>
      <c r="I6" s="99"/>
      <c r="J6" s="75"/>
    </row>
    <row r="7" spans="1:10" ht="14.4">
      <c r="A7" s="414"/>
      <c r="B7" s="415"/>
      <c r="C7" s="415"/>
      <c r="D7" s="415"/>
      <c r="E7" s="416"/>
      <c r="F7" s="738"/>
      <c r="G7" s="415"/>
      <c r="H7" s="416"/>
      <c r="I7" s="99"/>
      <c r="J7" s="75"/>
    </row>
    <row r="8" spans="1:10" ht="14.4">
      <c r="A8" s="414"/>
      <c r="B8" s="415"/>
      <c r="C8" s="415"/>
      <c r="D8" s="415"/>
      <c r="E8" s="416"/>
      <c r="F8" s="738"/>
      <c r="G8" s="415"/>
      <c r="H8" s="416"/>
      <c r="I8" s="99"/>
      <c r="J8" s="75"/>
    </row>
    <row r="9" spans="1:10" ht="14.4">
      <c r="A9" s="414"/>
      <c r="B9" s="415"/>
      <c r="C9" s="415"/>
      <c r="D9" s="415"/>
      <c r="E9" s="416"/>
      <c r="F9" s="738"/>
      <c r="G9" s="415"/>
      <c r="H9" s="416"/>
      <c r="I9" s="99"/>
      <c r="J9" s="75"/>
    </row>
    <row r="10" spans="1:10" ht="14.4">
      <c r="A10" s="414"/>
      <c r="B10" s="411"/>
      <c r="C10" s="411"/>
      <c r="D10" s="411"/>
      <c r="E10" s="413"/>
      <c r="F10" s="737"/>
      <c r="G10" s="411"/>
      <c r="H10" s="413"/>
      <c r="I10" s="79"/>
      <c r="J10" s="75"/>
    </row>
    <row r="11" spans="1:10" ht="14.4">
      <c r="A11" s="414"/>
      <c r="B11" s="415"/>
      <c r="C11" s="415"/>
      <c r="D11" s="415"/>
      <c r="E11" s="416"/>
      <c r="F11" s="738"/>
      <c r="G11" s="415"/>
      <c r="H11" s="416"/>
      <c r="I11" s="99"/>
      <c r="J11" s="75"/>
    </row>
    <row r="12" spans="1:10" ht="14.4">
      <c r="A12" s="1247"/>
      <c r="B12" s="1249"/>
      <c r="C12" s="1249"/>
      <c r="D12" s="415"/>
      <c r="E12" s="416"/>
      <c r="F12" s="738"/>
      <c r="G12" s="415"/>
      <c r="H12" s="416"/>
      <c r="I12" s="99"/>
      <c r="J12" s="75"/>
    </row>
    <row r="13" spans="1:10" ht="14.4">
      <c r="A13" s="1248"/>
      <c r="B13" s="1248"/>
      <c r="C13" s="1248"/>
      <c r="D13" s="415"/>
      <c r="E13" s="416"/>
      <c r="F13" s="738"/>
      <c r="G13" s="415"/>
      <c r="H13" s="416"/>
      <c r="I13" s="99"/>
      <c r="J13" s="75"/>
    </row>
    <row r="14" spans="1:10" ht="14.4">
      <c r="A14" s="414"/>
      <c r="B14" s="415"/>
      <c r="C14" s="415"/>
      <c r="D14" s="332"/>
      <c r="E14" s="260"/>
      <c r="F14" s="738"/>
      <c r="G14" s="415"/>
      <c r="H14" s="416"/>
      <c r="I14" s="99"/>
      <c r="J14" s="75"/>
    </row>
    <row r="15" spans="1:10" ht="14.4">
      <c r="A15" s="414"/>
      <c r="B15" s="415"/>
      <c r="C15" s="415"/>
      <c r="D15" s="332"/>
      <c r="E15" s="260"/>
      <c r="F15" s="738"/>
      <c r="G15" s="415"/>
      <c r="H15" s="416"/>
      <c r="I15" s="99"/>
      <c r="J15" s="75"/>
    </row>
    <row r="16" spans="1:10" ht="14.4">
      <c r="A16" s="414"/>
      <c r="B16" s="415"/>
      <c r="C16" s="415"/>
      <c r="D16" s="415"/>
      <c r="E16" s="419"/>
      <c r="F16" s="738"/>
      <c r="G16" s="415"/>
      <c r="H16" s="416"/>
      <c r="I16" s="99"/>
      <c r="J16" s="75"/>
    </row>
    <row r="17" spans="1:12" ht="14.4">
      <c r="A17" s="410"/>
      <c r="B17" s="411"/>
      <c r="C17" s="411"/>
      <c r="D17" s="411"/>
      <c r="E17" s="412"/>
      <c r="F17" s="737"/>
      <c r="G17" s="411"/>
      <c r="H17" s="413"/>
      <c r="I17" s="79"/>
      <c r="J17" s="75"/>
    </row>
    <row r="18" spans="1:12" ht="14.4">
      <c r="A18" s="414"/>
      <c r="B18" s="415"/>
      <c r="C18" s="415"/>
      <c r="D18" s="415"/>
      <c r="E18" s="419"/>
      <c r="F18" s="738"/>
      <c r="G18" s="415"/>
      <c r="H18" s="416"/>
      <c r="I18" s="99"/>
      <c r="J18" s="75"/>
    </row>
    <row r="19" spans="1:12" ht="14.4">
      <c r="A19" s="414"/>
      <c r="B19" s="415"/>
      <c r="C19" s="415"/>
      <c r="D19" s="415"/>
      <c r="E19" s="419"/>
      <c r="F19" s="738"/>
      <c r="G19" s="415"/>
      <c r="H19" s="416"/>
      <c r="I19" s="99"/>
      <c r="J19" s="75"/>
    </row>
    <row r="20" spans="1:12" ht="14.4">
      <c r="A20" s="414"/>
      <c r="B20" s="415"/>
      <c r="C20" s="415"/>
      <c r="D20" s="415"/>
      <c r="E20" s="419"/>
      <c r="F20" s="738"/>
      <c r="G20" s="415"/>
      <c r="H20" s="416"/>
      <c r="I20" s="99"/>
      <c r="J20" s="75"/>
      <c r="K20" s="61"/>
      <c r="L20" s="114"/>
    </row>
    <row r="21" spans="1:12" ht="17.399999999999999">
      <c r="A21" s="420"/>
      <c r="B21" s="421"/>
      <c r="C21" s="421"/>
      <c r="D21" s="421"/>
      <c r="E21" s="422"/>
      <c r="F21" s="741"/>
      <c r="G21" s="421"/>
      <c r="H21" s="423"/>
      <c r="I21" s="424"/>
      <c r="J21" s="425"/>
      <c r="K21" s="426"/>
      <c r="L21" s="60"/>
    </row>
    <row r="22" spans="1:12" ht="14.4">
      <c r="A22" s="414"/>
      <c r="B22" s="415"/>
      <c r="C22" s="415"/>
      <c r="D22" s="415"/>
      <c r="E22" s="416"/>
      <c r="F22" s="738"/>
      <c r="G22" s="415"/>
      <c r="H22" s="416"/>
      <c r="I22" s="99"/>
      <c r="J22" s="75"/>
    </row>
    <row r="23" spans="1:12" ht="14.4">
      <c r="A23" s="85"/>
      <c r="B23" s="415"/>
      <c r="C23" s="415"/>
      <c r="D23" s="415"/>
      <c r="E23" s="416"/>
      <c r="F23" s="738"/>
      <c r="G23" s="415"/>
      <c r="H23" s="416"/>
      <c r="I23" s="99"/>
      <c r="J23" s="75"/>
    </row>
    <row r="24" spans="1:12" ht="14.4">
      <c r="A24" s="85"/>
      <c r="B24" s="415"/>
      <c r="C24" s="415"/>
      <c r="D24" s="332"/>
      <c r="E24" s="260"/>
      <c r="F24" s="738"/>
      <c r="G24" s="415"/>
      <c r="H24" s="416"/>
      <c r="I24" s="99"/>
      <c r="J24" s="75"/>
    </row>
    <row r="25" spans="1:12" ht="14.4">
      <c r="A25" s="85"/>
      <c r="B25" s="415"/>
      <c r="C25" s="415"/>
      <c r="D25" s="415"/>
      <c r="E25" s="416"/>
      <c r="F25" s="738"/>
      <c r="G25" s="415"/>
      <c r="H25" s="416"/>
      <c r="I25" s="99"/>
      <c r="J25" s="75"/>
    </row>
    <row r="26" spans="1:12" ht="14.4">
      <c r="A26" s="414"/>
      <c r="B26" s="415"/>
      <c r="C26" s="415"/>
      <c r="D26" s="415"/>
      <c r="E26" s="416"/>
      <c r="F26" s="738"/>
      <c r="G26" s="415"/>
      <c r="H26" s="416"/>
      <c r="I26" s="99"/>
      <c r="J26" s="75"/>
    </row>
    <row r="27" spans="1:12" ht="14.4">
      <c r="A27" s="414"/>
      <c r="B27" s="415"/>
      <c r="C27" s="415"/>
      <c r="D27" s="415"/>
      <c r="E27" s="416"/>
      <c r="F27" s="738"/>
      <c r="G27" s="415"/>
      <c r="H27" s="416"/>
      <c r="I27" s="99"/>
      <c r="J27" s="75"/>
    </row>
    <row r="28" spans="1:12" ht="14.4">
      <c r="A28" s="427"/>
      <c r="B28" s="411"/>
      <c r="C28" s="411"/>
      <c r="D28" s="411"/>
      <c r="E28" s="413"/>
      <c r="F28" s="737"/>
      <c r="G28" s="411"/>
      <c r="H28" s="413"/>
      <c r="I28" s="79"/>
      <c r="J28" s="75"/>
    </row>
    <row r="29" spans="1:12" ht="14.4">
      <c r="A29" s="414"/>
      <c r="B29" s="415"/>
      <c r="C29" s="415"/>
      <c r="D29" s="415"/>
      <c r="E29" s="416"/>
      <c r="F29" s="738"/>
      <c r="G29" s="415"/>
      <c r="H29" s="416"/>
      <c r="I29" s="99"/>
      <c r="J29" s="75"/>
    </row>
    <row r="30" spans="1:12" ht="14.4">
      <c r="A30" s="85"/>
      <c r="B30" s="415"/>
      <c r="C30" s="415"/>
      <c r="D30" s="415"/>
      <c r="E30" s="416"/>
      <c r="F30" s="742"/>
      <c r="G30" s="415"/>
      <c r="H30" s="416"/>
      <c r="I30" s="99"/>
      <c r="J30" s="75"/>
    </row>
    <row r="31" spans="1:12" ht="14.4">
      <c r="A31" s="414"/>
      <c r="B31" s="415"/>
      <c r="C31" s="415"/>
      <c r="D31" s="332"/>
      <c r="E31" s="260"/>
      <c r="F31" s="738"/>
      <c r="G31" s="415"/>
      <c r="H31" s="416"/>
      <c r="I31" s="99"/>
      <c r="J31" s="75"/>
    </row>
    <row r="32" spans="1:12" ht="14.4">
      <c r="A32" s="414"/>
      <c r="B32" s="415"/>
      <c r="C32" s="415"/>
      <c r="D32" s="332"/>
      <c r="E32" s="260"/>
      <c r="F32" s="738"/>
      <c r="G32" s="415"/>
      <c r="H32" s="416"/>
      <c r="I32" s="99"/>
      <c r="J32" s="75"/>
    </row>
    <row r="33" spans="1:26" ht="14.4">
      <c r="A33" s="85"/>
      <c r="B33" s="415"/>
      <c r="C33" s="415"/>
      <c r="D33" s="332"/>
      <c r="E33" s="260"/>
      <c r="F33" s="738"/>
      <c r="G33" s="415"/>
      <c r="H33" s="416"/>
      <c r="I33" s="99"/>
      <c r="J33" s="75"/>
    </row>
    <row r="34" spans="1:26" ht="14.4">
      <c r="A34" s="427"/>
      <c r="B34" s="411"/>
      <c r="C34" s="411"/>
      <c r="D34" s="428"/>
      <c r="E34" s="269"/>
      <c r="F34" s="737"/>
      <c r="G34" s="411"/>
      <c r="H34" s="413"/>
      <c r="I34" s="79"/>
      <c r="J34" s="75"/>
    </row>
    <row r="35" spans="1:26" ht="14.4">
      <c r="A35" s="414"/>
      <c r="B35" s="415"/>
      <c r="C35" s="415"/>
      <c r="D35" s="415"/>
      <c r="E35" s="416"/>
      <c r="F35" s="738"/>
      <c r="G35" s="415"/>
      <c r="H35" s="416"/>
      <c r="I35" s="99"/>
      <c r="J35" s="75"/>
    </row>
    <row r="36" spans="1:26" ht="14.4">
      <c r="A36" s="414"/>
      <c r="B36" s="415"/>
      <c r="C36" s="415"/>
      <c r="D36" s="332"/>
      <c r="E36" s="260"/>
      <c r="F36" s="738"/>
      <c r="G36" s="415"/>
      <c r="H36" s="416"/>
      <c r="I36" s="99"/>
      <c r="J36" s="75"/>
    </row>
    <row r="37" spans="1:26" ht="14.4">
      <c r="A37" s="427"/>
      <c r="B37" s="411"/>
      <c r="C37" s="411"/>
      <c r="D37" s="428"/>
      <c r="E37" s="269"/>
      <c r="F37" s="737"/>
      <c r="G37" s="411"/>
      <c r="H37" s="413"/>
      <c r="I37" s="79"/>
      <c r="J37" s="75"/>
    </row>
    <row r="38" spans="1:26" ht="14.4">
      <c r="A38" s="414"/>
      <c r="B38" s="415"/>
      <c r="C38" s="415"/>
      <c r="D38" s="415"/>
      <c r="E38" s="416"/>
      <c r="F38" s="738"/>
      <c r="G38" s="415"/>
      <c r="H38" s="416"/>
      <c r="I38" s="99"/>
      <c r="J38" s="75"/>
    </row>
    <row r="39" spans="1:26" ht="14.4">
      <c r="A39" s="414"/>
      <c r="B39" s="415"/>
      <c r="C39" s="415"/>
      <c r="D39" s="415"/>
      <c r="E39" s="416"/>
      <c r="F39" s="738"/>
      <c r="G39" s="415"/>
      <c r="H39" s="416"/>
      <c r="I39" s="99"/>
      <c r="J39" s="75"/>
    </row>
    <row r="40" spans="1:26" ht="14.4">
      <c r="A40" s="414"/>
      <c r="B40" s="415"/>
      <c r="C40" s="415"/>
      <c r="D40" s="415"/>
      <c r="E40" s="416"/>
      <c r="F40" s="738"/>
      <c r="G40" s="415"/>
      <c r="H40" s="416"/>
      <c r="I40" s="99"/>
      <c r="J40" s="75"/>
    </row>
    <row r="41" spans="1:26" ht="14.4">
      <c r="A41" s="414"/>
      <c r="B41" s="415"/>
      <c r="C41" s="415"/>
      <c r="D41" s="415"/>
      <c r="E41" s="416"/>
      <c r="F41" s="738"/>
      <c r="G41" s="415"/>
      <c r="H41" s="416"/>
      <c r="I41" s="99"/>
      <c r="J41" s="75"/>
    </row>
    <row r="42" spans="1:26" ht="14.4">
      <c r="A42" s="85"/>
      <c r="B42" s="415"/>
      <c r="C42" s="415"/>
      <c r="D42" s="415"/>
      <c r="E42" s="416"/>
      <c r="F42" s="742"/>
      <c r="G42" s="415"/>
      <c r="H42" s="416"/>
      <c r="I42" s="99"/>
      <c r="J42" s="75"/>
      <c r="K42" s="61"/>
      <c r="L42" s="114"/>
    </row>
    <row r="43" spans="1:26" ht="17.399999999999999">
      <c r="A43" s="420"/>
      <c r="B43" s="421"/>
      <c r="C43" s="421"/>
      <c r="D43" s="429"/>
      <c r="E43" s="430"/>
      <c r="F43" s="741"/>
      <c r="G43" s="421"/>
      <c r="H43" s="431"/>
      <c r="I43" s="424"/>
      <c r="J43" s="425"/>
      <c r="K43" s="426"/>
    </row>
    <row r="44" spans="1:26" ht="14.4">
      <c r="A44" s="414"/>
      <c r="B44" s="415"/>
      <c r="C44" s="415"/>
      <c r="D44" s="415"/>
      <c r="E44" s="416"/>
      <c r="F44" s="738"/>
      <c r="G44" s="415"/>
      <c r="H44" s="416"/>
      <c r="I44" s="99"/>
      <c r="J44" s="75"/>
    </row>
    <row r="45" spans="1:26" ht="14.4">
      <c r="A45" s="432"/>
      <c r="B45" s="433"/>
      <c r="C45" s="433"/>
      <c r="D45" s="434"/>
      <c r="E45" s="435"/>
      <c r="F45" s="743"/>
      <c r="G45" s="436"/>
      <c r="H45" s="437"/>
      <c r="I45" s="438"/>
      <c r="J45" s="439"/>
      <c r="K45" s="440"/>
      <c r="L45" s="440"/>
      <c r="M45" s="440"/>
      <c r="N45" s="440"/>
      <c r="O45" s="440"/>
      <c r="P45" s="440"/>
      <c r="Q45" s="440"/>
      <c r="R45" s="440"/>
      <c r="S45" s="440"/>
      <c r="T45" s="440"/>
      <c r="U45" s="440"/>
      <c r="V45" s="440"/>
      <c r="W45" s="440"/>
      <c r="X45" s="440"/>
      <c r="Y45" s="440"/>
      <c r="Z45" s="440"/>
    </row>
    <row r="46" spans="1:26" ht="14.4">
      <c r="A46" s="414"/>
      <c r="B46" s="415"/>
      <c r="C46" s="415"/>
      <c r="D46" s="415"/>
      <c r="E46" s="416"/>
      <c r="F46" s="738"/>
      <c r="G46" s="415"/>
      <c r="H46" s="416"/>
      <c r="I46" s="99"/>
      <c r="J46" s="75"/>
    </row>
    <row r="47" spans="1:26" ht="14.4">
      <c r="A47" s="85"/>
      <c r="B47" s="415"/>
      <c r="C47" s="415"/>
      <c r="D47" s="415"/>
      <c r="E47" s="416"/>
      <c r="F47" s="738"/>
      <c r="G47" s="415"/>
      <c r="H47" s="416"/>
      <c r="I47" s="99"/>
      <c r="J47" s="75"/>
    </row>
    <row r="48" spans="1:26" ht="14.4">
      <c r="A48" s="414"/>
      <c r="B48" s="415"/>
      <c r="C48" s="415"/>
      <c r="D48" s="332"/>
      <c r="E48" s="260"/>
      <c r="F48" s="738"/>
      <c r="G48" s="415"/>
      <c r="H48" s="92"/>
      <c r="I48" s="99"/>
      <c r="J48" s="75"/>
    </row>
    <row r="49" spans="1:12" ht="14.4">
      <c r="A49" s="85"/>
      <c r="B49" s="415"/>
      <c r="C49" s="415"/>
      <c r="D49" s="332"/>
      <c r="E49" s="260"/>
      <c r="F49" s="738"/>
      <c r="G49" s="415"/>
      <c r="H49" s="416"/>
      <c r="I49" s="99"/>
      <c r="J49" s="75"/>
    </row>
    <row r="50" spans="1:12" ht="14.4">
      <c r="A50" s="85"/>
      <c r="B50" s="415"/>
      <c r="C50" s="415"/>
      <c r="D50" s="415"/>
      <c r="E50" s="416"/>
      <c r="F50" s="738"/>
      <c r="G50" s="415"/>
      <c r="H50" s="92"/>
      <c r="I50" s="99"/>
      <c r="J50" s="75"/>
    </row>
    <row r="51" spans="1:12" ht="14.4">
      <c r="A51" s="414"/>
      <c r="B51" s="417"/>
      <c r="C51" s="417"/>
      <c r="D51" s="417"/>
      <c r="E51" s="418"/>
      <c r="F51" s="744"/>
      <c r="G51" s="417"/>
      <c r="H51" s="441"/>
      <c r="I51" s="99"/>
      <c r="J51" s="75"/>
    </row>
    <row r="52" spans="1:12" ht="14.4">
      <c r="A52" s="427"/>
      <c r="B52" s="411"/>
      <c r="C52" s="411"/>
      <c r="D52" s="428"/>
      <c r="E52" s="269"/>
      <c r="F52" s="745"/>
      <c r="G52" s="411"/>
      <c r="H52" s="442"/>
      <c r="I52" s="79"/>
      <c r="J52" s="75"/>
    </row>
    <row r="53" spans="1:12" ht="14.4">
      <c r="A53" s="414"/>
      <c r="B53" s="415"/>
      <c r="C53" s="415"/>
      <c r="D53" s="415"/>
      <c r="E53" s="416"/>
      <c r="F53" s="738"/>
      <c r="G53" s="415"/>
      <c r="H53" s="416"/>
      <c r="I53" s="99"/>
      <c r="J53" s="75"/>
    </row>
    <row r="54" spans="1:12" ht="14.4">
      <c r="A54" s="414"/>
      <c r="B54" s="415"/>
      <c r="C54" s="415"/>
      <c r="D54" s="415"/>
      <c r="E54" s="416"/>
      <c r="F54" s="738"/>
      <c r="G54" s="415"/>
      <c r="H54" s="416"/>
      <c r="I54" s="99"/>
      <c r="J54" s="75"/>
    </row>
    <row r="55" spans="1:12" ht="14.4">
      <c r="A55" s="414"/>
      <c r="B55" s="415"/>
      <c r="C55" s="415"/>
      <c r="D55" s="415"/>
      <c r="E55" s="92"/>
      <c r="F55" s="738"/>
      <c r="G55" s="415"/>
      <c r="H55" s="92"/>
      <c r="I55" s="99"/>
      <c r="J55" s="75"/>
    </row>
    <row r="56" spans="1:12" ht="14.4">
      <c r="A56" s="410"/>
      <c r="B56" s="411"/>
      <c r="C56" s="411"/>
      <c r="D56" s="411"/>
      <c r="E56" s="413"/>
      <c r="F56" s="737"/>
      <c r="G56" s="411"/>
      <c r="H56" s="442"/>
      <c r="I56" s="79"/>
      <c r="J56" s="75"/>
    </row>
    <row r="57" spans="1:12" ht="14.4">
      <c r="A57" s="414"/>
      <c r="B57" s="415"/>
      <c r="C57" s="415"/>
      <c r="D57" s="415"/>
      <c r="E57" s="92"/>
      <c r="F57" s="738"/>
      <c r="G57" s="415"/>
      <c r="H57" s="92"/>
    </row>
    <row r="58" spans="1:12" ht="14.4">
      <c r="A58" s="410"/>
      <c r="B58" s="411"/>
      <c r="C58" s="411"/>
      <c r="D58" s="411"/>
      <c r="E58" s="442"/>
      <c r="F58" s="737"/>
      <c r="G58" s="411"/>
      <c r="H58" s="442"/>
      <c r="I58" s="79"/>
      <c r="J58" s="75"/>
    </row>
    <row r="59" spans="1:12" ht="14.4">
      <c r="A59" s="414"/>
      <c r="B59" s="415"/>
      <c r="C59" s="415"/>
      <c r="D59" s="415"/>
      <c r="E59" s="92"/>
      <c r="F59" s="738"/>
      <c r="G59" s="415"/>
      <c r="H59" s="92"/>
      <c r="I59" s="99"/>
      <c r="J59" s="75"/>
    </row>
    <row r="60" spans="1:12" ht="14.4">
      <c r="A60" s="443"/>
      <c r="B60" s="15"/>
      <c r="C60" s="15"/>
      <c r="D60" s="15"/>
      <c r="E60" s="66"/>
      <c r="F60" s="746"/>
      <c r="G60" s="15"/>
      <c r="H60" s="66"/>
      <c r="I60" s="79"/>
      <c r="J60" s="75"/>
    </row>
    <row r="61" spans="1:12" ht="14.4">
      <c r="A61" s="410"/>
      <c r="B61" s="411"/>
      <c r="C61" s="411"/>
      <c r="D61" s="411"/>
      <c r="E61" s="442"/>
      <c r="F61" s="737"/>
      <c r="G61" s="411"/>
      <c r="H61" s="442"/>
      <c r="I61" s="79"/>
      <c r="J61" s="75"/>
    </row>
    <row r="62" spans="1:12" ht="16.5" customHeight="1">
      <c r="A62" s="414"/>
      <c r="B62" s="415"/>
      <c r="C62" s="415"/>
      <c r="D62" s="415"/>
      <c r="E62" s="92"/>
      <c r="F62" s="738"/>
      <c r="G62" s="415"/>
      <c r="H62" s="92"/>
      <c r="I62" s="99"/>
      <c r="J62" s="75"/>
      <c r="K62" s="61"/>
      <c r="L62" s="114"/>
    </row>
    <row r="63" spans="1:12" ht="16.5" customHeight="1">
      <c r="A63" s="420"/>
      <c r="B63" s="421"/>
      <c r="C63" s="421"/>
      <c r="D63" s="421"/>
      <c r="E63" s="431"/>
      <c r="F63" s="741"/>
      <c r="G63" s="421"/>
      <c r="H63" s="431"/>
      <c r="I63" s="444"/>
      <c r="J63" s="425"/>
      <c r="K63" s="426"/>
    </row>
    <row r="64" spans="1:12" ht="16.5" customHeight="1">
      <c r="A64" s="414"/>
      <c r="B64" s="85"/>
      <c r="C64" s="85"/>
      <c r="D64" s="85"/>
      <c r="E64" s="445"/>
      <c r="F64" s="747"/>
      <c r="G64" s="85"/>
      <c r="H64" s="445"/>
    </row>
    <row r="65" spans="1:26" ht="16.5" customHeight="1">
      <c r="A65" s="446"/>
      <c r="B65" s="447"/>
      <c r="C65" s="447"/>
      <c r="D65" s="448"/>
      <c r="E65" s="449"/>
      <c r="F65" s="748"/>
      <c r="G65" s="447"/>
      <c r="H65" s="450"/>
      <c r="I65" s="79"/>
      <c r="J65" s="75"/>
    </row>
    <row r="66" spans="1:26" ht="16.5" customHeight="1">
      <c r="A66" s="414"/>
      <c r="B66" s="415"/>
      <c r="C66" s="415"/>
      <c r="D66" s="415"/>
      <c r="E66" s="92"/>
      <c r="F66" s="738"/>
      <c r="G66" s="415"/>
      <c r="H66" s="92"/>
      <c r="I66" s="79"/>
      <c r="J66" s="75"/>
    </row>
    <row r="67" spans="1:26" ht="16.5" customHeight="1">
      <c r="A67" s="443"/>
      <c r="B67" s="15"/>
      <c r="C67" s="415"/>
      <c r="D67" s="15"/>
      <c r="E67" s="66"/>
      <c r="F67" s="746"/>
      <c r="G67" s="15"/>
      <c r="H67" s="66"/>
      <c r="I67" s="79"/>
      <c r="J67" s="75"/>
    </row>
    <row r="68" spans="1:26" ht="16.5" customHeight="1">
      <c r="A68" s="451"/>
      <c r="B68" s="452"/>
      <c r="C68" s="452"/>
      <c r="D68" s="452"/>
      <c r="E68" s="453"/>
      <c r="F68" s="749"/>
      <c r="G68" s="454"/>
      <c r="H68" s="453"/>
      <c r="I68" s="455"/>
      <c r="J68" s="439"/>
      <c r="K68" s="440"/>
      <c r="L68" s="440"/>
      <c r="M68" s="440"/>
      <c r="N68" s="440"/>
      <c r="O68" s="440"/>
      <c r="P68" s="440"/>
      <c r="Q68" s="440"/>
      <c r="R68" s="440"/>
      <c r="S68" s="440"/>
      <c r="T68" s="440"/>
      <c r="U68" s="440"/>
      <c r="V68" s="440"/>
      <c r="W68" s="440"/>
      <c r="X68" s="440"/>
      <c r="Y68" s="440"/>
      <c r="Z68" s="440"/>
    </row>
    <row r="69" spans="1:26" ht="16.5" customHeight="1">
      <c r="A69" s="427"/>
      <c r="B69" s="411"/>
      <c r="C69" s="411"/>
      <c r="D69" s="411"/>
      <c r="E69" s="456"/>
      <c r="F69" s="750"/>
      <c r="G69" s="411"/>
      <c r="H69" s="442"/>
      <c r="I69" s="79"/>
      <c r="J69" s="75"/>
    </row>
    <row r="70" spans="1:26" ht="16.5" customHeight="1">
      <c r="A70" s="414"/>
      <c r="B70" s="415"/>
      <c r="C70" s="415"/>
      <c r="D70" s="415"/>
      <c r="E70" s="92"/>
      <c r="F70" s="746"/>
      <c r="G70" s="415"/>
      <c r="H70" s="92"/>
      <c r="I70" s="99"/>
      <c r="J70" s="75"/>
      <c r="K70" s="61"/>
    </row>
    <row r="71" spans="1:26" ht="16.5" customHeight="1">
      <c r="A71" s="414"/>
      <c r="B71" s="415"/>
      <c r="C71" s="415"/>
      <c r="D71" s="415"/>
      <c r="E71" s="92"/>
      <c r="F71" s="746"/>
      <c r="G71" s="415"/>
      <c r="H71" s="92"/>
      <c r="K71" s="61"/>
    </row>
    <row r="72" spans="1:26" ht="16.5" customHeight="1">
      <c r="A72" s="414"/>
      <c r="B72" s="415"/>
      <c r="C72" s="415"/>
      <c r="D72" s="415"/>
      <c r="E72" s="92"/>
      <c r="F72" s="738"/>
      <c r="G72" s="415"/>
      <c r="H72" s="92"/>
      <c r="I72" s="99"/>
      <c r="J72" s="75"/>
      <c r="K72" s="61"/>
    </row>
    <row r="73" spans="1:26" ht="16.5" customHeight="1">
      <c r="A73" s="414"/>
      <c r="B73" s="415"/>
      <c r="C73" s="415"/>
      <c r="D73" s="415"/>
      <c r="E73" s="92"/>
      <c r="F73" s="738"/>
      <c r="G73" s="415"/>
      <c r="H73" s="92"/>
      <c r="I73" s="79"/>
      <c r="J73" s="75"/>
      <c r="K73" s="61"/>
    </row>
    <row r="74" spans="1:26" ht="16.5" customHeight="1">
      <c r="A74" s="414"/>
      <c r="B74" s="415"/>
      <c r="C74" s="415"/>
      <c r="D74" s="415"/>
      <c r="E74" s="92"/>
      <c r="F74" s="738"/>
      <c r="G74" s="415"/>
      <c r="H74" s="92"/>
      <c r="I74" s="79"/>
      <c r="J74" s="75"/>
      <c r="K74" s="61"/>
    </row>
    <row r="75" spans="1:26" ht="16.5" customHeight="1">
      <c r="A75" s="414"/>
      <c r="B75" s="415"/>
      <c r="C75" s="415"/>
      <c r="D75" s="415"/>
      <c r="E75" s="92"/>
      <c r="F75" s="740"/>
      <c r="G75" s="415"/>
      <c r="H75" s="92"/>
      <c r="I75" s="79"/>
      <c r="J75" s="75"/>
      <c r="K75" s="61"/>
    </row>
    <row r="76" spans="1:26" ht="16.5" customHeight="1">
      <c r="A76" s="414"/>
      <c r="B76" s="415"/>
      <c r="C76" s="415"/>
      <c r="D76" s="415"/>
      <c r="E76" s="92"/>
      <c r="F76" s="740"/>
      <c r="G76" s="416"/>
      <c r="H76" s="92"/>
      <c r="I76" s="79"/>
      <c r="J76" s="75"/>
      <c r="K76" s="61"/>
    </row>
    <row r="77" spans="1:26" ht="16.5" customHeight="1">
      <c r="A77" s="414"/>
      <c r="B77" s="415"/>
      <c r="C77" s="415"/>
      <c r="D77" s="332"/>
      <c r="E77" s="91"/>
      <c r="F77" s="740"/>
      <c r="G77" s="457"/>
      <c r="H77" s="92"/>
      <c r="I77" s="79"/>
      <c r="J77" s="75"/>
      <c r="K77" s="61"/>
    </row>
    <row r="78" spans="1:26" ht="16.5" customHeight="1">
      <c r="A78" s="410"/>
      <c r="B78" s="411"/>
      <c r="C78" s="411"/>
      <c r="D78" s="411"/>
      <c r="E78" s="442"/>
      <c r="F78" s="737"/>
      <c r="G78" s="411"/>
      <c r="H78" s="442"/>
      <c r="I78" s="79"/>
      <c r="J78" s="75"/>
      <c r="K78" s="61"/>
    </row>
    <row r="79" spans="1:26" ht="16.5" customHeight="1">
      <c r="A79" s="414"/>
      <c r="B79" s="415"/>
      <c r="C79" s="415"/>
      <c r="D79" s="332"/>
      <c r="E79" s="91"/>
      <c r="F79" s="740"/>
      <c r="G79" s="415"/>
      <c r="H79" s="92"/>
      <c r="K79" s="61"/>
    </row>
    <row r="80" spans="1:26" ht="16.5" customHeight="1">
      <c r="A80" s="414"/>
      <c r="B80" s="415"/>
      <c r="C80" s="415"/>
      <c r="D80" s="415"/>
      <c r="E80" s="92"/>
      <c r="F80" s="738"/>
      <c r="G80" s="415"/>
      <c r="H80" s="92"/>
      <c r="I80" s="99"/>
      <c r="J80" s="75"/>
      <c r="K80" s="61"/>
    </row>
    <row r="81" spans="1:12" ht="16.5" customHeight="1">
      <c r="A81" s="414"/>
      <c r="B81" s="415"/>
      <c r="C81" s="415"/>
      <c r="D81" s="415"/>
      <c r="E81" s="92"/>
      <c r="F81" s="738"/>
      <c r="G81" s="415"/>
      <c r="H81" s="92"/>
      <c r="I81" s="409"/>
      <c r="J81" s="75"/>
      <c r="K81" s="61"/>
    </row>
    <row r="82" spans="1:12" ht="17.399999999999999">
      <c r="A82" s="414"/>
      <c r="B82" s="415"/>
      <c r="C82" s="415"/>
      <c r="D82" s="415"/>
      <c r="E82" s="92"/>
      <c r="F82" s="738"/>
      <c r="G82" s="415"/>
      <c r="H82" s="92"/>
      <c r="I82" s="409"/>
      <c r="J82" s="75"/>
      <c r="K82" s="426"/>
    </row>
    <row r="83" spans="1:12" ht="14.4">
      <c r="A83" s="1253"/>
      <c r="B83" s="1250"/>
      <c r="C83" s="1250"/>
      <c r="D83" s="415"/>
      <c r="E83" s="92"/>
      <c r="F83" s="738"/>
      <c r="G83" s="415"/>
      <c r="H83" s="1252"/>
      <c r="I83" s="409"/>
      <c r="J83" s="75"/>
      <c r="K83" s="61"/>
      <c r="L83" s="114"/>
    </row>
    <row r="84" spans="1:12" ht="17.399999999999999">
      <c r="A84" s="1254"/>
      <c r="B84" s="1251"/>
      <c r="C84" s="1251"/>
      <c r="D84" s="458"/>
      <c r="E84" s="459"/>
      <c r="F84" s="751"/>
      <c r="G84" s="458"/>
      <c r="H84" s="1251"/>
      <c r="I84" s="460"/>
      <c r="J84" s="461"/>
      <c r="K84" s="426"/>
    </row>
    <row r="85" spans="1:12" ht="16.5" customHeight="1">
      <c r="A85" s="410"/>
      <c r="B85" s="411"/>
      <c r="C85" s="411"/>
      <c r="D85" s="411"/>
      <c r="E85" s="442"/>
      <c r="F85" s="752"/>
      <c r="G85" s="411"/>
      <c r="H85" s="442"/>
      <c r="I85" s="79"/>
      <c r="J85" s="75"/>
      <c r="K85" s="61"/>
    </row>
    <row r="86" spans="1:12" ht="14.4">
      <c r="A86" s="414"/>
      <c r="B86" s="415"/>
      <c r="C86" s="415"/>
      <c r="D86" s="415"/>
      <c r="E86" s="92"/>
      <c r="F86" s="738"/>
      <c r="G86" s="415"/>
      <c r="H86" s="92"/>
    </row>
    <row r="87" spans="1:12" ht="14.4">
      <c r="A87" s="414"/>
      <c r="B87" s="415"/>
      <c r="C87" s="415"/>
      <c r="D87" s="415"/>
      <c r="E87" s="92"/>
      <c r="F87" s="738"/>
      <c r="G87" s="415"/>
      <c r="H87" s="92"/>
      <c r="I87" s="409"/>
      <c r="J87" s="75"/>
    </row>
    <row r="88" spans="1:12" ht="14.4">
      <c r="A88" s="410"/>
      <c r="B88" s="411"/>
      <c r="C88" s="411"/>
      <c r="D88" s="411"/>
      <c r="E88" s="442"/>
      <c r="F88" s="737"/>
      <c r="G88" s="411"/>
      <c r="H88" s="442"/>
      <c r="I88" s="79"/>
      <c r="J88" s="75"/>
    </row>
    <row r="89" spans="1:12" ht="14.4">
      <c r="A89" s="414"/>
      <c r="B89" s="415"/>
      <c r="C89" s="415"/>
      <c r="D89" s="415"/>
      <c r="E89" s="92"/>
      <c r="F89" s="740"/>
      <c r="G89" s="415"/>
      <c r="H89" s="92"/>
      <c r="I89" s="79"/>
      <c r="J89" s="75"/>
    </row>
    <row r="90" spans="1:12" ht="14.4">
      <c r="A90" s="414"/>
      <c r="B90" s="415"/>
      <c r="C90" s="415"/>
      <c r="D90" s="415"/>
      <c r="E90" s="92"/>
      <c r="F90" s="740"/>
      <c r="G90" s="415"/>
      <c r="H90" s="92"/>
      <c r="I90" s="409"/>
      <c r="J90" s="75"/>
    </row>
    <row r="91" spans="1:12" ht="14.4">
      <c r="A91" s="1253"/>
      <c r="B91" s="1250"/>
      <c r="C91" s="1250"/>
      <c r="D91" s="415"/>
      <c r="E91" s="92"/>
      <c r="F91" s="738"/>
      <c r="G91" s="415"/>
      <c r="H91" s="1252"/>
      <c r="I91" s="409"/>
      <c r="J91" s="75"/>
    </row>
    <row r="92" spans="1:12" ht="14.4">
      <c r="A92" s="1248"/>
      <c r="B92" s="1211"/>
      <c r="C92" s="1211"/>
      <c r="D92" s="415"/>
      <c r="E92" s="92"/>
      <c r="F92" s="738"/>
      <c r="G92" s="415"/>
      <c r="H92" s="1211"/>
      <c r="I92" s="409"/>
      <c r="J92" s="75"/>
    </row>
    <row r="93" spans="1:12" ht="14.4">
      <c r="A93" s="414"/>
      <c r="B93" s="415"/>
      <c r="C93" s="415"/>
      <c r="D93" s="415"/>
      <c r="E93" s="92"/>
      <c r="F93" s="738"/>
      <c r="G93" s="415"/>
      <c r="H93" s="92"/>
      <c r="I93" s="79"/>
      <c r="J93" s="75"/>
    </row>
    <row r="94" spans="1:12" ht="14.4">
      <c r="A94" s="414"/>
      <c r="B94" s="415"/>
      <c r="C94" s="415"/>
      <c r="D94" s="415"/>
      <c r="E94" s="92"/>
      <c r="F94" s="740"/>
      <c r="G94" s="415"/>
      <c r="H94" s="92"/>
      <c r="I94" s="79"/>
      <c r="J94" s="75"/>
    </row>
    <row r="95" spans="1:12" ht="14.4">
      <c r="A95" s="414"/>
      <c r="B95" s="415"/>
      <c r="C95" s="415"/>
      <c r="D95" s="415"/>
      <c r="E95" s="92"/>
      <c r="F95" s="738"/>
      <c r="G95" s="415"/>
      <c r="H95" s="92"/>
      <c r="I95" s="79"/>
      <c r="J95" s="75"/>
    </row>
    <row r="96" spans="1:12" ht="14.4">
      <c r="A96" s="414"/>
      <c r="B96" s="415"/>
      <c r="C96" s="415"/>
      <c r="D96" s="415"/>
      <c r="E96" s="92"/>
      <c r="F96" s="738"/>
      <c r="G96" s="415"/>
      <c r="H96" s="92"/>
      <c r="I96" s="79"/>
      <c r="J96" s="75"/>
    </row>
    <row r="97" spans="1:12" ht="14.4">
      <c r="A97" s="410"/>
      <c r="B97" s="411"/>
      <c r="C97" s="411"/>
      <c r="D97" s="411"/>
      <c r="E97" s="442"/>
      <c r="F97" s="745"/>
      <c r="G97" s="411"/>
      <c r="H97" s="442"/>
      <c r="I97" s="79"/>
      <c r="J97" s="75"/>
    </row>
    <row r="98" spans="1:12" ht="14.4">
      <c r="A98" s="414"/>
      <c r="B98" s="415"/>
      <c r="C98" s="415"/>
      <c r="D98" s="415"/>
      <c r="E98" s="92"/>
      <c r="F98" s="738"/>
      <c r="G98" s="415"/>
      <c r="H98" s="92"/>
      <c r="I98" s="409"/>
      <c r="J98" s="75"/>
    </row>
    <row r="99" spans="1:12" ht="14.4">
      <c r="A99" s="1253"/>
      <c r="B99" s="1250"/>
      <c r="C99" s="1250"/>
      <c r="D99" s="415"/>
      <c r="E99" s="92"/>
      <c r="F99" s="738"/>
      <c r="G99" s="415"/>
      <c r="H99" s="1252"/>
      <c r="I99" s="409"/>
      <c r="J99" s="75"/>
      <c r="K99" s="61"/>
      <c r="L99" s="114"/>
    </row>
    <row r="100" spans="1:12" ht="17.399999999999999">
      <c r="A100" s="1254"/>
      <c r="B100" s="1251"/>
      <c r="C100" s="1251"/>
      <c r="D100" s="458"/>
      <c r="E100" s="459"/>
      <c r="F100" s="751"/>
      <c r="G100" s="458"/>
      <c r="H100" s="1251"/>
      <c r="I100" s="460"/>
      <c r="J100" s="461"/>
      <c r="K100" s="426"/>
    </row>
    <row r="101" spans="1:12" ht="17.399999999999999">
      <c r="A101" s="414"/>
      <c r="B101" s="415"/>
      <c r="C101" s="415"/>
      <c r="D101" s="415"/>
      <c r="E101" s="92"/>
      <c r="F101" s="738"/>
      <c r="G101" s="415"/>
      <c r="H101" s="92"/>
      <c r="I101" s="79"/>
      <c r="J101" s="75"/>
      <c r="K101" s="426"/>
    </row>
    <row r="102" spans="1:12" ht="17.399999999999999">
      <c r="A102" s="414"/>
      <c r="B102" s="415"/>
      <c r="C102" s="415"/>
      <c r="D102" s="415"/>
      <c r="E102" s="92"/>
      <c r="F102" s="738"/>
      <c r="G102" s="415"/>
      <c r="H102" s="92"/>
      <c r="I102" s="79"/>
      <c r="J102" s="75"/>
      <c r="K102" s="426"/>
    </row>
    <row r="103" spans="1:12" ht="17.399999999999999">
      <c r="A103" s="414"/>
      <c r="B103" s="415"/>
      <c r="C103" s="415"/>
      <c r="D103" s="415"/>
      <c r="E103" s="92"/>
      <c r="F103" s="740"/>
      <c r="G103" s="415"/>
      <c r="H103" s="92"/>
      <c r="I103" s="79"/>
      <c r="J103" s="75"/>
      <c r="K103" s="426"/>
    </row>
    <row r="104" spans="1:12" ht="17.399999999999999">
      <c r="A104" s="414"/>
      <c r="B104" s="415"/>
      <c r="C104" s="415"/>
      <c r="D104" s="415"/>
      <c r="E104" s="92"/>
      <c r="F104" s="740"/>
      <c r="G104" s="415"/>
      <c r="H104" s="92"/>
      <c r="I104" s="79"/>
      <c r="J104" s="75"/>
      <c r="K104" s="426"/>
    </row>
    <row r="105" spans="1:12" ht="17.399999999999999">
      <c r="A105" s="1253"/>
      <c r="B105" s="1250"/>
      <c r="C105" s="1250"/>
      <c r="D105" s="415"/>
      <c r="E105" s="92"/>
      <c r="F105" s="753"/>
      <c r="G105" s="415"/>
      <c r="H105" s="92"/>
      <c r="I105" s="79"/>
      <c r="J105" s="75"/>
      <c r="K105" s="426"/>
    </row>
    <row r="106" spans="1:12" ht="17.399999999999999">
      <c r="A106" s="1248"/>
      <c r="B106" s="1211"/>
      <c r="C106" s="1211"/>
      <c r="D106" s="415"/>
      <c r="E106" s="92"/>
      <c r="F106" s="753"/>
      <c r="G106" s="415"/>
      <c r="H106" s="92"/>
      <c r="K106" s="426"/>
    </row>
    <row r="107" spans="1:12" ht="17.399999999999999">
      <c r="A107" s="410"/>
      <c r="B107" s="411"/>
      <c r="C107" s="411"/>
      <c r="D107" s="411"/>
      <c r="E107" s="442"/>
      <c r="F107" s="737"/>
      <c r="G107" s="411"/>
      <c r="H107" s="442"/>
      <c r="I107" s="79"/>
      <c r="J107" s="75"/>
      <c r="K107" s="426"/>
    </row>
    <row r="108" spans="1:12" ht="17.399999999999999">
      <c r="A108" s="414"/>
      <c r="B108" s="415"/>
      <c r="C108" s="415"/>
      <c r="D108" s="415"/>
      <c r="E108" s="92"/>
      <c r="F108" s="740"/>
      <c r="G108" s="415"/>
      <c r="H108" s="92"/>
      <c r="I108" s="79"/>
      <c r="J108" s="75"/>
      <c r="K108" s="426"/>
    </row>
    <row r="109" spans="1:12" ht="17.399999999999999">
      <c r="A109" s="414"/>
      <c r="B109" s="415"/>
      <c r="C109" s="415"/>
      <c r="D109" s="415"/>
      <c r="E109" s="92"/>
      <c r="F109" s="740"/>
      <c r="G109" s="415"/>
      <c r="H109" s="92"/>
      <c r="I109" s="79"/>
      <c r="J109" s="75"/>
      <c r="K109" s="426"/>
    </row>
    <row r="110" spans="1:12" ht="17.399999999999999">
      <c r="A110" s="414"/>
      <c r="B110" s="415"/>
      <c r="C110" s="415"/>
      <c r="D110" s="415"/>
      <c r="E110" s="92"/>
      <c r="F110" s="738"/>
      <c r="G110" s="415"/>
      <c r="H110" s="92"/>
      <c r="I110" s="79"/>
      <c r="J110" s="75"/>
      <c r="K110" s="426"/>
    </row>
    <row r="111" spans="1:12" ht="17.399999999999999">
      <c r="A111" s="414"/>
      <c r="B111" s="415"/>
      <c r="C111" s="415"/>
      <c r="D111" s="415"/>
      <c r="E111" s="92"/>
      <c r="F111" s="740"/>
      <c r="G111" s="415"/>
      <c r="H111" s="92"/>
      <c r="I111" s="79"/>
      <c r="J111" s="75"/>
      <c r="K111" s="426"/>
    </row>
    <row r="112" spans="1:12" ht="17.399999999999999">
      <c r="A112" s="414"/>
      <c r="B112" s="415"/>
      <c r="C112" s="415"/>
      <c r="D112" s="415"/>
      <c r="E112" s="92"/>
      <c r="F112" s="738"/>
      <c r="G112" s="415"/>
      <c r="H112" s="92"/>
      <c r="I112" s="79"/>
      <c r="J112" s="75"/>
      <c r="K112" s="426"/>
    </row>
    <row r="113" spans="1:11" ht="17.399999999999999">
      <c r="A113" s="414"/>
      <c r="B113" s="415"/>
      <c r="C113" s="415"/>
      <c r="D113" s="415"/>
      <c r="E113" s="92"/>
      <c r="F113" s="753"/>
      <c r="G113" s="415"/>
      <c r="H113" s="92"/>
      <c r="I113" s="79"/>
      <c r="J113" s="75"/>
      <c r="K113" s="426"/>
    </row>
    <row r="114" spans="1:11" ht="17.399999999999999">
      <c r="A114" s="85"/>
      <c r="B114" s="92"/>
      <c r="C114" s="415"/>
      <c r="D114" s="415"/>
      <c r="E114" s="92"/>
      <c r="F114" s="754"/>
      <c r="G114" s="415"/>
      <c r="H114" s="92"/>
      <c r="I114" s="79"/>
      <c r="J114" s="75"/>
      <c r="K114" s="426"/>
    </row>
    <row r="115" spans="1:11" ht="17.399999999999999">
      <c r="A115" s="85"/>
      <c r="B115" s="92"/>
      <c r="C115" s="415"/>
      <c r="D115" s="415"/>
      <c r="E115" s="92"/>
      <c r="F115" s="754"/>
      <c r="G115" s="415"/>
      <c r="H115" s="92"/>
      <c r="I115" s="79"/>
      <c r="J115" s="75"/>
      <c r="K115" s="426"/>
    </row>
    <row r="116" spans="1:11" ht="17.399999999999999">
      <c r="A116" s="85"/>
      <c r="B116" s="92"/>
      <c r="C116" s="415"/>
      <c r="D116" s="415"/>
      <c r="E116" s="92"/>
      <c r="F116" s="754"/>
      <c r="G116" s="415"/>
      <c r="H116" s="92"/>
      <c r="I116" s="79"/>
      <c r="J116" s="75"/>
      <c r="K116" s="426"/>
    </row>
    <row r="117" spans="1:11" ht="14.4">
      <c r="A117" s="85"/>
      <c r="B117" s="92"/>
      <c r="C117" s="415"/>
      <c r="D117" s="415"/>
      <c r="E117" s="92"/>
      <c r="F117" s="754"/>
      <c r="G117" s="415"/>
      <c r="H117" s="92"/>
    </row>
    <row r="118" spans="1:11" ht="14.4">
      <c r="A118" s="85"/>
      <c r="B118" s="92"/>
      <c r="C118" s="415"/>
      <c r="D118" s="415"/>
      <c r="E118" s="92"/>
      <c r="F118" s="754"/>
      <c r="G118" s="415"/>
      <c r="H118" s="92"/>
      <c r="I118" s="409"/>
      <c r="J118" s="75"/>
    </row>
    <row r="119" spans="1:11" ht="14.4">
      <c r="A119" s="85"/>
      <c r="B119" s="92"/>
      <c r="C119" s="415"/>
      <c r="D119" s="415"/>
      <c r="E119" s="92"/>
      <c r="F119" s="754"/>
      <c r="G119" s="415"/>
      <c r="H119" s="92"/>
      <c r="I119" s="409"/>
      <c r="J119" s="75"/>
    </row>
    <row r="120" spans="1:11" ht="14.4">
      <c r="A120" s="85"/>
      <c r="B120" s="92"/>
      <c r="C120" s="415"/>
      <c r="D120" s="415"/>
      <c r="E120" s="92"/>
      <c r="F120" s="754"/>
      <c r="G120" s="415"/>
      <c r="H120" s="92"/>
      <c r="I120" s="462"/>
      <c r="J120" s="75"/>
    </row>
    <row r="121" spans="1:11" ht="14.4">
      <c r="A121" s="62"/>
      <c r="B121" s="68"/>
      <c r="C121" s="62"/>
      <c r="D121" s="62"/>
      <c r="E121" s="68"/>
      <c r="F121" s="408"/>
      <c r="G121" s="463"/>
      <c r="H121" s="68"/>
      <c r="I121" s="99"/>
      <c r="J121" s="75"/>
    </row>
    <row r="122" spans="1:11" ht="13.2">
      <c r="I122" s="464"/>
      <c r="J122" s="395"/>
    </row>
    <row r="123" spans="1:11" ht="13.2">
      <c r="I123" s="464"/>
      <c r="J123" s="395"/>
    </row>
    <row r="124" spans="1:11" ht="13.2">
      <c r="I124" s="464"/>
      <c r="J124" s="395"/>
    </row>
    <row r="125" spans="1:11" ht="13.2">
      <c r="C125" s="60"/>
      <c r="I125" s="464"/>
      <c r="J125" s="395"/>
    </row>
    <row r="126" spans="1:11" ht="13.2">
      <c r="C126" s="60"/>
      <c r="I126" s="464"/>
      <c r="J126" s="395"/>
    </row>
    <row r="127" spans="1:11" ht="13.2">
      <c r="C127" s="60"/>
      <c r="I127" s="464"/>
      <c r="J127" s="395"/>
    </row>
    <row r="128" spans="1:11" ht="13.2">
      <c r="C128" s="60"/>
      <c r="I128" s="464"/>
      <c r="J128" s="395"/>
    </row>
    <row r="129" spans="3:10" ht="13.2">
      <c r="C129" s="60"/>
      <c r="I129" s="464"/>
      <c r="J129" s="395"/>
    </row>
    <row r="130" spans="3:10" ht="13.2">
      <c r="I130" s="464"/>
      <c r="J130" s="395"/>
    </row>
    <row r="131" spans="3:10" ht="13.2">
      <c r="I131" s="464"/>
      <c r="J131" s="395"/>
    </row>
    <row r="132" spans="3:10" ht="13.2">
      <c r="I132" s="464"/>
      <c r="J132" s="395"/>
    </row>
    <row r="133" spans="3:10" ht="13.2">
      <c r="I133" s="464"/>
      <c r="J133" s="395"/>
    </row>
    <row r="134" spans="3:10" ht="13.2">
      <c r="I134" s="464"/>
      <c r="J134" s="395"/>
    </row>
    <row r="135" spans="3:10" ht="13.2">
      <c r="I135" s="464"/>
      <c r="J135" s="395"/>
    </row>
    <row r="136" spans="3:10" ht="13.2">
      <c r="I136" s="464"/>
      <c r="J136" s="395"/>
    </row>
    <row r="137" spans="3:10" ht="13.2">
      <c r="I137" s="464"/>
      <c r="J137" s="395"/>
    </row>
    <row r="138" spans="3:10" ht="13.2">
      <c r="I138" s="464"/>
      <c r="J138" s="395"/>
    </row>
    <row r="139" spans="3:10" ht="13.2">
      <c r="I139" s="464"/>
      <c r="J139" s="395"/>
    </row>
    <row r="140" spans="3:10" ht="13.2">
      <c r="I140" s="464"/>
      <c r="J140" s="395"/>
    </row>
    <row r="141" spans="3:10" ht="13.2">
      <c r="I141" s="464"/>
      <c r="J141" s="395"/>
    </row>
    <row r="142" spans="3:10" ht="13.2">
      <c r="I142" s="464"/>
      <c r="J142" s="395"/>
    </row>
    <row r="143" spans="3:10" ht="13.2">
      <c r="I143" s="464"/>
      <c r="J143" s="395"/>
    </row>
    <row r="144" spans="3:10" ht="13.2">
      <c r="I144" s="464"/>
      <c r="J144" s="395"/>
    </row>
    <row r="145" spans="9:10" ht="13.2">
      <c r="I145" s="464"/>
      <c r="J145" s="395"/>
    </row>
    <row r="146" spans="9:10" ht="13.2">
      <c r="I146" s="464"/>
      <c r="J146" s="395"/>
    </row>
    <row r="147" spans="9:10" ht="13.2">
      <c r="I147" s="464"/>
      <c r="J147" s="395"/>
    </row>
    <row r="148" spans="9:10" ht="13.2">
      <c r="I148" s="464"/>
      <c r="J148" s="395"/>
    </row>
    <row r="149" spans="9:10" ht="13.2">
      <c r="I149" s="464"/>
      <c r="J149" s="395"/>
    </row>
    <row r="150" spans="9:10" ht="13.2">
      <c r="I150" s="464"/>
      <c r="J150" s="395"/>
    </row>
    <row r="151" spans="9:10" ht="13.2">
      <c r="I151" s="464"/>
      <c r="J151" s="395"/>
    </row>
    <row r="152" spans="9:10" ht="13.2">
      <c r="I152" s="464"/>
      <c r="J152" s="395"/>
    </row>
    <row r="153" spans="9:10" ht="13.2">
      <c r="I153" s="464"/>
      <c r="J153" s="395"/>
    </row>
    <row r="154" spans="9:10" ht="13.2">
      <c r="I154" s="464"/>
      <c r="J154" s="395"/>
    </row>
    <row r="155" spans="9:10" ht="13.2">
      <c r="I155" s="464"/>
      <c r="J155" s="395"/>
    </row>
    <row r="156" spans="9:10" ht="13.2">
      <c r="I156" s="464"/>
      <c r="J156" s="395"/>
    </row>
    <row r="157" spans="9:10" ht="13.2">
      <c r="I157" s="464"/>
      <c r="J157" s="395"/>
    </row>
    <row r="158" spans="9:10" ht="13.2">
      <c r="I158" s="464"/>
      <c r="J158" s="395"/>
    </row>
    <row r="159" spans="9:10" ht="13.2">
      <c r="I159" s="464"/>
      <c r="J159" s="395"/>
    </row>
    <row r="160" spans="9:10" ht="13.2">
      <c r="I160" s="464"/>
      <c r="J160" s="395"/>
    </row>
    <row r="161" spans="9:10" ht="13.2">
      <c r="I161" s="464"/>
      <c r="J161" s="395"/>
    </row>
    <row r="162" spans="9:10" ht="13.2">
      <c r="I162" s="464"/>
      <c r="J162" s="395"/>
    </row>
    <row r="163" spans="9:10" ht="13.2">
      <c r="I163" s="464"/>
      <c r="J163" s="395"/>
    </row>
    <row r="164" spans="9:10" ht="13.2">
      <c r="I164" s="464"/>
      <c r="J164" s="395"/>
    </row>
    <row r="165" spans="9:10" ht="13.2">
      <c r="I165" s="464"/>
      <c r="J165" s="395"/>
    </row>
    <row r="166" spans="9:10" ht="13.2">
      <c r="I166" s="464"/>
      <c r="J166" s="395"/>
    </row>
    <row r="167" spans="9:10" ht="13.2">
      <c r="I167" s="464"/>
      <c r="J167" s="395"/>
    </row>
    <row r="168" spans="9:10" ht="13.2">
      <c r="I168" s="464"/>
      <c r="J168" s="395"/>
    </row>
    <row r="169" spans="9:10" ht="13.2">
      <c r="I169" s="464"/>
      <c r="J169" s="395"/>
    </row>
    <row r="170" spans="9:10" ht="13.2">
      <c r="I170" s="464"/>
      <c r="J170" s="395"/>
    </row>
    <row r="171" spans="9:10" ht="13.2">
      <c r="I171" s="464"/>
      <c r="J171" s="395"/>
    </row>
    <row r="172" spans="9:10" ht="13.2">
      <c r="I172" s="464"/>
      <c r="J172" s="395"/>
    </row>
    <row r="173" spans="9:10" ht="13.2">
      <c r="I173" s="464"/>
      <c r="J173" s="395"/>
    </row>
    <row r="174" spans="9:10" ht="13.2">
      <c r="I174" s="464"/>
      <c r="J174" s="395"/>
    </row>
    <row r="175" spans="9:10" ht="13.2">
      <c r="I175" s="464"/>
      <c r="J175" s="395"/>
    </row>
    <row r="176" spans="9:10" ht="13.2">
      <c r="I176" s="464"/>
      <c r="J176" s="395"/>
    </row>
    <row r="177" spans="9:10" ht="13.2">
      <c r="I177" s="464"/>
      <c r="J177" s="395"/>
    </row>
    <row r="178" spans="9:10" ht="13.2">
      <c r="I178" s="464"/>
      <c r="J178" s="395"/>
    </row>
    <row r="179" spans="9:10" ht="13.2">
      <c r="I179" s="464"/>
      <c r="J179" s="395"/>
    </row>
    <row r="180" spans="9:10" ht="13.2">
      <c r="I180" s="464"/>
      <c r="J180" s="395"/>
    </row>
    <row r="181" spans="9:10" ht="13.2">
      <c r="I181" s="464"/>
      <c r="J181" s="395"/>
    </row>
    <row r="182" spans="9:10" ht="13.2">
      <c r="I182" s="464"/>
      <c r="J182" s="395"/>
    </row>
    <row r="183" spans="9:10" ht="13.2">
      <c r="I183" s="464"/>
      <c r="J183" s="395"/>
    </row>
    <row r="184" spans="9:10" ht="13.2">
      <c r="I184" s="464"/>
      <c r="J184" s="395"/>
    </row>
    <row r="185" spans="9:10" ht="13.2">
      <c r="I185" s="464"/>
      <c r="J185" s="395"/>
    </row>
    <row r="186" spans="9:10" ht="13.2">
      <c r="I186" s="464"/>
      <c r="J186" s="395"/>
    </row>
    <row r="187" spans="9:10" ht="13.2">
      <c r="I187" s="464"/>
      <c r="J187" s="395"/>
    </row>
    <row r="188" spans="9:10" ht="13.2">
      <c r="I188" s="464"/>
      <c r="J188" s="395"/>
    </row>
    <row r="189" spans="9:10" ht="13.2">
      <c r="I189" s="464"/>
      <c r="J189" s="395"/>
    </row>
    <row r="190" spans="9:10" ht="13.2">
      <c r="I190" s="464"/>
      <c r="J190" s="395"/>
    </row>
    <row r="191" spans="9:10" ht="13.2">
      <c r="I191" s="464"/>
      <c r="J191" s="395"/>
    </row>
    <row r="192" spans="9:10" ht="13.2">
      <c r="I192" s="464"/>
      <c r="J192" s="395"/>
    </row>
    <row r="193" spans="9:10" ht="13.2">
      <c r="I193" s="464"/>
      <c r="J193" s="395"/>
    </row>
    <row r="194" spans="9:10" ht="13.2">
      <c r="I194" s="464"/>
      <c r="J194" s="395"/>
    </row>
    <row r="195" spans="9:10" ht="13.2">
      <c r="I195" s="464"/>
      <c r="J195" s="395"/>
    </row>
    <row r="196" spans="9:10" ht="13.2">
      <c r="I196" s="464"/>
      <c r="J196" s="395"/>
    </row>
    <row r="197" spans="9:10" ht="13.2">
      <c r="I197" s="464"/>
      <c r="J197" s="395"/>
    </row>
    <row r="198" spans="9:10" ht="13.2">
      <c r="I198" s="464"/>
      <c r="J198" s="395"/>
    </row>
    <row r="199" spans="9:10" ht="13.2">
      <c r="I199" s="464"/>
      <c r="J199" s="395"/>
    </row>
    <row r="200" spans="9:10" ht="13.2">
      <c r="I200" s="464"/>
      <c r="J200" s="395"/>
    </row>
    <row r="201" spans="9:10" ht="13.2">
      <c r="I201" s="464"/>
      <c r="J201" s="395"/>
    </row>
    <row r="202" spans="9:10" ht="13.2">
      <c r="I202" s="464"/>
      <c r="J202" s="395"/>
    </row>
    <row r="203" spans="9:10" ht="13.2">
      <c r="I203" s="464"/>
      <c r="J203" s="395"/>
    </row>
    <row r="204" spans="9:10" ht="13.2">
      <c r="I204" s="464"/>
      <c r="J204" s="395"/>
    </row>
    <row r="205" spans="9:10" ht="13.2">
      <c r="I205" s="464"/>
      <c r="J205" s="395"/>
    </row>
    <row r="206" spans="9:10" ht="13.2">
      <c r="I206" s="464"/>
      <c r="J206" s="395"/>
    </row>
    <row r="207" spans="9:10" ht="13.2">
      <c r="I207" s="464"/>
      <c r="J207" s="395"/>
    </row>
    <row r="208" spans="9:10" ht="13.2">
      <c r="I208" s="464"/>
      <c r="J208" s="395"/>
    </row>
    <row r="209" spans="9:10" ht="13.2">
      <c r="I209" s="464"/>
      <c r="J209" s="395"/>
    </row>
    <row r="210" spans="9:10" ht="13.2">
      <c r="I210" s="464"/>
      <c r="J210" s="395"/>
    </row>
    <row r="211" spans="9:10" ht="13.2">
      <c r="I211" s="464"/>
      <c r="J211" s="395"/>
    </row>
    <row r="212" spans="9:10" ht="13.2">
      <c r="I212" s="464"/>
      <c r="J212" s="395"/>
    </row>
    <row r="213" spans="9:10" ht="13.2">
      <c r="I213" s="464"/>
      <c r="J213" s="395"/>
    </row>
    <row r="214" spans="9:10" ht="13.2">
      <c r="I214" s="464"/>
      <c r="J214" s="395"/>
    </row>
    <row r="215" spans="9:10" ht="13.2">
      <c r="I215" s="464"/>
      <c r="J215" s="395"/>
    </row>
    <row r="216" spans="9:10" ht="13.2">
      <c r="I216" s="464"/>
      <c r="J216" s="395"/>
    </row>
    <row r="217" spans="9:10" ht="13.2">
      <c r="I217" s="464"/>
      <c r="J217" s="395"/>
    </row>
    <row r="218" spans="9:10" ht="13.2">
      <c r="I218" s="464"/>
      <c r="J218" s="395"/>
    </row>
    <row r="219" spans="9:10" ht="13.2">
      <c r="I219" s="464"/>
      <c r="J219" s="395"/>
    </row>
    <row r="220" spans="9:10" ht="13.2">
      <c r="I220" s="464"/>
      <c r="J220" s="395"/>
    </row>
    <row r="221" spans="9:10" ht="13.2">
      <c r="I221" s="464"/>
      <c r="J221" s="395"/>
    </row>
    <row r="222" spans="9:10" ht="13.2">
      <c r="I222" s="464"/>
      <c r="J222" s="395"/>
    </row>
    <row r="223" spans="9:10" ht="13.2">
      <c r="I223" s="464"/>
      <c r="J223" s="395"/>
    </row>
    <row r="224" spans="9:10" ht="13.2">
      <c r="I224" s="464"/>
      <c r="J224" s="395"/>
    </row>
    <row r="225" spans="9:10" ht="13.2">
      <c r="I225" s="464"/>
      <c r="J225" s="395"/>
    </row>
    <row r="226" spans="9:10" ht="13.2">
      <c r="I226" s="464"/>
      <c r="J226" s="395"/>
    </row>
    <row r="227" spans="9:10" ht="13.2">
      <c r="I227" s="464"/>
      <c r="J227" s="395"/>
    </row>
    <row r="228" spans="9:10" ht="13.2">
      <c r="I228" s="464"/>
      <c r="J228" s="395"/>
    </row>
    <row r="229" spans="9:10" ht="13.2">
      <c r="I229" s="464"/>
      <c r="J229" s="395"/>
    </row>
    <row r="230" spans="9:10" ht="13.2">
      <c r="I230" s="464"/>
      <c r="J230" s="395"/>
    </row>
    <row r="231" spans="9:10" ht="13.2">
      <c r="I231" s="464"/>
      <c r="J231" s="395"/>
    </row>
    <row r="232" spans="9:10" ht="13.2">
      <c r="I232" s="464"/>
      <c r="J232" s="395"/>
    </row>
    <row r="233" spans="9:10" ht="13.2">
      <c r="I233" s="464"/>
      <c r="J233" s="395"/>
    </row>
    <row r="234" spans="9:10" ht="13.2">
      <c r="I234" s="464"/>
      <c r="J234" s="395"/>
    </row>
    <row r="235" spans="9:10" ht="13.2">
      <c r="I235" s="464"/>
      <c r="J235" s="395"/>
    </row>
    <row r="236" spans="9:10" ht="13.2">
      <c r="I236" s="464"/>
      <c r="J236" s="395"/>
    </row>
    <row r="237" spans="9:10" ht="13.2">
      <c r="I237" s="464"/>
      <c r="J237" s="395"/>
    </row>
    <row r="238" spans="9:10" ht="13.2">
      <c r="I238" s="464"/>
      <c r="J238" s="395"/>
    </row>
    <row r="239" spans="9:10" ht="13.2">
      <c r="I239" s="464"/>
      <c r="J239" s="395"/>
    </row>
    <row r="240" spans="9:10" ht="13.2">
      <c r="I240" s="464"/>
      <c r="J240" s="395"/>
    </row>
    <row r="241" spans="9:10" ht="13.2">
      <c r="I241" s="464"/>
      <c r="J241" s="395"/>
    </row>
    <row r="242" spans="9:10" ht="13.2">
      <c r="I242" s="464"/>
      <c r="J242" s="395"/>
    </row>
    <row r="243" spans="9:10" ht="13.2">
      <c r="I243" s="464"/>
      <c r="J243" s="395"/>
    </row>
    <row r="244" spans="9:10" ht="13.2">
      <c r="I244" s="464"/>
      <c r="J244" s="395"/>
    </row>
    <row r="245" spans="9:10" ht="13.2">
      <c r="I245" s="464"/>
      <c r="J245" s="395"/>
    </row>
    <row r="246" spans="9:10" ht="13.2">
      <c r="I246" s="464"/>
      <c r="J246" s="395"/>
    </row>
    <row r="247" spans="9:10" ht="13.2">
      <c r="I247" s="464"/>
      <c r="J247" s="395"/>
    </row>
    <row r="248" spans="9:10" ht="13.2">
      <c r="I248" s="464"/>
      <c r="J248" s="395"/>
    </row>
    <row r="249" spans="9:10" ht="13.2">
      <c r="I249" s="464"/>
      <c r="J249" s="395"/>
    </row>
    <row r="250" spans="9:10" ht="13.2">
      <c r="I250" s="464"/>
      <c r="J250" s="395"/>
    </row>
    <row r="251" spans="9:10" ht="13.2">
      <c r="I251" s="464"/>
      <c r="J251" s="395"/>
    </row>
    <row r="252" spans="9:10" ht="13.2">
      <c r="I252" s="464"/>
      <c r="J252" s="395"/>
    </row>
    <row r="253" spans="9:10" ht="13.2">
      <c r="I253" s="464"/>
      <c r="J253" s="395"/>
    </row>
    <row r="254" spans="9:10" ht="13.2">
      <c r="I254" s="464"/>
      <c r="J254" s="395"/>
    </row>
    <row r="255" spans="9:10" ht="13.2">
      <c r="I255" s="464"/>
      <c r="J255" s="395"/>
    </row>
    <row r="256" spans="9:10" ht="13.2">
      <c r="I256" s="464"/>
      <c r="J256" s="395"/>
    </row>
    <row r="257" spans="9:10" ht="13.2">
      <c r="I257" s="464"/>
      <c r="J257" s="395"/>
    </row>
    <row r="258" spans="9:10" ht="13.2">
      <c r="I258" s="464"/>
      <c r="J258" s="395"/>
    </row>
    <row r="259" spans="9:10" ht="13.2">
      <c r="I259" s="464"/>
      <c r="J259" s="395"/>
    </row>
    <row r="260" spans="9:10" ht="13.2">
      <c r="I260" s="464"/>
      <c r="J260" s="395"/>
    </row>
    <row r="261" spans="9:10" ht="13.2">
      <c r="I261" s="464"/>
      <c r="J261" s="395"/>
    </row>
    <row r="262" spans="9:10" ht="13.2">
      <c r="I262" s="464"/>
      <c r="J262" s="395"/>
    </row>
    <row r="263" spans="9:10" ht="13.2">
      <c r="I263" s="464"/>
      <c r="J263" s="395"/>
    </row>
    <row r="264" spans="9:10" ht="13.2">
      <c r="I264" s="464"/>
      <c r="J264" s="395"/>
    </row>
    <row r="265" spans="9:10" ht="13.2">
      <c r="I265" s="464"/>
      <c r="J265" s="395"/>
    </row>
    <row r="266" spans="9:10" ht="13.2">
      <c r="I266" s="464"/>
      <c r="J266" s="395"/>
    </row>
    <row r="267" spans="9:10" ht="13.2">
      <c r="I267" s="464"/>
      <c r="J267" s="395"/>
    </row>
    <row r="268" spans="9:10" ht="13.2">
      <c r="I268" s="464"/>
      <c r="J268" s="395"/>
    </row>
    <row r="269" spans="9:10" ht="13.2">
      <c r="I269" s="464"/>
      <c r="J269" s="395"/>
    </row>
    <row r="270" spans="9:10" ht="13.2">
      <c r="I270" s="464"/>
      <c r="J270" s="395"/>
    </row>
    <row r="271" spans="9:10" ht="13.2">
      <c r="I271" s="464"/>
      <c r="J271" s="395"/>
    </row>
    <row r="272" spans="9:10" ht="13.2">
      <c r="I272" s="464"/>
      <c r="J272" s="395"/>
    </row>
    <row r="273" spans="9:10" ht="13.2">
      <c r="I273" s="464"/>
      <c r="J273" s="395"/>
    </row>
    <row r="274" spans="9:10" ht="13.2">
      <c r="I274" s="464"/>
      <c r="J274" s="395"/>
    </row>
    <row r="275" spans="9:10" ht="13.2">
      <c r="I275" s="464"/>
      <c r="J275" s="395"/>
    </row>
    <row r="276" spans="9:10" ht="13.2">
      <c r="I276" s="464"/>
      <c r="J276" s="395"/>
    </row>
    <row r="277" spans="9:10" ht="13.2">
      <c r="I277" s="464"/>
      <c r="J277" s="395"/>
    </row>
    <row r="278" spans="9:10" ht="13.2">
      <c r="I278" s="464"/>
      <c r="J278" s="395"/>
    </row>
    <row r="279" spans="9:10" ht="13.2">
      <c r="I279" s="464"/>
      <c r="J279" s="395"/>
    </row>
    <row r="280" spans="9:10" ht="13.2">
      <c r="I280" s="464"/>
      <c r="J280" s="395"/>
    </row>
    <row r="281" spans="9:10" ht="13.2">
      <c r="I281" s="464"/>
      <c r="J281" s="395"/>
    </row>
    <row r="282" spans="9:10" ht="13.2">
      <c r="I282" s="464"/>
      <c r="J282" s="395"/>
    </row>
    <row r="283" spans="9:10" ht="13.2">
      <c r="I283" s="464"/>
      <c r="J283" s="395"/>
    </row>
    <row r="284" spans="9:10" ht="13.2">
      <c r="I284" s="464"/>
      <c r="J284" s="395"/>
    </row>
    <row r="285" spans="9:10" ht="13.2">
      <c r="I285" s="464"/>
      <c r="J285" s="395"/>
    </row>
    <row r="286" spans="9:10" ht="13.2">
      <c r="I286" s="464"/>
      <c r="J286" s="395"/>
    </row>
    <row r="287" spans="9:10" ht="13.2">
      <c r="I287" s="464"/>
      <c r="J287" s="395"/>
    </row>
    <row r="288" spans="9:10" ht="13.2">
      <c r="I288" s="464"/>
      <c r="J288" s="395"/>
    </row>
    <row r="289" spans="9:10" ht="13.2">
      <c r="I289" s="464"/>
      <c r="J289" s="395"/>
    </row>
    <row r="290" spans="9:10" ht="13.2">
      <c r="I290" s="464"/>
      <c r="J290" s="395"/>
    </row>
    <row r="291" spans="9:10" ht="13.2">
      <c r="I291" s="464"/>
      <c r="J291" s="395"/>
    </row>
    <row r="292" spans="9:10" ht="13.2">
      <c r="I292" s="464"/>
      <c r="J292" s="395"/>
    </row>
    <row r="293" spans="9:10" ht="13.2">
      <c r="I293" s="464"/>
      <c r="J293" s="395"/>
    </row>
    <row r="294" spans="9:10" ht="13.2">
      <c r="I294" s="464"/>
      <c r="J294" s="395"/>
    </row>
    <row r="295" spans="9:10" ht="13.2">
      <c r="I295" s="464"/>
      <c r="J295" s="395"/>
    </row>
    <row r="296" spans="9:10" ht="13.2">
      <c r="I296" s="464"/>
      <c r="J296" s="395"/>
    </row>
    <row r="297" spans="9:10" ht="13.2">
      <c r="I297" s="464"/>
      <c r="J297" s="395"/>
    </row>
    <row r="298" spans="9:10" ht="13.2">
      <c r="I298" s="464"/>
      <c r="J298" s="395"/>
    </row>
    <row r="299" spans="9:10" ht="13.2">
      <c r="I299" s="464"/>
      <c r="J299" s="395"/>
    </row>
    <row r="300" spans="9:10" ht="13.2">
      <c r="I300" s="464"/>
      <c r="J300" s="395"/>
    </row>
    <row r="301" spans="9:10" ht="13.2">
      <c r="I301" s="464"/>
      <c r="J301" s="395"/>
    </row>
    <row r="302" spans="9:10" ht="13.2">
      <c r="I302" s="464"/>
      <c r="J302" s="395"/>
    </row>
    <row r="303" spans="9:10" ht="13.2">
      <c r="I303" s="464"/>
      <c r="J303" s="395"/>
    </row>
    <row r="304" spans="9:10" ht="13.2">
      <c r="I304" s="464"/>
      <c r="J304" s="395"/>
    </row>
    <row r="305" spans="9:10" ht="13.2">
      <c r="I305" s="464"/>
      <c r="J305" s="395"/>
    </row>
    <row r="306" spans="9:10" ht="13.2">
      <c r="I306" s="464"/>
      <c r="J306" s="395"/>
    </row>
    <row r="307" spans="9:10" ht="13.2">
      <c r="I307" s="464"/>
      <c r="J307" s="395"/>
    </row>
    <row r="308" spans="9:10" ht="13.2">
      <c r="I308" s="464"/>
      <c r="J308" s="395"/>
    </row>
    <row r="309" spans="9:10" ht="13.2">
      <c r="I309" s="464"/>
      <c r="J309" s="395"/>
    </row>
    <row r="310" spans="9:10" ht="13.2">
      <c r="I310" s="464"/>
      <c r="J310" s="395"/>
    </row>
    <row r="311" spans="9:10" ht="13.2">
      <c r="I311" s="464"/>
      <c r="J311" s="395"/>
    </row>
    <row r="312" spans="9:10" ht="13.2">
      <c r="I312" s="464"/>
      <c r="J312" s="395"/>
    </row>
    <row r="313" spans="9:10" ht="13.2">
      <c r="I313" s="464"/>
      <c r="J313" s="395"/>
    </row>
    <row r="314" spans="9:10" ht="13.2">
      <c r="I314" s="464"/>
      <c r="J314" s="395"/>
    </row>
    <row r="315" spans="9:10" ht="13.2">
      <c r="I315" s="464"/>
      <c r="J315" s="395"/>
    </row>
    <row r="316" spans="9:10" ht="13.2">
      <c r="I316" s="464"/>
      <c r="J316" s="395"/>
    </row>
    <row r="317" spans="9:10" ht="13.2">
      <c r="I317" s="464"/>
      <c r="J317" s="395"/>
    </row>
    <row r="318" spans="9:10" ht="13.2">
      <c r="I318" s="464"/>
      <c r="J318" s="395"/>
    </row>
    <row r="319" spans="9:10" ht="13.2">
      <c r="I319" s="464"/>
      <c r="J319" s="395"/>
    </row>
    <row r="320" spans="9:10" ht="13.2">
      <c r="I320" s="464"/>
      <c r="J320" s="395"/>
    </row>
    <row r="321" spans="9:10" ht="13.2">
      <c r="I321" s="464"/>
      <c r="J321" s="395"/>
    </row>
    <row r="322" spans="9:10" ht="13.2">
      <c r="I322" s="464"/>
      <c r="J322" s="395"/>
    </row>
    <row r="323" spans="9:10" ht="13.2">
      <c r="I323" s="464"/>
      <c r="J323" s="395"/>
    </row>
    <row r="324" spans="9:10" ht="13.2">
      <c r="I324" s="464"/>
      <c r="J324" s="395"/>
    </row>
    <row r="325" spans="9:10" ht="13.2">
      <c r="I325" s="464"/>
      <c r="J325" s="395"/>
    </row>
    <row r="326" spans="9:10" ht="13.2">
      <c r="I326" s="464"/>
      <c r="J326" s="395"/>
    </row>
    <row r="327" spans="9:10" ht="13.2">
      <c r="I327" s="464"/>
      <c r="J327" s="395"/>
    </row>
    <row r="328" spans="9:10" ht="13.2">
      <c r="I328" s="464"/>
      <c r="J328" s="395"/>
    </row>
    <row r="329" spans="9:10" ht="13.2">
      <c r="I329" s="464"/>
      <c r="J329" s="395"/>
    </row>
    <row r="330" spans="9:10" ht="13.2">
      <c r="I330" s="464"/>
      <c r="J330" s="395"/>
    </row>
    <row r="331" spans="9:10" ht="13.2">
      <c r="I331" s="464"/>
      <c r="J331" s="395"/>
    </row>
    <row r="332" spans="9:10" ht="13.2">
      <c r="I332" s="464"/>
      <c r="J332" s="395"/>
    </row>
    <row r="333" spans="9:10" ht="13.2">
      <c r="I333" s="464"/>
      <c r="J333" s="395"/>
    </row>
    <row r="334" spans="9:10" ht="13.2">
      <c r="I334" s="464"/>
      <c r="J334" s="395"/>
    </row>
    <row r="335" spans="9:10" ht="13.2">
      <c r="I335" s="464"/>
      <c r="J335" s="395"/>
    </row>
    <row r="336" spans="9:10" ht="13.2">
      <c r="I336" s="464"/>
      <c r="J336" s="395"/>
    </row>
    <row r="337" spans="9:10" ht="13.2">
      <c r="I337" s="464"/>
      <c r="J337" s="395"/>
    </row>
    <row r="338" spans="9:10" ht="13.2">
      <c r="I338" s="464"/>
      <c r="J338" s="395"/>
    </row>
    <row r="339" spans="9:10" ht="13.2">
      <c r="I339" s="464"/>
      <c r="J339" s="395"/>
    </row>
    <row r="340" spans="9:10" ht="13.2">
      <c r="I340" s="464"/>
      <c r="J340" s="395"/>
    </row>
    <row r="341" spans="9:10" ht="13.2">
      <c r="I341" s="464"/>
      <c r="J341" s="395"/>
    </row>
    <row r="342" spans="9:10" ht="13.2">
      <c r="I342" s="464"/>
      <c r="J342" s="395"/>
    </row>
    <row r="343" spans="9:10" ht="13.2">
      <c r="I343" s="464"/>
      <c r="J343" s="395"/>
    </row>
    <row r="344" spans="9:10" ht="13.2">
      <c r="I344" s="464"/>
      <c r="J344" s="395"/>
    </row>
    <row r="345" spans="9:10" ht="13.2">
      <c r="I345" s="464"/>
      <c r="J345" s="395"/>
    </row>
    <row r="346" spans="9:10" ht="13.2">
      <c r="I346" s="464"/>
      <c r="J346" s="395"/>
    </row>
    <row r="347" spans="9:10" ht="13.2">
      <c r="I347" s="464"/>
      <c r="J347" s="395"/>
    </row>
    <row r="348" spans="9:10" ht="13.2">
      <c r="I348" s="464"/>
      <c r="J348" s="395"/>
    </row>
    <row r="349" spans="9:10" ht="13.2">
      <c r="I349" s="464"/>
      <c r="J349" s="395"/>
    </row>
    <row r="350" spans="9:10" ht="13.2">
      <c r="I350" s="464"/>
      <c r="J350" s="395"/>
    </row>
    <row r="351" spans="9:10" ht="13.2">
      <c r="I351" s="464"/>
      <c r="J351" s="395"/>
    </row>
    <row r="352" spans="9:10" ht="13.2">
      <c r="I352" s="464"/>
      <c r="J352" s="395"/>
    </row>
    <row r="353" spans="9:10" ht="13.2">
      <c r="I353" s="464"/>
      <c r="J353" s="395"/>
    </row>
    <row r="354" spans="9:10" ht="13.2">
      <c r="I354" s="464"/>
      <c r="J354" s="395"/>
    </row>
    <row r="355" spans="9:10" ht="13.2">
      <c r="I355" s="464"/>
      <c r="J355" s="395"/>
    </row>
    <row r="356" spans="9:10" ht="13.2">
      <c r="I356" s="464"/>
      <c r="J356" s="395"/>
    </row>
    <row r="357" spans="9:10" ht="13.2">
      <c r="I357" s="464"/>
      <c r="J357" s="395"/>
    </row>
    <row r="358" spans="9:10" ht="13.2">
      <c r="I358" s="464"/>
      <c r="J358" s="395"/>
    </row>
    <row r="359" spans="9:10" ht="13.2">
      <c r="I359" s="464"/>
      <c r="J359" s="395"/>
    </row>
    <row r="360" spans="9:10" ht="13.2">
      <c r="I360" s="464"/>
      <c r="J360" s="395"/>
    </row>
    <row r="361" spans="9:10" ht="13.2">
      <c r="I361" s="464"/>
      <c r="J361" s="395"/>
    </row>
    <row r="362" spans="9:10" ht="13.2">
      <c r="I362" s="464"/>
      <c r="J362" s="395"/>
    </row>
    <row r="363" spans="9:10" ht="13.2">
      <c r="I363" s="464"/>
      <c r="J363" s="395"/>
    </row>
    <row r="364" spans="9:10" ht="13.2">
      <c r="I364" s="464"/>
      <c r="J364" s="395"/>
    </row>
    <row r="365" spans="9:10" ht="13.2">
      <c r="I365" s="464"/>
      <c r="J365" s="395"/>
    </row>
    <row r="366" spans="9:10" ht="13.2">
      <c r="I366" s="464"/>
      <c r="J366" s="395"/>
    </row>
    <row r="367" spans="9:10" ht="13.2">
      <c r="I367" s="464"/>
      <c r="J367" s="395"/>
    </row>
    <row r="368" spans="9:10" ht="13.2">
      <c r="I368" s="464"/>
      <c r="J368" s="395"/>
    </row>
    <row r="369" spans="9:10" ht="13.2">
      <c r="I369" s="464"/>
      <c r="J369" s="395"/>
    </row>
    <row r="370" spans="9:10" ht="13.2">
      <c r="I370" s="464"/>
      <c r="J370" s="395"/>
    </row>
    <row r="371" spans="9:10" ht="13.2">
      <c r="I371" s="464"/>
      <c r="J371" s="395"/>
    </row>
    <row r="372" spans="9:10" ht="13.2">
      <c r="I372" s="464"/>
      <c r="J372" s="395"/>
    </row>
    <row r="373" spans="9:10" ht="13.2">
      <c r="I373" s="464"/>
      <c r="J373" s="395"/>
    </row>
    <row r="374" spans="9:10" ht="13.2">
      <c r="I374" s="464"/>
      <c r="J374" s="395"/>
    </row>
    <row r="375" spans="9:10" ht="13.2">
      <c r="I375" s="464"/>
      <c r="J375" s="395"/>
    </row>
    <row r="376" spans="9:10" ht="13.2">
      <c r="I376" s="464"/>
      <c r="J376" s="395"/>
    </row>
    <row r="377" spans="9:10" ht="13.2">
      <c r="I377" s="464"/>
      <c r="J377" s="395"/>
    </row>
    <row r="378" spans="9:10" ht="13.2">
      <c r="I378" s="464"/>
      <c r="J378" s="395"/>
    </row>
    <row r="379" spans="9:10" ht="13.2">
      <c r="I379" s="464"/>
      <c r="J379" s="395"/>
    </row>
    <row r="380" spans="9:10" ht="13.2">
      <c r="I380" s="464"/>
      <c r="J380" s="395"/>
    </row>
    <row r="381" spans="9:10" ht="13.2">
      <c r="I381" s="464"/>
      <c r="J381" s="395"/>
    </row>
    <row r="382" spans="9:10" ht="13.2">
      <c r="I382" s="464"/>
      <c r="J382" s="395"/>
    </row>
    <row r="383" spans="9:10" ht="13.2">
      <c r="I383" s="464"/>
      <c r="J383" s="395"/>
    </row>
    <row r="384" spans="9:10" ht="13.2">
      <c r="I384" s="464"/>
      <c r="J384" s="395"/>
    </row>
    <row r="385" spans="9:10" ht="13.2">
      <c r="I385" s="464"/>
      <c r="J385" s="395"/>
    </row>
    <row r="386" spans="9:10" ht="13.2">
      <c r="I386" s="464"/>
      <c r="J386" s="395"/>
    </row>
    <row r="387" spans="9:10" ht="13.2">
      <c r="I387" s="464"/>
      <c r="J387" s="395"/>
    </row>
    <row r="388" spans="9:10" ht="13.2">
      <c r="I388" s="464"/>
      <c r="J388" s="395"/>
    </row>
    <row r="389" spans="9:10" ht="13.2">
      <c r="I389" s="464"/>
      <c r="J389" s="395"/>
    </row>
    <row r="390" spans="9:10" ht="13.2">
      <c r="I390" s="464"/>
      <c r="J390" s="395"/>
    </row>
    <row r="391" spans="9:10" ht="13.2">
      <c r="I391" s="464"/>
      <c r="J391" s="395"/>
    </row>
    <row r="392" spans="9:10" ht="13.2">
      <c r="I392" s="464"/>
      <c r="J392" s="395"/>
    </row>
    <row r="393" spans="9:10" ht="13.2">
      <c r="I393" s="464"/>
      <c r="J393" s="395"/>
    </row>
    <row r="394" spans="9:10" ht="13.2">
      <c r="I394" s="464"/>
      <c r="J394" s="395"/>
    </row>
    <row r="395" spans="9:10" ht="13.2">
      <c r="I395" s="464"/>
      <c r="J395" s="395"/>
    </row>
    <row r="396" spans="9:10" ht="13.2">
      <c r="I396" s="464"/>
      <c r="J396" s="395"/>
    </row>
    <row r="397" spans="9:10" ht="13.2">
      <c r="I397" s="464"/>
      <c r="J397" s="395"/>
    </row>
    <row r="398" spans="9:10" ht="13.2">
      <c r="I398" s="464"/>
      <c r="J398" s="395"/>
    </row>
    <row r="399" spans="9:10" ht="13.2">
      <c r="I399" s="464"/>
      <c r="J399" s="395"/>
    </row>
    <row r="400" spans="9:10" ht="13.2">
      <c r="I400" s="464"/>
      <c r="J400" s="395"/>
    </row>
    <row r="401" spans="9:10" ht="13.2">
      <c r="I401" s="464"/>
      <c r="J401" s="395"/>
    </row>
    <row r="402" spans="9:10" ht="13.2">
      <c r="I402" s="464"/>
      <c r="J402" s="395"/>
    </row>
    <row r="403" spans="9:10" ht="13.2">
      <c r="I403" s="464"/>
      <c r="J403" s="395"/>
    </row>
    <row r="404" spans="9:10" ht="13.2">
      <c r="I404" s="464"/>
      <c r="J404" s="395"/>
    </row>
    <row r="405" spans="9:10" ht="13.2">
      <c r="I405" s="464"/>
      <c r="J405" s="395"/>
    </row>
    <row r="406" spans="9:10" ht="13.2">
      <c r="I406" s="464"/>
      <c r="J406" s="395"/>
    </row>
    <row r="407" spans="9:10" ht="13.2">
      <c r="I407" s="464"/>
      <c r="J407" s="395"/>
    </row>
    <row r="408" spans="9:10" ht="13.2">
      <c r="I408" s="464"/>
      <c r="J408" s="395"/>
    </row>
    <row r="409" spans="9:10" ht="13.2">
      <c r="I409" s="464"/>
      <c r="J409" s="395"/>
    </row>
    <row r="410" spans="9:10" ht="13.2">
      <c r="I410" s="464"/>
      <c r="J410" s="395"/>
    </row>
    <row r="411" spans="9:10" ht="13.2">
      <c r="I411" s="464"/>
      <c r="J411" s="395"/>
    </row>
    <row r="412" spans="9:10" ht="13.2">
      <c r="I412" s="464"/>
      <c r="J412" s="395"/>
    </row>
    <row r="413" spans="9:10" ht="13.2">
      <c r="I413" s="464"/>
      <c r="J413" s="395"/>
    </row>
    <row r="414" spans="9:10" ht="13.2">
      <c r="I414" s="464"/>
      <c r="J414" s="395"/>
    </row>
    <row r="415" spans="9:10" ht="13.2">
      <c r="I415" s="464"/>
      <c r="J415" s="395"/>
    </row>
    <row r="416" spans="9:10" ht="13.2">
      <c r="I416" s="464"/>
      <c r="J416" s="395"/>
    </row>
    <row r="417" spans="9:10" ht="13.2">
      <c r="I417" s="464"/>
      <c r="J417" s="395"/>
    </row>
    <row r="418" spans="9:10" ht="13.2">
      <c r="I418" s="464"/>
      <c r="J418" s="395"/>
    </row>
    <row r="419" spans="9:10" ht="13.2">
      <c r="I419" s="464"/>
      <c r="J419" s="395"/>
    </row>
    <row r="420" spans="9:10" ht="13.2">
      <c r="I420" s="464"/>
      <c r="J420" s="395"/>
    </row>
    <row r="421" spans="9:10" ht="13.2">
      <c r="I421" s="464"/>
      <c r="J421" s="395"/>
    </row>
    <row r="422" spans="9:10" ht="13.2">
      <c r="I422" s="464"/>
      <c r="J422" s="395"/>
    </row>
    <row r="423" spans="9:10" ht="13.2">
      <c r="I423" s="464"/>
      <c r="J423" s="395"/>
    </row>
    <row r="424" spans="9:10" ht="13.2">
      <c r="I424" s="464"/>
      <c r="J424" s="395"/>
    </row>
    <row r="425" spans="9:10" ht="13.2">
      <c r="I425" s="464"/>
      <c r="J425" s="395"/>
    </row>
    <row r="426" spans="9:10" ht="13.2">
      <c r="I426" s="464"/>
      <c r="J426" s="395"/>
    </row>
    <row r="427" spans="9:10" ht="13.2">
      <c r="I427" s="464"/>
      <c r="J427" s="395"/>
    </row>
    <row r="428" spans="9:10" ht="13.2">
      <c r="I428" s="464"/>
      <c r="J428" s="395"/>
    </row>
    <row r="429" spans="9:10" ht="13.2">
      <c r="I429" s="464"/>
      <c r="J429" s="395"/>
    </row>
    <row r="430" spans="9:10" ht="13.2">
      <c r="I430" s="464"/>
      <c r="J430" s="395"/>
    </row>
    <row r="431" spans="9:10" ht="13.2">
      <c r="I431" s="464"/>
      <c r="J431" s="395"/>
    </row>
    <row r="432" spans="9:10" ht="13.2">
      <c r="I432" s="464"/>
      <c r="J432" s="395"/>
    </row>
    <row r="433" spans="9:10" ht="13.2">
      <c r="I433" s="464"/>
      <c r="J433" s="395"/>
    </row>
    <row r="434" spans="9:10" ht="13.2">
      <c r="I434" s="464"/>
      <c r="J434" s="395"/>
    </row>
    <row r="435" spans="9:10" ht="13.2">
      <c r="I435" s="464"/>
      <c r="J435" s="395"/>
    </row>
    <row r="436" spans="9:10" ht="13.2">
      <c r="I436" s="464"/>
      <c r="J436" s="395"/>
    </row>
    <row r="437" spans="9:10" ht="13.2">
      <c r="I437" s="464"/>
      <c r="J437" s="395"/>
    </row>
    <row r="438" spans="9:10" ht="13.2">
      <c r="I438" s="464"/>
      <c r="J438" s="395"/>
    </row>
    <row r="439" spans="9:10" ht="13.2">
      <c r="I439" s="464"/>
      <c r="J439" s="395"/>
    </row>
    <row r="440" spans="9:10" ht="13.2">
      <c r="I440" s="464"/>
      <c r="J440" s="395"/>
    </row>
    <row r="441" spans="9:10" ht="13.2">
      <c r="I441" s="464"/>
      <c r="J441" s="395"/>
    </row>
    <row r="442" spans="9:10" ht="13.2">
      <c r="I442" s="464"/>
      <c r="J442" s="395"/>
    </row>
    <row r="443" spans="9:10" ht="13.2">
      <c r="I443" s="464"/>
      <c r="J443" s="395"/>
    </row>
    <row r="444" spans="9:10" ht="13.2">
      <c r="I444" s="464"/>
      <c r="J444" s="395"/>
    </row>
    <row r="445" spans="9:10" ht="13.2">
      <c r="I445" s="464"/>
      <c r="J445" s="395"/>
    </row>
    <row r="446" spans="9:10" ht="13.2">
      <c r="I446" s="464"/>
      <c r="J446" s="395"/>
    </row>
    <row r="447" spans="9:10" ht="13.2">
      <c r="I447" s="464"/>
      <c r="J447" s="395"/>
    </row>
    <row r="448" spans="9:10" ht="13.2">
      <c r="I448" s="464"/>
      <c r="J448" s="395"/>
    </row>
    <row r="449" spans="9:10" ht="13.2">
      <c r="I449" s="464"/>
      <c r="J449" s="395"/>
    </row>
    <row r="450" spans="9:10" ht="13.2">
      <c r="I450" s="464"/>
      <c r="J450" s="395"/>
    </row>
    <row r="451" spans="9:10" ht="13.2">
      <c r="I451" s="464"/>
      <c r="J451" s="395"/>
    </row>
    <row r="452" spans="9:10" ht="13.2">
      <c r="I452" s="464"/>
      <c r="J452" s="395"/>
    </row>
    <row r="453" spans="9:10" ht="13.2">
      <c r="I453" s="464"/>
      <c r="J453" s="395"/>
    </row>
    <row r="454" spans="9:10" ht="13.2">
      <c r="I454" s="464"/>
      <c r="J454" s="395"/>
    </row>
    <row r="455" spans="9:10" ht="13.2">
      <c r="I455" s="464"/>
      <c r="J455" s="395"/>
    </row>
    <row r="456" spans="9:10" ht="13.2">
      <c r="I456" s="464"/>
      <c r="J456" s="395"/>
    </row>
    <row r="457" spans="9:10" ht="13.2">
      <c r="I457" s="464"/>
      <c r="J457" s="395"/>
    </row>
    <row r="458" spans="9:10" ht="13.2">
      <c r="I458" s="464"/>
      <c r="J458" s="395"/>
    </row>
    <row r="459" spans="9:10" ht="13.2">
      <c r="I459" s="464"/>
      <c r="J459" s="395"/>
    </row>
    <row r="460" spans="9:10" ht="13.2">
      <c r="I460" s="464"/>
      <c r="J460" s="395"/>
    </row>
    <row r="461" spans="9:10" ht="13.2">
      <c r="I461" s="464"/>
      <c r="J461" s="395"/>
    </row>
    <row r="462" spans="9:10" ht="13.2">
      <c r="I462" s="464"/>
      <c r="J462" s="395"/>
    </row>
    <row r="463" spans="9:10" ht="13.2">
      <c r="I463" s="464"/>
      <c r="J463" s="395"/>
    </row>
    <row r="464" spans="9:10" ht="13.2">
      <c r="I464" s="464"/>
      <c r="J464" s="395"/>
    </row>
    <row r="465" spans="9:10" ht="13.2">
      <c r="I465" s="464"/>
      <c r="J465" s="395"/>
    </row>
    <row r="466" spans="9:10" ht="13.2">
      <c r="I466" s="464"/>
      <c r="J466" s="395"/>
    </row>
    <row r="467" spans="9:10" ht="13.2">
      <c r="I467" s="464"/>
      <c r="J467" s="395"/>
    </row>
    <row r="468" spans="9:10" ht="13.2">
      <c r="I468" s="464"/>
      <c r="J468" s="395"/>
    </row>
    <row r="469" spans="9:10" ht="13.2">
      <c r="I469" s="464"/>
      <c r="J469" s="395"/>
    </row>
    <row r="470" spans="9:10" ht="13.2">
      <c r="I470" s="464"/>
      <c r="J470" s="395"/>
    </row>
    <row r="471" spans="9:10" ht="13.2">
      <c r="I471" s="464"/>
      <c r="J471" s="395"/>
    </row>
    <row r="472" spans="9:10" ht="13.2">
      <c r="I472" s="464"/>
      <c r="J472" s="395"/>
    </row>
    <row r="473" spans="9:10" ht="13.2">
      <c r="I473" s="464"/>
      <c r="J473" s="395"/>
    </row>
    <row r="474" spans="9:10" ht="13.2">
      <c r="I474" s="464"/>
      <c r="J474" s="395"/>
    </row>
    <row r="475" spans="9:10" ht="13.2">
      <c r="I475" s="464"/>
      <c r="J475" s="395"/>
    </row>
    <row r="476" spans="9:10" ht="13.2">
      <c r="I476" s="464"/>
      <c r="J476" s="395"/>
    </row>
    <row r="477" spans="9:10" ht="13.2">
      <c r="I477" s="464"/>
      <c r="J477" s="395"/>
    </row>
    <row r="478" spans="9:10" ht="13.2">
      <c r="I478" s="464"/>
      <c r="J478" s="395"/>
    </row>
    <row r="479" spans="9:10" ht="13.2">
      <c r="I479" s="464"/>
      <c r="J479" s="395"/>
    </row>
    <row r="480" spans="9:10" ht="13.2">
      <c r="I480" s="464"/>
      <c r="J480" s="395"/>
    </row>
    <row r="481" spans="9:10" ht="13.2">
      <c r="I481" s="464"/>
      <c r="J481" s="395"/>
    </row>
    <row r="482" spans="9:10" ht="13.2">
      <c r="I482" s="464"/>
      <c r="J482" s="395"/>
    </row>
    <row r="483" spans="9:10" ht="13.2">
      <c r="I483" s="464"/>
      <c r="J483" s="395"/>
    </row>
    <row r="484" spans="9:10" ht="13.2">
      <c r="I484" s="464"/>
      <c r="J484" s="395"/>
    </row>
    <row r="485" spans="9:10" ht="13.2">
      <c r="I485" s="464"/>
      <c r="J485" s="395"/>
    </row>
    <row r="486" spans="9:10" ht="13.2">
      <c r="I486" s="464"/>
      <c r="J486" s="395"/>
    </row>
    <row r="487" spans="9:10" ht="13.2">
      <c r="I487" s="464"/>
      <c r="J487" s="395"/>
    </row>
    <row r="488" spans="9:10" ht="13.2">
      <c r="I488" s="464"/>
      <c r="J488" s="395"/>
    </row>
    <row r="489" spans="9:10" ht="13.2">
      <c r="I489" s="464"/>
      <c r="J489" s="395"/>
    </row>
    <row r="490" spans="9:10" ht="13.2">
      <c r="I490" s="464"/>
      <c r="J490" s="395"/>
    </row>
    <row r="491" spans="9:10" ht="13.2">
      <c r="I491" s="464"/>
      <c r="J491" s="395"/>
    </row>
    <row r="492" spans="9:10" ht="13.2">
      <c r="I492" s="464"/>
      <c r="J492" s="395"/>
    </row>
    <row r="493" spans="9:10" ht="13.2">
      <c r="I493" s="464"/>
      <c r="J493" s="395"/>
    </row>
    <row r="494" spans="9:10" ht="13.2">
      <c r="I494" s="464"/>
      <c r="J494" s="395"/>
    </row>
    <row r="495" spans="9:10" ht="13.2">
      <c r="I495" s="464"/>
      <c r="J495" s="395"/>
    </row>
    <row r="496" spans="9:10" ht="13.2">
      <c r="I496" s="464"/>
      <c r="J496" s="395"/>
    </row>
    <row r="497" spans="9:10" ht="13.2">
      <c r="I497" s="464"/>
      <c r="J497" s="395"/>
    </row>
    <row r="498" spans="9:10" ht="13.2">
      <c r="I498" s="464"/>
      <c r="J498" s="395"/>
    </row>
    <row r="499" spans="9:10" ht="13.2">
      <c r="I499" s="464"/>
      <c r="J499" s="395"/>
    </row>
    <row r="500" spans="9:10" ht="13.2">
      <c r="I500" s="464"/>
      <c r="J500" s="395"/>
    </row>
    <row r="501" spans="9:10" ht="13.2">
      <c r="I501" s="464"/>
      <c r="J501" s="395"/>
    </row>
    <row r="502" spans="9:10" ht="13.2">
      <c r="I502" s="464"/>
      <c r="J502" s="395"/>
    </row>
    <row r="503" spans="9:10" ht="13.2">
      <c r="I503" s="464"/>
      <c r="J503" s="395"/>
    </row>
    <row r="504" spans="9:10" ht="13.2">
      <c r="I504" s="464"/>
      <c r="J504" s="395"/>
    </row>
    <row r="505" spans="9:10" ht="13.2">
      <c r="I505" s="464"/>
      <c r="J505" s="395"/>
    </row>
    <row r="506" spans="9:10" ht="13.2">
      <c r="I506" s="464"/>
      <c r="J506" s="395"/>
    </row>
    <row r="507" spans="9:10" ht="13.2">
      <c r="I507" s="464"/>
      <c r="J507" s="395"/>
    </row>
    <row r="508" spans="9:10" ht="13.2">
      <c r="I508" s="464"/>
      <c r="J508" s="395"/>
    </row>
    <row r="509" spans="9:10" ht="13.2">
      <c r="I509" s="464"/>
      <c r="J509" s="395"/>
    </row>
    <row r="510" spans="9:10" ht="13.2">
      <c r="I510" s="464"/>
      <c r="J510" s="395"/>
    </row>
    <row r="511" spans="9:10" ht="13.2">
      <c r="I511" s="464"/>
      <c r="J511" s="395"/>
    </row>
    <row r="512" spans="9:10" ht="13.2">
      <c r="I512" s="464"/>
      <c r="J512" s="395"/>
    </row>
    <row r="513" spans="9:10" ht="13.2">
      <c r="I513" s="464"/>
      <c r="J513" s="395"/>
    </row>
    <row r="514" spans="9:10" ht="13.2">
      <c r="I514" s="464"/>
      <c r="J514" s="395"/>
    </row>
    <row r="515" spans="9:10" ht="13.2">
      <c r="I515" s="464"/>
      <c r="J515" s="395"/>
    </row>
    <row r="516" spans="9:10" ht="13.2">
      <c r="I516" s="464"/>
      <c r="J516" s="395"/>
    </row>
    <row r="517" spans="9:10" ht="13.2">
      <c r="I517" s="464"/>
      <c r="J517" s="395"/>
    </row>
    <row r="518" spans="9:10" ht="13.2">
      <c r="I518" s="464"/>
      <c r="J518" s="395"/>
    </row>
    <row r="519" spans="9:10" ht="13.2">
      <c r="I519" s="464"/>
      <c r="J519" s="395"/>
    </row>
    <row r="520" spans="9:10" ht="13.2">
      <c r="I520" s="464"/>
      <c r="J520" s="395"/>
    </row>
    <row r="521" spans="9:10" ht="13.2">
      <c r="I521" s="464"/>
      <c r="J521" s="395"/>
    </row>
    <row r="522" spans="9:10" ht="13.2">
      <c r="I522" s="464"/>
      <c r="J522" s="395"/>
    </row>
    <row r="523" spans="9:10" ht="13.2">
      <c r="I523" s="464"/>
      <c r="J523" s="395"/>
    </row>
    <row r="524" spans="9:10" ht="13.2">
      <c r="I524" s="464"/>
      <c r="J524" s="395"/>
    </row>
    <row r="525" spans="9:10" ht="13.2">
      <c r="I525" s="464"/>
      <c r="J525" s="395"/>
    </row>
    <row r="526" spans="9:10" ht="13.2">
      <c r="I526" s="464"/>
      <c r="J526" s="395"/>
    </row>
    <row r="527" spans="9:10" ht="13.2">
      <c r="I527" s="464"/>
      <c r="J527" s="395"/>
    </row>
    <row r="528" spans="9:10" ht="13.2">
      <c r="I528" s="464"/>
      <c r="J528" s="395"/>
    </row>
    <row r="529" spans="9:10" ht="13.2">
      <c r="I529" s="464"/>
      <c r="J529" s="395"/>
    </row>
    <row r="530" spans="9:10" ht="13.2">
      <c r="I530" s="464"/>
      <c r="J530" s="395"/>
    </row>
    <row r="531" spans="9:10" ht="13.2">
      <c r="I531" s="464"/>
      <c r="J531" s="395"/>
    </row>
    <row r="532" spans="9:10" ht="13.2">
      <c r="I532" s="464"/>
      <c r="J532" s="395"/>
    </row>
    <row r="533" spans="9:10" ht="13.2">
      <c r="I533" s="464"/>
      <c r="J533" s="395"/>
    </row>
    <row r="534" spans="9:10" ht="13.2">
      <c r="I534" s="464"/>
      <c r="J534" s="395"/>
    </row>
    <row r="535" spans="9:10" ht="13.2">
      <c r="I535" s="464"/>
      <c r="J535" s="395"/>
    </row>
    <row r="536" spans="9:10" ht="13.2">
      <c r="I536" s="464"/>
      <c r="J536" s="395"/>
    </row>
    <row r="537" spans="9:10" ht="13.2">
      <c r="I537" s="464"/>
      <c r="J537" s="395"/>
    </row>
    <row r="538" spans="9:10" ht="13.2">
      <c r="I538" s="464"/>
      <c r="J538" s="395"/>
    </row>
    <row r="539" spans="9:10" ht="13.2">
      <c r="I539" s="464"/>
      <c r="J539" s="395"/>
    </row>
    <row r="540" spans="9:10" ht="13.2">
      <c r="I540" s="464"/>
      <c r="J540" s="395"/>
    </row>
    <row r="541" spans="9:10" ht="13.2">
      <c r="I541" s="464"/>
      <c r="J541" s="395"/>
    </row>
    <row r="542" spans="9:10" ht="13.2">
      <c r="I542" s="464"/>
      <c r="J542" s="395"/>
    </row>
    <row r="543" spans="9:10" ht="13.2">
      <c r="I543" s="464"/>
      <c r="J543" s="395"/>
    </row>
    <row r="544" spans="9:10" ht="13.2">
      <c r="I544" s="464"/>
      <c r="J544" s="395"/>
    </row>
    <row r="545" spans="9:10" ht="13.2">
      <c r="I545" s="464"/>
      <c r="J545" s="395"/>
    </row>
    <row r="546" spans="9:10" ht="13.2">
      <c r="I546" s="464"/>
      <c r="J546" s="395"/>
    </row>
    <row r="547" spans="9:10" ht="13.2">
      <c r="I547" s="464"/>
      <c r="J547" s="395"/>
    </row>
    <row r="548" spans="9:10" ht="13.2">
      <c r="I548" s="464"/>
      <c r="J548" s="395"/>
    </row>
    <row r="549" spans="9:10" ht="13.2">
      <c r="I549" s="464"/>
      <c r="J549" s="395"/>
    </row>
    <row r="550" spans="9:10" ht="13.2">
      <c r="I550" s="464"/>
      <c r="J550" s="395"/>
    </row>
    <row r="551" spans="9:10" ht="13.2">
      <c r="I551" s="464"/>
      <c r="J551" s="395"/>
    </row>
    <row r="552" spans="9:10" ht="13.2">
      <c r="I552" s="464"/>
      <c r="J552" s="395"/>
    </row>
    <row r="553" spans="9:10" ht="13.2">
      <c r="I553" s="464"/>
      <c r="J553" s="395"/>
    </row>
    <row r="554" spans="9:10" ht="13.2">
      <c r="I554" s="464"/>
      <c r="J554" s="395"/>
    </row>
    <row r="555" spans="9:10" ht="13.2">
      <c r="I555" s="464"/>
      <c r="J555" s="395"/>
    </row>
    <row r="556" spans="9:10" ht="13.2">
      <c r="I556" s="464"/>
      <c r="J556" s="395"/>
    </row>
    <row r="557" spans="9:10" ht="13.2">
      <c r="I557" s="464"/>
      <c r="J557" s="395"/>
    </row>
    <row r="558" spans="9:10" ht="13.2">
      <c r="I558" s="464"/>
      <c r="J558" s="395"/>
    </row>
    <row r="559" spans="9:10" ht="13.2">
      <c r="I559" s="464"/>
      <c r="J559" s="395"/>
    </row>
    <row r="560" spans="9:10" ht="13.2">
      <c r="I560" s="464"/>
      <c r="J560" s="395"/>
    </row>
    <row r="561" spans="9:10" ht="13.2">
      <c r="I561" s="464"/>
      <c r="J561" s="395"/>
    </row>
    <row r="562" spans="9:10" ht="13.2">
      <c r="I562" s="464"/>
      <c r="J562" s="395"/>
    </row>
    <row r="563" spans="9:10" ht="13.2">
      <c r="I563" s="464"/>
      <c r="J563" s="395"/>
    </row>
    <row r="564" spans="9:10" ht="13.2">
      <c r="I564" s="464"/>
      <c r="J564" s="395"/>
    </row>
    <row r="565" spans="9:10" ht="13.2">
      <c r="I565" s="464"/>
      <c r="J565" s="395"/>
    </row>
    <row r="566" spans="9:10" ht="13.2">
      <c r="I566" s="464"/>
      <c r="J566" s="395"/>
    </row>
    <row r="567" spans="9:10" ht="13.2">
      <c r="I567" s="464"/>
      <c r="J567" s="395"/>
    </row>
    <row r="568" spans="9:10" ht="13.2">
      <c r="I568" s="464"/>
      <c r="J568" s="395"/>
    </row>
    <row r="569" spans="9:10" ht="13.2">
      <c r="I569" s="464"/>
      <c r="J569" s="395"/>
    </row>
    <row r="570" spans="9:10" ht="13.2">
      <c r="I570" s="464"/>
      <c r="J570" s="395"/>
    </row>
    <row r="571" spans="9:10" ht="13.2">
      <c r="I571" s="464"/>
      <c r="J571" s="395"/>
    </row>
    <row r="572" spans="9:10" ht="13.2">
      <c r="I572" s="464"/>
      <c r="J572" s="395"/>
    </row>
    <row r="573" spans="9:10" ht="13.2">
      <c r="I573" s="464"/>
      <c r="J573" s="395"/>
    </row>
    <row r="574" spans="9:10" ht="13.2">
      <c r="I574" s="464"/>
      <c r="J574" s="395"/>
    </row>
    <row r="575" spans="9:10" ht="13.2">
      <c r="I575" s="464"/>
      <c r="J575" s="395"/>
    </row>
    <row r="576" spans="9:10" ht="13.2">
      <c r="I576" s="464"/>
      <c r="J576" s="395"/>
    </row>
    <row r="577" spans="9:10" ht="13.2">
      <c r="I577" s="464"/>
      <c r="J577" s="395"/>
    </row>
    <row r="578" spans="9:10" ht="13.2">
      <c r="I578" s="464"/>
      <c r="J578" s="395"/>
    </row>
    <row r="579" spans="9:10" ht="13.2">
      <c r="I579" s="464"/>
      <c r="J579" s="395"/>
    </row>
    <row r="580" spans="9:10" ht="13.2">
      <c r="I580" s="464"/>
      <c r="J580" s="395"/>
    </row>
    <row r="581" spans="9:10" ht="13.2">
      <c r="I581" s="464"/>
      <c r="J581" s="395"/>
    </row>
    <row r="582" spans="9:10" ht="13.2">
      <c r="I582" s="464"/>
      <c r="J582" s="395"/>
    </row>
    <row r="583" spans="9:10" ht="13.2">
      <c r="I583" s="464"/>
      <c r="J583" s="395"/>
    </row>
    <row r="584" spans="9:10" ht="13.2">
      <c r="I584" s="464"/>
      <c r="J584" s="395"/>
    </row>
    <row r="585" spans="9:10" ht="13.2">
      <c r="I585" s="464"/>
      <c r="J585" s="395"/>
    </row>
    <row r="586" spans="9:10" ht="13.2">
      <c r="I586" s="464"/>
      <c r="J586" s="395"/>
    </row>
    <row r="587" spans="9:10" ht="13.2">
      <c r="I587" s="464"/>
      <c r="J587" s="395"/>
    </row>
    <row r="588" spans="9:10" ht="13.2">
      <c r="I588" s="464"/>
      <c r="J588" s="395"/>
    </row>
    <row r="589" spans="9:10" ht="13.2">
      <c r="I589" s="464"/>
      <c r="J589" s="395"/>
    </row>
    <row r="590" spans="9:10" ht="13.2">
      <c r="I590" s="464"/>
      <c r="J590" s="395"/>
    </row>
    <row r="591" spans="9:10" ht="13.2">
      <c r="I591" s="464"/>
      <c r="J591" s="395"/>
    </row>
    <row r="592" spans="9:10" ht="13.2">
      <c r="I592" s="464"/>
      <c r="J592" s="395"/>
    </row>
    <row r="593" spans="9:10" ht="13.2">
      <c r="I593" s="464"/>
      <c r="J593" s="395"/>
    </row>
    <row r="594" spans="9:10" ht="13.2">
      <c r="I594" s="464"/>
      <c r="J594" s="395"/>
    </row>
    <row r="595" spans="9:10" ht="13.2">
      <c r="I595" s="464"/>
      <c r="J595" s="395"/>
    </row>
    <row r="596" spans="9:10" ht="13.2">
      <c r="I596" s="464"/>
      <c r="J596" s="395"/>
    </row>
    <row r="597" spans="9:10" ht="13.2">
      <c r="I597" s="464"/>
      <c r="J597" s="395"/>
    </row>
    <row r="598" spans="9:10" ht="13.2">
      <c r="I598" s="464"/>
      <c r="J598" s="395"/>
    </row>
    <row r="599" spans="9:10" ht="13.2">
      <c r="I599" s="464"/>
      <c r="J599" s="395"/>
    </row>
    <row r="600" spans="9:10" ht="13.2">
      <c r="I600" s="464"/>
      <c r="J600" s="395"/>
    </row>
    <row r="601" spans="9:10" ht="13.2">
      <c r="I601" s="464"/>
      <c r="J601" s="395"/>
    </row>
    <row r="602" spans="9:10" ht="13.2">
      <c r="I602" s="464"/>
      <c r="J602" s="395"/>
    </row>
    <row r="603" spans="9:10" ht="13.2">
      <c r="I603" s="464"/>
      <c r="J603" s="395"/>
    </row>
    <row r="604" spans="9:10" ht="13.2">
      <c r="I604" s="464"/>
      <c r="J604" s="395"/>
    </row>
    <row r="605" spans="9:10" ht="13.2">
      <c r="I605" s="464"/>
      <c r="J605" s="395"/>
    </row>
    <row r="606" spans="9:10" ht="13.2">
      <c r="I606" s="464"/>
      <c r="J606" s="395"/>
    </row>
    <row r="607" spans="9:10" ht="13.2">
      <c r="I607" s="464"/>
      <c r="J607" s="395"/>
    </row>
    <row r="608" spans="9:10" ht="13.2">
      <c r="I608" s="464"/>
      <c r="J608" s="395"/>
    </row>
    <row r="609" spans="9:10" ht="13.2">
      <c r="I609" s="464"/>
      <c r="J609" s="395"/>
    </row>
    <row r="610" spans="9:10" ht="13.2">
      <c r="I610" s="464"/>
      <c r="J610" s="395"/>
    </row>
    <row r="611" spans="9:10" ht="13.2">
      <c r="I611" s="464"/>
      <c r="J611" s="395"/>
    </row>
    <row r="612" spans="9:10" ht="13.2">
      <c r="I612" s="464"/>
      <c r="J612" s="395"/>
    </row>
    <row r="613" spans="9:10" ht="13.2">
      <c r="I613" s="464"/>
      <c r="J613" s="395"/>
    </row>
    <row r="614" spans="9:10" ht="13.2">
      <c r="I614" s="464"/>
      <c r="J614" s="395"/>
    </row>
    <row r="615" spans="9:10" ht="13.2">
      <c r="I615" s="464"/>
      <c r="J615" s="395"/>
    </row>
    <row r="616" spans="9:10" ht="13.2">
      <c r="I616" s="464"/>
      <c r="J616" s="395"/>
    </row>
    <row r="617" spans="9:10" ht="13.2">
      <c r="I617" s="464"/>
      <c r="J617" s="395"/>
    </row>
    <row r="618" spans="9:10" ht="13.2">
      <c r="I618" s="464"/>
      <c r="J618" s="395"/>
    </row>
    <row r="619" spans="9:10" ht="13.2">
      <c r="I619" s="464"/>
      <c r="J619" s="395"/>
    </row>
    <row r="620" spans="9:10" ht="13.2">
      <c r="I620" s="464"/>
      <c r="J620" s="395"/>
    </row>
    <row r="621" spans="9:10" ht="13.2">
      <c r="I621" s="464"/>
      <c r="J621" s="395"/>
    </row>
    <row r="622" spans="9:10" ht="13.2">
      <c r="I622" s="464"/>
      <c r="J622" s="395"/>
    </row>
    <row r="623" spans="9:10" ht="13.2">
      <c r="I623" s="464"/>
      <c r="J623" s="395"/>
    </row>
    <row r="624" spans="9:10" ht="13.2">
      <c r="I624" s="464"/>
      <c r="J624" s="395"/>
    </row>
    <row r="625" spans="9:10" ht="13.2">
      <c r="I625" s="464"/>
      <c r="J625" s="395"/>
    </row>
    <row r="626" spans="9:10" ht="13.2">
      <c r="I626" s="464"/>
      <c r="J626" s="395"/>
    </row>
    <row r="627" spans="9:10" ht="13.2">
      <c r="I627" s="464"/>
      <c r="J627" s="395"/>
    </row>
    <row r="628" spans="9:10" ht="13.2">
      <c r="I628" s="464"/>
      <c r="J628" s="395"/>
    </row>
    <row r="629" spans="9:10" ht="13.2">
      <c r="I629" s="464"/>
      <c r="J629" s="395"/>
    </row>
    <row r="630" spans="9:10" ht="13.2">
      <c r="I630" s="464"/>
      <c r="J630" s="395"/>
    </row>
    <row r="631" spans="9:10" ht="13.2">
      <c r="I631" s="464"/>
      <c r="J631" s="395"/>
    </row>
    <row r="632" spans="9:10" ht="13.2">
      <c r="I632" s="464"/>
      <c r="J632" s="395"/>
    </row>
    <row r="633" spans="9:10" ht="13.2">
      <c r="I633" s="464"/>
      <c r="J633" s="395"/>
    </row>
    <row r="634" spans="9:10" ht="13.2">
      <c r="I634" s="464"/>
      <c r="J634" s="395"/>
    </row>
    <row r="635" spans="9:10" ht="13.2">
      <c r="I635" s="464"/>
      <c r="J635" s="395"/>
    </row>
    <row r="636" spans="9:10" ht="13.2">
      <c r="I636" s="464"/>
      <c r="J636" s="395"/>
    </row>
    <row r="637" spans="9:10" ht="13.2">
      <c r="I637" s="464"/>
      <c r="J637" s="395"/>
    </row>
    <row r="638" spans="9:10" ht="13.2">
      <c r="I638" s="464"/>
      <c r="J638" s="395"/>
    </row>
    <row r="639" spans="9:10" ht="13.2">
      <c r="I639" s="464"/>
      <c r="J639" s="395"/>
    </row>
    <row r="640" spans="9:10" ht="13.2">
      <c r="I640" s="464"/>
      <c r="J640" s="395"/>
    </row>
    <row r="641" spans="9:10" ht="13.2">
      <c r="I641" s="464"/>
      <c r="J641" s="395"/>
    </row>
    <row r="642" spans="9:10" ht="13.2">
      <c r="I642" s="464"/>
      <c r="J642" s="395"/>
    </row>
    <row r="643" spans="9:10" ht="13.2">
      <c r="I643" s="464"/>
      <c r="J643" s="395"/>
    </row>
    <row r="644" spans="9:10" ht="13.2">
      <c r="I644" s="464"/>
      <c r="J644" s="395"/>
    </row>
    <row r="645" spans="9:10" ht="13.2">
      <c r="I645" s="464"/>
      <c r="J645" s="395"/>
    </row>
    <row r="646" spans="9:10" ht="13.2">
      <c r="I646" s="464"/>
      <c r="J646" s="395"/>
    </row>
    <row r="647" spans="9:10" ht="13.2">
      <c r="I647" s="464"/>
      <c r="J647" s="395"/>
    </row>
    <row r="648" spans="9:10" ht="13.2">
      <c r="I648" s="464"/>
      <c r="J648" s="395"/>
    </row>
    <row r="649" spans="9:10" ht="13.2">
      <c r="I649" s="464"/>
      <c r="J649" s="395"/>
    </row>
    <row r="650" spans="9:10" ht="13.2">
      <c r="I650" s="464"/>
      <c r="J650" s="395"/>
    </row>
    <row r="651" spans="9:10" ht="13.2">
      <c r="I651" s="464"/>
      <c r="J651" s="395"/>
    </row>
    <row r="652" spans="9:10" ht="13.2">
      <c r="I652" s="464"/>
      <c r="J652" s="395"/>
    </row>
    <row r="653" spans="9:10" ht="13.2">
      <c r="I653" s="464"/>
      <c r="J653" s="395"/>
    </row>
    <row r="654" spans="9:10" ht="13.2">
      <c r="I654" s="464"/>
      <c r="J654" s="395"/>
    </row>
    <row r="655" spans="9:10" ht="13.2">
      <c r="I655" s="464"/>
      <c r="J655" s="395"/>
    </row>
    <row r="656" spans="9:10" ht="13.2">
      <c r="I656" s="464"/>
      <c r="J656" s="395"/>
    </row>
    <row r="657" spans="9:10" ht="13.2">
      <c r="I657" s="464"/>
      <c r="J657" s="395"/>
    </row>
    <row r="658" spans="9:10" ht="13.2">
      <c r="I658" s="464"/>
      <c r="J658" s="395"/>
    </row>
    <row r="659" spans="9:10" ht="13.2">
      <c r="I659" s="464"/>
      <c r="J659" s="395"/>
    </row>
    <row r="660" spans="9:10" ht="13.2">
      <c r="I660" s="464"/>
      <c r="J660" s="395"/>
    </row>
    <row r="661" spans="9:10" ht="13.2">
      <c r="I661" s="464"/>
      <c r="J661" s="395"/>
    </row>
    <row r="662" spans="9:10" ht="13.2">
      <c r="I662" s="464"/>
      <c r="J662" s="395"/>
    </row>
    <row r="663" spans="9:10" ht="13.2">
      <c r="I663" s="464"/>
      <c r="J663" s="395"/>
    </row>
    <row r="664" spans="9:10" ht="13.2">
      <c r="I664" s="464"/>
      <c r="J664" s="395"/>
    </row>
    <row r="665" spans="9:10" ht="13.2">
      <c r="I665" s="464"/>
      <c r="J665" s="395"/>
    </row>
    <row r="666" spans="9:10" ht="13.2">
      <c r="I666" s="464"/>
      <c r="J666" s="395"/>
    </row>
    <row r="667" spans="9:10" ht="13.2">
      <c r="I667" s="464"/>
      <c r="J667" s="395"/>
    </row>
    <row r="668" spans="9:10" ht="13.2">
      <c r="I668" s="464"/>
      <c r="J668" s="395"/>
    </row>
    <row r="669" spans="9:10" ht="13.2">
      <c r="I669" s="464"/>
      <c r="J669" s="395"/>
    </row>
    <row r="670" spans="9:10" ht="13.2">
      <c r="I670" s="464"/>
      <c r="J670" s="395"/>
    </row>
    <row r="671" spans="9:10" ht="13.2">
      <c r="I671" s="464"/>
      <c r="J671" s="395"/>
    </row>
    <row r="672" spans="9:10" ht="13.2">
      <c r="I672" s="464"/>
      <c r="J672" s="395"/>
    </row>
    <row r="673" spans="9:10" ht="13.2">
      <c r="I673" s="464"/>
      <c r="J673" s="395"/>
    </row>
    <row r="674" spans="9:10" ht="13.2">
      <c r="I674" s="464"/>
      <c r="J674" s="395"/>
    </row>
    <row r="675" spans="9:10" ht="13.2">
      <c r="I675" s="464"/>
      <c r="J675" s="395"/>
    </row>
    <row r="676" spans="9:10" ht="13.2">
      <c r="I676" s="464"/>
      <c r="J676" s="395"/>
    </row>
    <row r="677" spans="9:10" ht="13.2">
      <c r="I677" s="464"/>
      <c r="J677" s="395"/>
    </row>
    <row r="678" spans="9:10" ht="13.2">
      <c r="I678" s="464"/>
      <c r="J678" s="395"/>
    </row>
    <row r="679" spans="9:10" ht="13.2">
      <c r="I679" s="464"/>
      <c r="J679" s="395"/>
    </row>
    <row r="680" spans="9:10" ht="13.2">
      <c r="I680" s="464"/>
      <c r="J680" s="395"/>
    </row>
    <row r="681" spans="9:10" ht="13.2">
      <c r="I681" s="464"/>
      <c r="J681" s="395"/>
    </row>
    <row r="682" spans="9:10" ht="13.2">
      <c r="I682" s="464"/>
      <c r="J682" s="395"/>
    </row>
    <row r="683" spans="9:10" ht="13.2">
      <c r="I683" s="464"/>
      <c r="J683" s="395"/>
    </row>
    <row r="684" spans="9:10" ht="13.2">
      <c r="I684" s="464"/>
      <c r="J684" s="395"/>
    </row>
    <row r="685" spans="9:10" ht="13.2">
      <c r="I685" s="464"/>
      <c r="J685" s="395"/>
    </row>
    <row r="686" spans="9:10" ht="13.2">
      <c r="I686" s="464"/>
      <c r="J686" s="395"/>
    </row>
    <row r="687" spans="9:10" ht="13.2">
      <c r="I687" s="464"/>
      <c r="J687" s="395"/>
    </row>
    <row r="688" spans="9:10" ht="13.2">
      <c r="I688" s="464"/>
      <c r="J688" s="395"/>
    </row>
    <row r="689" spans="9:10" ht="13.2">
      <c r="I689" s="464"/>
      <c r="J689" s="395"/>
    </row>
    <row r="690" spans="9:10" ht="13.2">
      <c r="I690" s="464"/>
      <c r="J690" s="395"/>
    </row>
    <row r="691" spans="9:10" ht="13.2">
      <c r="I691" s="464"/>
      <c r="J691" s="395"/>
    </row>
    <row r="692" spans="9:10" ht="13.2">
      <c r="I692" s="464"/>
      <c r="J692" s="395"/>
    </row>
    <row r="693" spans="9:10" ht="13.2">
      <c r="I693" s="464"/>
      <c r="J693" s="395"/>
    </row>
    <row r="694" spans="9:10" ht="13.2">
      <c r="I694" s="464"/>
      <c r="J694" s="395"/>
    </row>
    <row r="695" spans="9:10" ht="13.2">
      <c r="I695" s="464"/>
      <c r="J695" s="395"/>
    </row>
    <row r="696" spans="9:10" ht="13.2">
      <c r="I696" s="464"/>
      <c r="J696" s="395"/>
    </row>
    <row r="697" spans="9:10" ht="13.2">
      <c r="I697" s="464"/>
      <c r="J697" s="395"/>
    </row>
    <row r="698" spans="9:10" ht="13.2">
      <c r="I698" s="464"/>
      <c r="J698" s="395"/>
    </row>
    <row r="699" spans="9:10" ht="13.2">
      <c r="I699" s="464"/>
      <c r="J699" s="395"/>
    </row>
    <row r="700" spans="9:10" ht="13.2">
      <c r="I700" s="464"/>
      <c r="J700" s="395"/>
    </row>
    <row r="701" spans="9:10" ht="13.2">
      <c r="I701" s="464"/>
      <c r="J701" s="395"/>
    </row>
    <row r="702" spans="9:10" ht="13.2">
      <c r="I702" s="464"/>
      <c r="J702" s="395"/>
    </row>
    <row r="703" spans="9:10" ht="13.2">
      <c r="I703" s="464"/>
      <c r="J703" s="395"/>
    </row>
    <row r="704" spans="9:10" ht="13.2">
      <c r="I704" s="464"/>
      <c r="J704" s="395"/>
    </row>
    <row r="705" spans="9:10" ht="13.2">
      <c r="I705" s="464"/>
      <c r="J705" s="395"/>
    </row>
    <row r="706" spans="9:10" ht="13.2">
      <c r="I706" s="464"/>
      <c r="J706" s="395"/>
    </row>
    <row r="707" spans="9:10" ht="13.2">
      <c r="I707" s="464"/>
      <c r="J707" s="395"/>
    </row>
    <row r="708" spans="9:10" ht="13.2">
      <c r="I708" s="464"/>
      <c r="J708" s="395"/>
    </row>
    <row r="709" spans="9:10" ht="13.2">
      <c r="I709" s="464"/>
      <c r="J709" s="395"/>
    </row>
    <row r="710" spans="9:10" ht="13.2">
      <c r="I710" s="464"/>
      <c r="J710" s="395"/>
    </row>
    <row r="711" spans="9:10" ht="13.2">
      <c r="I711" s="464"/>
      <c r="J711" s="395"/>
    </row>
    <row r="712" spans="9:10" ht="13.2">
      <c r="I712" s="464"/>
      <c r="J712" s="395"/>
    </row>
    <row r="713" spans="9:10" ht="13.2">
      <c r="I713" s="464"/>
      <c r="J713" s="395"/>
    </row>
    <row r="714" spans="9:10" ht="13.2">
      <c r="I714" s="464"/>
      <c r="J714" s="395"/>
    </row>
    <row r="715" spans="9:10" ht="13.2">
      <c r="I715" s="464"/>
      <c r="J715" s="395"/>
    </row>
    <row r="716" spans="9:10" ht="13.2">
      <c r="I716" s="464"/>
      <c r="J716" s="395"/>
    </row>
    <row r="717" spans="9:10" ht="13.2">
      <c r="I717" s="464"/>
      <c r="J717" s="395"/>
    </row>
    <row r="718" spans="9:10" ht="13.2">
      <c r="I718" s="464"/>
      <c r="J718" s="395"/>
    </row>
    <row r="719" spans="9:10" ht="13.2">
      <c r="I719" s="464"/>
      <c r="J719" s="395"/>
    </row>
    <row r="720" spans="9:10" ht="13.2">
      <c r="I720" s="464"/>
      <c r="J720" s="395"/>
    </row>
    <row r="721" spans="9:10" ht="13.2">
      <c r="I721" s="464"/>
      <c r="J721" s="395"/>
    </row>
    <row r="722" spans="9:10" ht="13.2">
      <c r="I722" s="464"/>
      <c r="J722" s="395"/>
    </row>
    <row r="723" spans="9:10" ht="13.2">
      <c r="I723" s="464"/>
      <c r="J723" s="395"/>
    </row>
    <row r="724" spans="9:10" ht="13.2">
      <c r="I724" s="464"/>
      <c r="J724" s="395"/>
    </row>
    <row r="725" spans="9:10" ht="13.2">
      <c r="I725" s="464"/>
      <c r="J725" s="395"/>
    </row>
    <row r="726" spans="9:10" ht="13.2">
      <c r="I726" s="464"/>
      <c r="J726" s="395"/>
    </row>
    <row r="727" spans="9:10" ht="13.2">
      <c r="I727" s="464"/>
      <c r="J727" s="395"/>
    </row>
    <row r="728" spans="9:10" ht="13.2">
      <c r="I728" s="464"/>
      <c r="J728" s="395"/>
    </row>
    <row r="729" spans="9:10" ht="13.2">
      <c r="I729" s="464"/>
      <c r="J729" s="395"/>
    </row>
    <row r="730" spans="9:10" ht="13.2">
      <c r="I730" s="464"/>
      <c r="J730" s="395"/>
    </row>
    <row r="731" spans="9:10" ht="13.2">
      <c r="I731" s="464"/>
      <c r="J731" s="395"/>
    </row>
    <row r="732" spans="9:10" ht="13.2">
      <c r="I732" s="464"/>
      <c r="J732" s="395"/>
    </row>
    <row r="733" spans="9:10" ht="13.2">
      <c r="I733" s="464"/>
      <c r="J733" s="395"/>
    </row>
    <row r="734" spans="9:10" ht="13.2">
      <c r="I734" s="464"/>
      <c r="J734" s="395"/>
    </row>
    <row r="735" spans="9:10" ht="13.2">
      <c r="I735" s="464"/>
      <c r="J735" s="395"/>
    </row>
    <row r="736" spans="9:10" ht="13.2">
      <c r="I736" s="464"/>
      <c r="J736" s="395"/>
    </row>
    <row r="737" spans="9:10" ht="13.2">
      <c r="I737" s="464"/>
      <c r="J737" s="395"/>
    </row>
    <row r="738" spans="9:10" ht="13.2">
      <c r="I738" s="464"/>
      <c r="J738" s="395"/>
    </row>
    <row r="739" spans="9:10" ht="13.2">
      <c r="I739" s="464"/>
      <c r="J739" s="395"/>
    </row>
    <row r="740" spans="9:10" ht="13.2">
      <c r="I740" s="464"/>
      <c r="J740" s="395"/>
    </row>
    <row r="741" spans="9:10" ht="13.2">
      <c r="I741" s="464"/>
      <c r="J741" s="395"/>
    </row>
    <row r="742" spans="9:10" ht="13.2">
      <c r="I742" s="464"/>
      <c r="J742" s="395"/>
    </row>
    <row r="743" spans="9:10" ht="13.2">
      <c r="I743" s="464"/>
      <c r="J743" s="395"/>
    </row>
    <row r="744" spans="9:10" ht="13.2">
      <c r="I744" s="464"/>
      <c r="J744" s="395"/>
    </row>
    <row r="745" spans="9:10" ht="13.2">
      <c r="I745" s="464"/>
      <c r="J745" s="395"/>
    </row>
    <row r="746" spans="9:10" ht="13.2">
      <c r="I746" s="464"/>
      <c r="J746" s="395"/>
    </row>
    <row r="747" spans="9:10" ht="13.2">
      <c r="I747" s="464"/>
      <c r="J747" s="395"/>
    </row>
    <row r="748" spans="9:10" ht="13.2">
      <c r="I748" s="464"/>
      <c r="J748" s="395"/>
    </row>
    <row r="749" spans="9:10" ht="13.2">
      <c r="I749" s="464"/>
      <c r="J749" s="395"/>
    </row>
    <row r="750" spans="9:10" ht="13.2">
      <c r="I750" s="464"/>
      <c r="J750" s="395"/>
    </row>
    <row r="751" spans="9:10" ht="13.2">
      <c r="I751" s="464"/>
      <c r="J751" s="395"/>
    </row>
    <row r="752" spans="9:10" ht="13.2">
      <c r="I752" s="464"/>
      <c r="J752" s="395"/>
    </row>
    <row r="753" spans="9:10" ht="13.2">
      <c r="I753" s="464"/>
      <c r="J753" s="395"/>
    </row>
    <row r="754" spans="9:10" ht="13.2">
      <c r="I754" s="464"/>
      <c r="J754" s="395"/>
    </row>
    <row r="755" spans="9:10" ht="13.2">
      <c r="I755" s="464"/>
      <c r="J755" s="395"/>
    </row>
    <row r="756" spans="9:10" ht="13.2">
      <c r="I756" s="464"/>
      <c r="J756" s="395"/>
    </row>
    <row r="757" spans="9:10" ht="13.2">
      <c r="I757" s="464"/>
      <c r="J757" s="395"/>
    </row>
    <row r="758" spans="9:10" ht="13.2">
      <c r="I758" s="464"/>
      <c r="J758" s="395"/>
    </row>
    <row r="759" spans="9:10" ht="13.2">
      <c r="I759" s="464"/>
      <c r="J759" s="395"/>
    </row>
    <row r="760" spans="9:10" ht="13.2">
      <c r="I760" s="464"/>
      <c r="J760" s="395"/>
    </row>
    <row r="761" spans="9:10" ht="13.2">
      <c r="I761" s="464"/>
      <c r="J761" s="395"/>
    </row>
    <row r="762" spans="9:10" ht="13.2">
      <c r="I762" s="464"/>
      <c r="J762" s="395"/>
    </row>
    <row r="763" spans="9:10" ht="13.2">
      <c r="I763" s="464"/>
      <c r="J763" s="395"/>
    </row>
    <row r="764" spans="9:10" ht="13.2">
      <c r="I764" s="464"/>
      <c r="J764" s="395"/>
    </row>
    <row r="765" spans="9:10" ht="13.2">
      <c r="I765" s="464"/>
      <c r="J765" s="395"/>
    </row>
    <row r="766" spans="9:10" ht="13.2">
      <c r="I766" s="464"/>
      <c r="J766" s="395"/>
    </row>
    <row r="767" spans="9:10" ht="13.2">
      <c r="I767" s="464"/>
      <c r="J767" s="395"/>
    </row>
    <row r="768" spans="9:10" ht="13.2">
      <c r="I768" s="464"/>
      <c r="J768" s="395"/>
    </row>
    <row r="769" spans="9:10" ht="13.2">
      <c r="I769" s="464"/>
      <c r="J769" s="395"/>
    </row>
    <row r="770" spans="9:10" ht="13.2">
      <c r="I770" s="464"/>
      <c r="J770" s="395"/>
    </row>
    <row r="771" spans="9:10" ht="13.2">
      <c r="I771" s="464"/>
      <c r="J771" s="395"/>
    </row>
    <row r="772" spans="9:10" ht="13.2">
      <c r="I772" s="464"/>
      <c r="J772" s="395"/>
    </row>
    <row r="773" spans="9:10" ht="13.2">
      <c r="I773" s="464"/>
      <c r="J773" s="395"/>
    </row>
    <row r="774" spans="9:10" ht="13.2">
      <c r="I774" s="464"/>
      <c r="J774" s="395"/>
    </row>
    <row r="775" spans="9:10" ht="13.2">
      <c r="I775" s="464"/>
      <c r="J775" s="395"/>
    </row>
    <row r="776" spans="9:10" ht="13.2">
      <c r="I776" s="464"/>
      <c r="J776" s="395"/>
    </row>
    <row r="777" spans="9:10" ht="13.2">
      <c r="I777" s="464"/>
      <c r="J777" s="395"/>
    </row>
    <row r="778" spans="9:10" ht="13.2">
      <c r="I778" s="464"/>
      <c r="J778" s="395"/>
    </row>
    <row r="779" spans="9:10" ht="13.2">
      <c r="I779" s="464"/>
      <c r="J779" s="395"/>
    </row>
    <row r="780" spans="9:10" ht="13.2">
      <c r="I780" s="464"/>
      <c r="J780" s="395"/>
    </row>
    <row r="781" spans="9:10" ht="13.2">
      <c r="I781" s="464"/>
      <c r="J781" s="395"/>
    </row>
    <row r="782" spans="9:10" ht="13.2">
      <c r="I782" s="464"/>
      <c r="J782" s="395"/>
    </row>
    <row r="783" spans="9:10" ht="13.2">
      <c r="I783" s="464"/>
      <c r="J783" s="395"/>
    </row>
    <row r="784" spans="9:10" ht="13.2">
      <c r="I784" s="464"/>
      <c r="J784" s="395"/>
    </row>
    <row r="785" spans="9:10" ht="13.2">
      <c r="I785" s="464"/>
      <c r="J785" s="395"/>
    </row>
    <row r="786" spans="9:10" ht="13.2">
      <c r="I786" s="464"/>
      <c r="J786" s="395"/>
    </row>
    <row r="787" spans="9:10" ht="13.2">
      <c r="I787" s="464"/>
      <c r="J787" s="395"/>
    </row>
    <row r="788" spans="9:10" ht="13.2">
      <c r="I788" s="464"/>
      <c r="J788" s="395"/>
    </row>
    <row r="789" spans="9:10" ht="13.2">
      <c r="I789" s="464"/>
      <c r="J789" s="395"/>
    </row>
    <row r="790" spans="9:10" ht="13.2">
      <c r="I790" s="464"/>
      <c r="J790" s="395"/>
    </row>
    <row r="791" spans="9:10" ht="13.2">
      <c r="I791" s="464"/>
      <c r="J791" s="395"/>
    </row>
    <row r="792" spans="9:10" ht="13.2">
      <c r="I792" s="464"/>
      <c r="J792" s="395"/>
    </row>
    <row r="793" spans="9:10" ht="13.2">
      <c r="I793" s="464"/>
      <c r="J793" s="395"/>
    </row>
    <row r="794" spans="9:10" ht="13.2">
      <c r="I794" s="464"/>
      <c r="J794" s="395"/>
    </row>
    <row r="795" spans="9:10" ht="13.2">
      <c r="I795" s="464"/>
      <c r="J795" s="395"/>
    </row>
    <row r="796" spans="9:10" ht="13.2">
      <c r="I796" s="464"/>
      <c r="J796" s="395"/>
    </row>
    <row r="797" spans="9:10" ht="13.2">
      <c r="I797" s="464"/>
      <c r="J797" s="395"/>
    </row>
    <row r="798" spans="9:10" ht="13.2">
      <c r="I798" s="464"/>
      <c r="J798" s="395"/>
    </row>
    <row r="799" spans="9:10" ht="13.2">
      <c r="I799" s="464"/>
      <c r="J799" s="395"/>
    </row>
    <row r="800" spans="9:10" ht="13.2">
      <c r="I800" s="464"/>
      <c r="J800" s="395"/>
    </row>
    <row r="801" spans="9:10" ht="13.2">
      <c r="I801" s="464"/>
      <c r="J801" s="395"/>
    </row>
    <row r="802" spans="9:10" ht="13.2">
      <c r="I802" s="464"/>
      <c r="J802" s="395"/>
    </row>
    <row r="803" spans="9:10" ht="13.2">
      <c r="I803" s="464"/>
      <c r="J803" s="395"/>
    </row>
    <row r="804" spans="9:10" ht="13.2">
      <c r="I804" s="464"/>
      <c r="J804" s="395"/>
    </row>
    <row r="805" spans="9:10" ht="13.2">
      <c r="I805" s="464"/>
      <c r="J805" s="395"/>
    </row>
    <row r="806" spans="9:10" ht="13.2">
      <c r="I806" s="464"/>
      <c r="J806" s="395"/>
    </row>
    <row r="807" spans="9:10" ht="13.2">
      <c r="I807" s="464"/>
      <c r="J807" s="395"/>
    </row>
    <row r="808" spans="9:10" ht="13.2">
      <c r="I808" s="464"/>
      <c r="J808" s="395"/>
    </row>
    <row r="809" spans="9:10" ht="13.2">
      <c r="I809" s="464"/>
      <c r="J809" s="395"/>
    </row>
    <row r="810" spans="9:10" ht="13.2">
      <c r="I810" s="464"/>
      <c r="J810" s="395"/>
    </row>
    <row r="811" spans="9:10" ht="13.2">
      <c r="I811" s="464"/>
      <c r="J811" s="395"/>
    </row>
    <row r="812" spans="9:10" ht="13.2">
      <c r="I812" s="464"/>
      <c r="J812" s="395"/>
    </row>
    <row r="813" spans="9:10" ht="13.2">
      <c r="I813" s="464"/>
      <c r="J813" s="395"/>
    </row>
    <row r="814" spans="9:10" ht="13.2">
      <c r="I814" s="464"/>
      <c r="J814" s="395"/>
    </row>
    <row r="815" spans="9:10" ht="13.2">
      <c r="I815" s="464"/>
      <c r="J815" s="395"/>
    </row>
    <row r="816" spans="9:10" ht="13.2">
      <c r="I816" s="464"/>
      <c r="J816" s="395"/>
    </row>
    <row r="817" spans="9:10" ht="13.2">
      <c r="I817" s="464"/>
      <c r="J817" s="395"/>
    </row>
    <row r="818" spans="9:10" ht="13.2">
      <c r="I818" s="464"/>
      <c r="J818" s="395"/>
    </row>
    <row r="819" spans="9:10" ht="13.2">
      <c r="I819" s="464"/>
      <c r="J819" s="395"/>
    </row>
    <row r="820" spans="9:10" ht="13.2">
      <c r="I820" s="464"/>
      <c r="J820" s="395"/>
    </row>
    <row r="821" spans="9:10" ht="13.2">
      <c r="I821" s="464"/>
      <c r="J821" s="395"/>
    </row>
    <row r="822" spans="9:10" ht="13.2">
      <c r="I822" s="464"/>
      <c r="J822" s="395"/>
    </row>
    <row r="823" spans="9:10" ht="13.2">
      <c r="I823" s="464"/>
      <c r="J823" s="395"/>
    </row>
    <row r="824" spans="9:10" ht="13.2">
      <c r="I824" s="464"/>
      <c r="J824" s="395"/>
    </row>
    <row r="825" spans="9:10" ht="13.2">
      <c r="I825" s="464"/>
      <c r="J825" s="395"/>
    </row>
    <row r="826" spans="9:10" ht="13.2">
      <c r="I826" s="464"/>
      <c r="J826" s="395"/>
    </row>
    <row r="827" spans="9:10" ht="13.2">
      <c r="I827" s="464"/>
      <c r="J827" s="395"/>
    </row>
    <row r="828" spans="9:10" ht="13.2">
      <c r="I828" s="464"/>
      <c r="J828" s="395"/>
    </row>
    <row r="829" spans="9:10" ht="13.2">
      <c r="I829" s="464"/>
      <c r="J829" s="395"/>
    </row>
    <row r="830" spans="9:10" ht="13.2">
      <c r="I830" s="464"/>
      <c r="J830" s="395"/>
    </row>
    <row r="831" spans="9:10" ht="13.2">
      <c r="I831" s="464"/>
      <c r="J831" s="395"/>
    </row>
    <row r="832" spans="9:10" ht="13.2">
      <c r="I832" s="464"/>
      <c r="J832" s="395"/>
    </row>
    <row r="833" spans="9:10" ht="13.2">
      <c r="I833" s="464"/>
      <c r="J833" s="395"/>
    </row>
    <row r="834" spans="9:10" ht="13.2">
      <c r="I834" s="464"/>
      <c r="J834" s="395"/>
    </row>
    <row r="835" spans="9:10" ht="13.2">
      <c r="I835" s="464"/>
      <c r="J835" s="395"/>
    </row>
    <row r="836" spans="9:10" ht="13.2">
      <c r="I836" s="464"/>
      <c r="J836" s="395"/>
    </row>
    <row r="837" spans="9:10" ht="13.2">
      <c r="I837" s="464"/>
      <c r="J837" s="395"/>
    </row>
    <row r="838" spans="9:10" ht="13.2">
      <c r="I838" s="464"/>
      <c r="J838" s="395"/>
    </row>
    <row r="839" spans="9:10" ht="13.2">
      <c r="I839" s="464"/>
      <c r="J839" s="395"/>
    </row>
    <row r="840" spans="9:10" ht="13.2">
      <c r="I840" s="464"/>
      <c r="J840" s="395"/>
    </row>
    <row r="841" spans="9:10" ht="13.2">
      <c r="I841" s="464"/>
      <c r="J841" s="395"/>
    </row>
    <row r="842" spans="9:10" ht="13.2">
      <c r="I842" s="464"/>
      <c r="J842" s="395"/>
    </row>
    <row r="843" spans="9:10" ht="13.2">
      <c r="I843" s="464"/>
      <c r="J843" s="395"/>
    </row>
    <row r="844" spans="9:10" ht="13.2">
      <c r="I844" s="464"/>
      <c r="J844" s="395"/>
    </row>
    <row r="845" spans="9:10" ht="13.2">
      <c r="I845" s="464"/>
      <c r="J845" s="395"/>
    </row>
    <row r="846" spans="9:10" ht="13.2">
      <c r="I846" s="464"/>
      <c r="J846" s="395"/>
    </row>
    <row r="847" spans="9:10" ht="13.2">
      <c r="I847" s="464"/>
      <c r="J847" s="395"/>
    </row>
    <row r="848" spans="9:10" ht="13.2">
      <c r="I848" s="464"/>
      <c r="J848" s="395"/>
    </row>
    <row r="849" spans="9:10" ht="13.2">
      <c r="I849" s="464"/>
      <c r="J849" s="395"/>
    </row>
    <row r="850" spans="9:10" ht="13.2">
      <c r="I850" s="464"/>
      <c r="J850" s="395"/>
    </row>
    <row r="851" spans="9:10" ht="13.2">
      <c r="I851" s="464"/>
      <c r="J851" s="395"/>
    </row>
    <row r="852" spans="9:10" ht="13.2">
      <c r="I852" s="464"/>
      <c r="J852" s="395"/>
    </row>
    <row r="853" spans="9:10" ht="13.2">
      <c r="I853" s="464"/>
      <c r="J853" s="395"/>
    </row>
    <row r="854" spans="9:10" ht="13.2">
      <c r="I854" s="464"/>
      <c r="J854" s="395"/>
    </row>
    <row r="855" spans="9:10" ht="13.2">
      <c r="I855" s="464"/>
      <c r="J855" s="395"/>
    </row>
    <row r="856" spans="9:10" ht="13.2">
      <c r="I856" s="464"/>
      <c r="J856" s="395"/>
    </row>
    <row r="857" spans="9:10" ht="13.2">
      <c r="I857" s="464"/>
      <c r="J857" s="395"/>
    </row>
    <row r="858" spans="9:10" ht="13.2">
      <c r="I858" s="464"/>
      <c r="J858" s="395"/>
    </row>
    <row r="859" spans="9:10" ht="13.2">
      <c r="I859" s="464"/>
      <c r="J859" s="395"/>
    </row>
    <row r="860" spans="9:10" ht="13.2">
      <c r="I860" s="464"/>
      <c r="J860" s="395"/>
    </row>
    <row r="861" spans="9:10" ht="13.2">
      <c r="I861" s="464"/>
      <c r="J861" s="395"/>
    </row>
    <row r="862" spans="9:10" ht="13.2">
      <c r="I862" s="464"/>
      <c r="J862" s="395"/>
    </row>
    <row r="863" spans="9:10" ht="13.2">
      <c r="I863" s="464"/>
      <c r="J863" s="395"/>
    </row>
    <row r="864" spans="9:10" ht="13.2">
      <c r="I864" s="464"/>
      <c r="J864" s="395"/>
    </row>
    <row r="865" spans="9:10" ht="13.2">
      <c r="I865" s="464"/>
      <c r="J865" s="395"/>
    </row>
    <row r="866" spans="9:10" ht="13.2">
      <c r="I866" s="464"/>
      <c r="J866" s="395"/>
    </row>
    <row r="867" spans="9:10" ht="13.2">
      <c r="I867" s="464"/>
      <c r="J867" s="395"/>
    </row>
    <row r="868" spans="9:10" ht="13.2">
      <c r="I868" s="464"/>
      <c r="J868" s="395"/>
    </row>
    <row r="869" spans="9:10" ht="13.2">
      <c r="I869" s="464"/>
      <c r="J869" s="395"/>
    </row>
    <row r="870" spans="9:10" ht="13.2">
      <c r="I870" s="464"/>
      <c r="J870" s="395"/>
    </row>
    <row r="871" spans="9:10" ht="13.2">
      <c r="I871" s="464"/>
      <c r="J871" s="395"/>
    </row>
    <row r="872" spans="9:10" ht="13.2">
      <c r="I872" s="464"/>
      <c r="J872" s="395"/>
    </row>
    <row r="873" spans="9:10" ht="13.2">
      <c r="I873" s="464"/>
      <c r="J873" s="395"/>
    </row>
    <row r="874" spans="9:10" ht="13.2">
      <c r="I874" s="464"/>
      <c r="J874" s="395"/>
    </row>
    <row r="875" spans="9:10" ht="13.2">
      <c r="I875" s="464"/>
      <c r="J875" s="395"/>
    </row>
    <row r="876" spans="9:10" ht="13.2">
      <c r="I876" s="464"/>
      <c r="J876" s="395"/>
    </row>
    <row r="877" spans="9:10" ht="13.2">
      <c r="I877" s="464"/>
      <c r="J877" s="395"/>
    </row>
    <row r="878" spans="9:10" ht="13.2">
      <c r="I878" s="464"/>
      <c r="J878" s="395"/>
    </row>
    <row r="879" spans="9:10" ht="13.2">
      <c r="I879" s="464"/>
      <c r="J879" s="395"/>
    </row>
    <row r="880" spans="9:10" ht="13.2">
      <c r="I880" s="464"/>
      <c r="J880" s="395"/>
    </row>
    <row r="881" spans="9:10" ht="13.2">
      <c r="I881" s="464"/>
      <c r="J881" s="395"/>
    </row>
    <row r="882" spans="9:10" ht="13.2">
      <c r="I882" s="464"/>
      <c r="J882" s="395"/>
    </row>
    <row r="883" spans="9:10" ht="13.2">
      <c r="I883" s="464"/>
      <c r="J883" s="395"/>
    </row>
    <row r="884" spans="9:10" ht="13.2">
      <c r="I884" s="464"/>
      <c r="J884" s="395"/>
    </row>
    <row r="885" spans="9:10" ht="13.2">
      <c r="I885" s="464"/>
      <c r="J885" s="395"/>
    </row>
    <row r="886" spans="9:10" ht="13.2">
      <c r="I886" s="464"/>
      <c r="J886" s="395"/>
    </row>
    <row r="887" spans="9:10" ht="13.2">
      <c r="I887" s="464"/>
      <c r="J887" s="395"/>
    </row>
    <row r="888" spans="9:10" ht="13.2">
      <c r="I888" s="464"/>
      <c r="J888" s="395"/>
    </row>
    <row r="889" spans="9:10" ht="13.2">
      <c r="I889" s="464"/>
      <c r="J889" s="395"/>
    </row>
    <row r="890" spans="9:10" ht="13.2">
      <c r="I890" s="464"/>
      <c r="J890" s="395"/>
    </row>
    <row r="891" spans="9:10" ht="13.2">
      <c r="I891" s="464"/>
      <c r="J891" s="395"/>
    </row>
    <row r="892" spans="9:10" ht="13.2">
      <c r="I892" s="464"/>
      <c r="J892" s="395"/>
    </row>
    <row r="893" spans="9:10" ht="13.2">
      <c r="I893" s="464"/>
      <c r="J893" s="395"/>
    </row>
    <row r="894" spans="9:10" ht="13.2">
      <c r="I894" s="464"/>
      <c r="J894" s="395"/>
    </row>
    <row r="895" spans="9:10" ht="13.2">
      <c r="I895" s="464"/>
      <c r="J895" s="395"/>
    </row>
    <row r="896" spans="9:10" ht="13.2">
      <c r="I896" s="464"/>
      <c r="J896" s="395"/>
    </row>
    <row r="897" spans="9:10" ht="13.2">
      <c r="I897" s="464"/>
      <c r="J897" s="395"/>
    </row>
    <row r="898" spans="9:10" ht="13.2">
      <c r="I898" s="464"/>
      <c r="J898" s="395"/>
    </row>
    <row r="899" spans="9:10" ht="13.2">
      <c r="I899" s="464"/>
      <c r="J899" s="395"/>
    </row>
    <row r="900" spans="9:10" ht="13.2">
      <c r="I900" s="464"/>
      <c r="J900" s="395"/>
    </row>
    <row r="901" spans="9:10" ht="13.2">
      <c r="I901" s="464"/>
      <c r="J901" s="395"/>
    </row>
    <row r="902" spans="9:10" ht="13.2">
      <c r="I902" s="464"/>
      <c r="J902" s="395"/>
    </row>
    <row r="903" spans="9:10" ht="13.2">
      <c r="I903" s="464"/>
      <c r="J903" s="395"/>
    </row>
    <row r="904" spans="9:10" ht="13.2">
      <c r="I904" s="464"/>
      <c r="J904" s="395"/>
    </row>
    <row r="905" spans="9:10" ht="13.2">
      <c r="I905" s="464"/>
      <c r="J905" s="395"/>
    </row>
    <row r="906" spans="9:10" ht="13.2">
      <c r="I906" s="464"/>
      <c r="J906" s="395"/>
    </row>
    <row r="907" spans="9:10" ht="13.2">
      <c r="I907" s="464"/>
      <c r="J907" s="395"/>
    </row>
    <row r="908" spans="9:10" ht="13.2">
      <c r="I908" s="464"/>
      <c r="J908" s="395"/>
    </row>
    <row r="909" spans="9:10" ht="13.2">
      <c r="I909" s="464"/>
      <c r="J909" s="395"/>
    </row>
    <row r="910" spans="9:10" ht="13.2">
      <c r="I910" s="464"/>
      <c r="J910" s="395"/>
    </row>
    <row r="911" spans="9:10" ht="13.2">
      <c r="I911" s="464"/>
      <c r="J911" s="395"/>
    </row>
    <row r="912" spans="9:10" ht="13.2">
      <c r="I912" s="464"/>
      <c r="J912" s="395"/>
    </row>
    <row r="913" spans="9:10" ht="13.2">
      <c r="I913" s="464"/>
      <c r="J913" s="395"/>
    </row>
    <row r="914" spans="9:10" ht="13.2">
      <c r="I914" s="464"/>
      <c r="J914" s="395"/>
    </row>
    <row r="915" spans="9:10" ht="13.2">
      <c r="I915" s="464"/>
      <c r="J915" s="395"/>
    </row>
    <row r="916" spans="9:10" ht="13.2">
      <c r="I916" s="464"/>
      <c r="J916" s="395"/>
    </row>
    <row r="917" spans="9:10" ht="13.2">
      <c r="I917" s="464"/>
      <c r="J917" s="395"/>
    </row>
    <row r="918" spans="9:10" ht="13.2">
      <c r="I918" s="464"/>
      <c r="J918" s="395"/>
    </row>
    <row r="919" spans="9:10" ht="13.2">
      <c r="I919" s="464"/>
      <c r="J919" s="395"/>
    </row>
    <row r="920" spans="9:10" ht="13.2">
      <c r="I920" s="464"/>
      <c r="J920" s="395"/>
    </row>
    <row r="921" spans="9:10" ht="13.2">
      <c r="I921" s="464"/>
      <c r="J921" s="395"/>
    </row>
    <row r="922" spans="9:10" ht="13.2">
      <c r="I922" s="464"/>
      <c r="J922" s="395"/>
    </row>
    <row r="923" spans="9:10" ht="13.2">
      <c r="I923" s="464"/>
      <c r="J923" s="395"/>
    </row>
    <row r="924" spans="9:10" ht="13.2">
      <c r="I924" s="464"/>
      <c r="J924" s="395"/>
    </row>
    <row r="925" spans="9:10" ht="13.2">
      <c r="I925" s="464"/>
      <c r="J925" s="395"/>
    </row>
    <row r="926" spans="9:10" ht="13.2">
      <c r="I926" s="464"/>
      <c r="J926" s="395"/>
    </row>
    <row r="927" spans="9:10" ht="13.2">
      <c r="I927" s="464"/>
      <c r="J927" s="395"/>
    </row>
    <row r="928" spans="9:10" ht="13.2">
      <c r="I928" s="464"/>
      <c r="J928" s="395"/>
    </row>
    <row r="929" spans="9:10" ht="13.2">
      <c r="I929" s="464"/>
      <c r="J929" s="395"/>
    </row>
    <row r="930" spans="9:10" ht="13.2">
      <c r="I930" s="464"/>
      <c r="J930" s="395"/>
    </row>
    <row r="931" spans="9:10" ht="13.2">
      <c r="I931" s="464"/>
      <c r="J931" s="395"/>
    </row>
    <row r="932" spans="9:10" ht="13.2">
      <c r="I932" s="464"/>
      <c r="J932" s="395"/>
    </row>
    <row r="933" spans="9:10" ht="13.2">
      <c r="I933" s="464"/>
      <c r="J933" s="395"/>
    </row>
    <row r="934" spans="9:10" ht="13.2">
      <c r="I934" s="464"/>
      <c r="J934" s="395"/>
    </row>
    <row r="935" spans="9:10" ht="13.2">
      <c r="I935" s="464"/>
      <c r="J935" s="395"/>
    </row>
    <row r="936" spans="9:10" ht="13.2">
      <c r="I936" s="464"/>
      <c r="J936" s="395"/>
    </row>
    <row r="937" spans="9:10" ht="13.2">
      <c r="I937" s="464"/>
      <c r="J937" s="395"/>
    </row>
    <row r="938" spans="9:10" ht="13.2">
      <c r="I938" s="464"/>
      <c r="J938" s="395"/>
    </row>
    <row r="939" spans="9:10" ht="13.2">
      <c r="I939" s="464"/>
      <c r="J939" s="395"/>
    </row>
    <row r="940" spans="9:10" ht="13.2">
      <c r="I940" s="464"/>
      <c r="J940" s="395"/>
    </row>
    <row r="941" spans="9:10" ht="13.2">
      <c r="I941" s="464"/>
      <c r="J941" s="395"/>
    </row>
    <row r="942" spans="9:10" ht="13.2">
      <c r="I942" s="464"/>
      <c r="J942" s="395"/>
    </row>
    <row r="943" spans="9:10" ht="13.2">
      <c r="I943" s="464"/>
      <c r="J943" s="395"/>
    </row>
    <row r="944" spans="9:10" ht="13.2">
      <c r="I944" s="464"/>
      <c r="J944" s="395"/>
    </row>
    <row r="945" spans="9:10" ht="13.2">
      <c r="I945" s="464"/>
      <c r="J945" s="395"/>
    </row>
    <row r="946" spans="9:10" ht="13.2">
      <c r="I946" s="464"/>
      <c r="J946" s="395"/>
    </row>
    <row r="947" spans="9:10" ht="13.2">
      <c r="I947" s="464"/>
      <c r="J947" s="395"/>
    </row>
    <row r="948" spans="9:10" ht="13.2">
      <c r="I948" s="464"/>
      <c r="J948" s="395"/>
    </row>
    <row r="949" spans="9:10" ht="13.2">
      <c r="I949" s="464"/>
      <c r="J949" s="395"/>
    </row>
    <row r="950" spans="9:10" ht="13.2">
      <c r="I950" s="464"/>
      <c r="J950" s="395"/>
    </row>
    <row r="951" spans="9:10" ht="13.2">
      <c r="I951" s="464"/>
      <c r="J951" s="395"/>
    </row>
    <row r="952" spans="9:10" ht="13.2">
      <c r="I952" s="464"/>
      <c r="J952" s="395"/>
    </row>
    <row r="953" spans="9:10" ht="13.2">
      <c r="I953" s="464"/>
      <c r="J953" s="395"/>
    </row>
    <row r="954" spans="9:10" ht="13.2">
      <c r="I954" s="464"/>
      <c r="J954" s="395"/>
    </row>
    <row r="955" spans="9:10" ht="13.2">
      <c r="I955" s="464"/>
      <c r="J955" s="395"/>
    </row>
    <row r="956" spans="9:10" ht="13.2">
      <c r="I956" s="464"/>
      <c r="J956" s="395"/>
    </row>
    <row r="957" spans="9:10" ht="13.2">
      <c r="I957" s="464"/>
      <c r="J957" s="395"/>
    </row>
    <row r="958" spans="9:10" ht="13.2">
      <c r="I958" s="464"/>
      <c r="J958" s="395"/>
    </row>
    <row r="959" spans="9:10" ht="13.2">
      <c r="I959" s="464"/>
      <c r="J959" s="395"/>
    </row>
    <row r="960" spans="9:10" ht="13.2">
      <c r="I960" s="464"/>
      <c r="J960" s="395"/>
    </row>
    <row r="961" spans="9:10" ht="13.2">
      <c r="I961" s="464"/>
      <c r="J961" s="395"/>
    </row>
    <row r="962" spans="9:10" ht="13.2">
      <c r="I962" s="464"/>
      <c r="J962" s="395"/>
    </row>
    <row r="963" spans="9:10" ht="13.2">
      <c r="I963" s="464"/>
      <c r="J963" s="395"/>
    </row>
    <row r="964" spans="9:10" ht="13.2">
      <c r="I964" s="464"/>
      <c r="J964" s="395"/>
    </row>
    <row r="965" spans="9:10" ht="13.2">
      <c r="I965" s="464"/>
      <c r="J965" s="395"/>
    </row>
    <row r="966" spans="9:10" ht="13.2">
      <c r="I966" s="464"/>
      <c r="J966" s="395"/>
    </row>
    <row r="967" spans="9:10" ht="13.2">
      <c r="I967" s="464"/>
      <c r="J967" s="395"/>
    </row>
    <row r="968" spans="9:10" ht="13.2">
      <c r="I968" s="464"/>
      <c r="J968" s="395"/>
    </row>
    <row r="969" spans="9:10" ht="13.2">
      <c r="I969" s="464"/>
      <c r="J969" s="395"/>
    </row>
    <row r="970" spans="9:10" ht="13.2">
      <c r="I970" s="464"/>
      <c r="J970" s="395"/>
    </row>
    <row r="971" spans="9:10" ht="13.2">
      <c r="I971" s="464"/>
      <c r="J971" s="395"/>
    </row>
    <row r="972" spans="9:10" ht="13.2">
      <c r="I972" s="464"/>
      <c r="J972" s="395"/>
    </row>
    <row r="973" spans="9:10" ht="13.2">
      <c r="I973" s="464"/>
      <c r="J973" s="395"/>
    </row>
    <row r="974" spans="9:10" ht="13.2">
      <c r="I974" s="464"/>
      <c r="J974" s="395"/>
    </row>
    <row r="975" spans="9:10" ht="13.2">
      <c r="I975" s="464"/>
      <c r="J975" s="395"/>
    </row>
    <row r="976" spans="9:10" ht="13.2">
      <c r="I976" s="464"/>
      <c r="J976" s="395"/>
    </row>
    <row r="977" spans="9:10" ht="13.2">
      <c r="I977" s="464"/>
      <c r="J977" s="395"/>
    </row>
    <row r="978" spans="9:10" ht="13.2">
      <c r="I978" s="464"/>
      <c r="J978" s="395"/>
    </row>
    <row r="979" spans="9:10" ht="13.2">
      <c r="I979" s="464"/>
      <c r="J979" s="395"/>
    </row>
    <row r="980" spans="9:10" ht="13.2">
      <c r="I980" s="464"/>
      <c r="J980" s="395"/>
    </row>
    <row r="981" spans="9:10" ht="13.2">
      <c r="I981" s="464"/>
      <c r="J981" s="395"/>
    </row>
    <row r="982" spans="9:10" ht="13.2">
      <c r="I982" s="464"/>
      <c r="J982" s="395"/>
    </row>
    <row r="983" spans="9:10" ht="13.2">
      <c r="I983" s="464"/>
      <c r="J983" s="395"/>
    </row>
    <row r="984" spans="9:10" ht="13.2">
      <c r="I984" s="464"/>
      <c r="J984" s="395"/>
    </row>
    <row r="985" spans="9:10" ht="13.2">
      <c r="I985" s="464"/>
      <c r="J985" s="395"/>
    </row>
    <row r="986" spans="9:10" ht="13.2">
      <c r="I986" s="464"/>
      <c r="J986" s="395"/>
    </row>
    <row r="987" spans="9:10" ht="13.2">
      <c r="I987" s="464"/>
      <c r="J987" s="395"/>
    </row>
    <row r="988" spans="9:10" ht="13.2">
      <c r="I988" s="464"/>
      <c r="J988" s="395"/>
    </row>
    <row r="989" spans="9:10" ht="13.2">
      <c r="I989" s="464"/>
      <c r="J989" s="395"/>
    </row>
    <row r="990" spans="9:10" ht="13.2">
      <c r="I990" s="464"/>
      <c r="J990" s="395"/>
    </row>
    <row r="991" spans="9:10" ht="13.2">
      <c r="I991" s="464"/>
      <c r="J991" s="395"/>
    </row>
    <row r="992" spans="9:10" ht="13.2">
      <c r="I992" s="464"/>
      <c r="J992" s="395"/>
    </row>
    <row r="993" spans="9:10" ht="13.2">
      <c r="I993" s="464"/>
      <c r="J993" s="395"/>
    </row>
    <row r="994" spans="9:10" ht="13.2">
      <c r="I994" s="464"/>
      <c r="J994" s="395"/>
    </row>
    <row r="995" spans="9:10" ht="13.2">
      <c r="I995" s="464"/>
      <c r="J995" s="395"/>
    </row>
    <row r="996" spans="9:10" ht="13.2">
      <c r="I996" s="464"/>
      <c r="J996" s="395"/>
    </row>
    <row r="997" spans="9:10" ht="13.2">
      <c r="I997" s="464"/>
      <c r="J997" s="395"/>
    </row>
    <row r="998" spans="9:10" ht="13.2">
      <c r="I998" s="464"/>
      <c r="J998" s="395"/>
    </row>
    <row r="999" spans="9:10" ht="13.2">
      <c r="I999" s="464"/>
      <c r="J999" s="395"/>
    </row>
    <row r="1000" spans="9:10" ht="13.2">
      <c r="I1000" s="464"/>
      <c r="J1000" s="395"/>
    </row>
    <row r="1001" spans="9:10" ht="13.2">
      <c r="I1001" s="464"/>
      <c r="J1001" s="395"/>
    </row>
    <row r="1002" spans="9:10" ht="13.2">
      <c r="I1002" s="464"/>
      <c r="J1002" s="395"/>
    </row>
    <row r="1003" spans="9:10" ht="13.2">
      <c r="I1003" s="464"/>
      <c r="J1003" s="395"/>
    </row>
    <row r="1004" spans="9:10" ht="13.2">
      <c r="I1004" s="464"/>
      <c r="J1004" s="395"/>
    </row>
    <row r="1005" spans="9:10" ht="13.2">
      <c r="I1005" s="464"/>
      <c r="J1005" s="395"/>
    </row>
    <row r="1006" spans="9:10" ht="13.2">
      <c r="I1006" s="464"/>
      <c r="J1006" s="395"/>
    </row>
    <row r="1007" spans="9:10" ht="13.2">
      <c r="I1007" s="464"/>
      <c r="J1007" s="395"/>
    </row>
    <row r="1008" spans="9:10" ht="13.2">
      <c r="I1008" s="464"/>
      <c r="J1008" s="395"/>
    </row>
    <row r="1009" spans="9:10" ht="13.2">
      <c r="I1009" s="464"/>
      <c r="J1009" s="395"/>
    </row>
    <row r="1010" spans="9:10" ht="13.2">
      <c r="I1010" s="464"/>
      <c r="J1010" s="395"/>
    </row>
    <row r="1011" spans="9:10" ht="13.2">
      <c r="I1011" s="464"/>
      <c r="J1011" s="395"/>
    </row>
    <row r="1012" spans="9:10" ht="13.2">
      <c r="I1012" s="464"/>
      <c r="J1012" s="395"/>
    </row>
    <row r="1013" spans="9:10" ht="13.2">
      <c r="I1013" s="464"/>
      <c r="J1013" s="395"/>
    </row>
    <row r="1014" spans="9:10" ht="13.2">
      <c r="I1014" s="464"/>
      <c r="J1014" s="395"/>
    </row>
    <row r="1015" spans="9:10" ht="13.2">
      <c r="I1015" s="464"/>
      <c r="J1015" s="395"/>
    </row>
    <row r="1016" spans="9:10" ht="13.2">
      <c r="I1016" s="464"/>
      <c r="J1016" s="395"/>
    </row>
    <row r="1017" spans="9:10" ht="13.2">
      <c r="I1017" s="464"/>
      <c r="J1017" s="395"/>
    </row>
    <row r="1018" spans="9:10" ht="13.2">
      <c r="I1018" s="464"/>
      <c r="J1018" s="395"/>
    </row>
    <row r="1019" spans="9:10" ht="13.2">
      <c r="I1019" s="464"/>
      <c r="J1019" s="395"/>
    </row>
    <row r="1020" spans="9:10" ht="13.2">
      <c r="I1020" s="464"/>
      <c r="J1020" s="395"/>
    </row>
    <row r="1021" spans="9:10" ht="13.2">
      <c r="I1021" s="464"/>
      <c r="J1021" s="395"/>
    </row>
    <row r="1022" spans="9:10" ht="13.2">
      <c r="I1022" s="464"/>
      <c r="J1022" s="395"/>
    </row>
    <row r="1023" spans="9:10" ht="13.2">
      <c r="I1023" s="464"/>
      <c r="J1023" s="395"/>
    </row>
    <row r="1024" spans="9:10" ht="13.2">
      <c r="I1024" s="464"/>
      <c r="J1024" s="395"/>
    </row>
    <row r="1025" spans="9:10" ht="13.2">
      <c r="I1025" s="464"/>
      <c r="J1025" s="395"/>
    </row>
    <row r="1026" spans="9:10" ht="13.2">
      <c r="I1026" s="464"/>
      <c r="J1026" s="395"/>
    </row>
    <row r="1027" spans="9:10" ht="13.2">
      <c r="I1027" s="464"/>
      <c r="J1027" s="395"/>
    </row>
    <row r="1028" spans="9:10" ht="13.2">
      <c r="I1028" s="464"/>
      <c r="J1028" s="395"/>
    </row>
    <row r="1029" spans="9:10" ht="13.2">
      <c r="I1029" s="464"/>
      <c r="J1029" s="395"/>
    </row>
    <row r="1030" spans="9:10" ht="13.2">
      <c r="I1030" s="464"/>
      <c r="J1030" s="395"/>
    </row>
    <row r="1031" spans="9:10" ht="13.2">
      <c r="I1031" s="464"/>
      <c r="J1031" s="395"/>
    </row>
    <row r="1032" spans="9:10" ht="13.2">
      <c r="I1032" s="464"/>
      <c r="J1032" s="395"/>
    </row>
    <row r="1033" spans="9:10" ht="13.2">
      <c r="I1033" s="464"/>
      <c r="J1033" s="395"/>
    </row>
    <row r="1034" spans="9:10" ht="13.2">
      <c r="I1034" s="464"/>
      <c r="J1034" s="395"/>
    </row>
    <row r="1035" spans="9:10" ht="13.2">
      <c r="I1035" s="464"/>
      <c r="J1035" s="395"/>
    </row>
    <row r="1036" spans="9:10" ht="13.2">
      <c r="I1036" s="464"/>
      <c r="J1036" s="395"/>
    </row>
    <row r="1037" spans="9:10" ht="13.2">
      <c r="I1037" s="464"/>
      <c r="J1037" s="395"/>
    </row>
    <row r="1038" spans="9:10" ht="13.2">
      <c r="I1038" s="464"/>
      <c r="J1038" s="395"/>
    </row>
    <row r="1039" spans="9:10" ht="13.2">
      <c r="I1039" s="464"/>
      <c r="J1039" s="395"/>
    </row>
    <row r="1040" spans="9:10" ht="13.2">
      <c r="I1040" s="464"/>
      <c r="J1040" s="395"/>
    </row>
    <row r="1041" spans="9:10" ht="13.2">
      <c r="I1041" s="464"/>
      <c r="J1041" s="395"/>
    </row>
    <row r="1042" spans="9:10" ht="13.2">
      <c r="I1042" s="464"/>
      <c r="J1042" s="395"/>
    </row>
    <row r="1043" spans="9:10" ht="13.2">
      <c r="I1043" s="464"/>
      <c r="J1043" s="395"/>
    </row>
    <row r="1044" spans="9:10" ht="13.2">
      <c r="I1044" s="464"/>
      <c r="J1044" s="395"/>
    </row>
    <row r="1045" spans="9:10" ht="13.2">
      <c r="I1045" s="464"/>
      <c r="J1045" s="395"/>
    </row>
    <row r="1046" spans="9:10" ht="13.2">
      <c r="I1046" s="464"/>
      <c r="J1046" s="395"/>
    </row>
    <row r="1047" spans="9:10" ht="13.2">
      <c r="I1047" s="464"/>
      <c r="J1047" s="395"/>
    </row>
    <row r="1048" spans="9:10" ht="13.2">
      <c r="I1048" s="464"/>
      <c r="J1048" s="395"/>
    </row>
    <row r="1049" spans="9:10" ht="13.2">
      <c r="I1049" s="464"/>
      <c r="J1049" s="395"/>
    </row>
    <row r="1050" spans="9:10" ht="13.2">
      <c r="I1050" s="464"/>
      <c r="J1050" s="395"/>
    </row>
    <row r="1051" spans="9:10" ht="13.2">
      <c r="I1051" s="464"/>
      <c r="J1051" s="395"/>
    </row>
    <row r="1052" spans="9:10" ht="13.2">
      <c r="I1052" s="464"/>
      <c r="J1052" s="395"/>
    </row>
    <row r="1053" spans="9:10" ht="13.2">
      <c r="I1053" s="464"/>
      <c r="J1053" s="395"/>
    </row>
    <row r="1054" spans="9:10" ht="13.2">
      <c r="I1054" s="464"/>
      <c r="J1054" s="395"/>
    </row>
    <row r="1055" spans="9:10" ht="13.2">
      <c r="I1055" s="464"/>
      <c r="J1055" s="395"/>
    </row>
    <row r="1056" spans="9:10" ht="13.2">
      <c r="I1056" s="464"/>
      <c r="J1056" s="395"/>
    </row>
    <row r="1057" spans="9:10" ht="13.2">
      <c r="I1057" s="464"/>
      <c r="J1057" s="395"/>
    </row>
    <row r="1058" spans="9:10" ht="13.2">
      <c r="I1058" s="464"/>
      <c r="J1058" s="395"/>
    </row>
    <row r="1059" spans="9:10" ht="13.2">
      <c r="I1059" s="464"/>
      <c r="J1059" s="395"/>
    </row>
    <row r="1060" spans="9:10" ht="13.2">
      <c r="I1060" s="464"/>
      <c r="J1060" s="395"/>
    </row>
    <row r="1061" spans="9:10" ht="13.2">
      <c r="I1061" s="464"/>
      <c r="J1061" s="395"/>
    </row>
    <row r="1062" spans="9:10" ht="13.2">
      <c r="I1062" s="464"/>
      <c r="J1062" s="395"/>
    </row>
    <row r="1063" spans="9:10" ht="13.2">
      <c r="I1063" s="464"/>
      <c r="J1063" s="395"/>
    </row>
  </sheetData>
  <mergeCells count="18">
    <mergeCell ref="H83:H84"/>
    <mergeCell ref="A83:A84"/>
    <mergeCell ref="H91:H92"/>
    <mergeCell ref="H99:H100"/>
    <mergeCell ref="A105:A106"/>
    <mergeCell ref="B105:B106"/>
    <mergeCell ref="C105:C106"/>
    <mergeCell ref="A91:A92"/>
    <mergeCell ref="B91:B92"/>
    <mergeCell ref="C91:C92"/>
    <mergeCell ref="A99:A100"/>
    <mergeCell ref="B99:B100"/>
    <mergeCell ref="C99:C100"/>
    <mergeCell ref="A12:A13"/>
    <mergeCell ref="B12:B13"/>
    <mergeCell ref="C12:C13"/>
    <mergeCell ref="B83:B84"/>
    <mergeCell ref="C83:C8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F5F6A-C556-492C-91B9-5ED3E60B33BB}">
  <sheetPr>
    <tabColor rgb="FFFFFF00"/>
  </sheetPr>
  <dimension ref="A1:V242"/>
  <sheetViews>
    <sheetView zoomScale="90" zoomScaleNormal="90" workbookViewId="0">
      <pane xSplit="4" ySplit="4" topLeftCell="E23" activePane="bottomRight" state="frozen"/>
      <selection pane="topRight" activeCell="P1" sqref="P1"/>
      <selection pane="bottomLeft" activeCell="A5" sqref="A5"/>
      <selection pane="bottomRight" activeCell="A29" sqref="A29:XFD33"/>
    </sheetView>
  </sheetViews>
  <sheetFormatPr defaultColWidth="9.109375" defaultRowHeight="21"/>
  <cols>
    <col min="1" max="1" width="5.109375" style="980" customWidth="1"/>
    <col min="2" max="2" width="30.6640625" style="803" customWidth="1"/>
    <col min="3" max="3" width="40.33203125" style="835" customWidth="1"/>
    <col min="4" max="4" width="10.33203125" style="956" customWidth="1"/>
    <col min="5" max="6" width="8.6640625" style="835" customWidth="1"/>
    <col min="7" max="17" width="6.77734375" style="835" customWidth="1"/>
    <col min="18" max="18" width="11" style="835" customWidth="1"/>
    <col min="19" max="19" width="8.6640625" style="858" customWidth="1"/>
    <col min="20" max="20" width="8.6640625" style="835" customWidth="1"/>
    <col min="21" max="21" width="14.77734375" style="857" customWidth="1"/>
    <col min="22" max="22" width="31.88671875" style="835" customWidth="1"/>
    <col min="23" max="257" width="9.109375" style="835"/>
    <col min="258" max="258" width="8.5546875" style="835" customWidth="1"/>
    <col min="259" max="259" width="45.21875" style="835" customWidth="1"/>
    <col min="260" max="260" width="61.6640625" style="835" customWidth="1"/>
    <col min="261" max="261" width="10.33203125" style="835" customWidth="1"/>
    <col min="262" max="273" width="8.6640625" style="835" customWidth="1"/>
    <col min="274" max="274" width="11" style="835" customWidth="1"/>
    <col min="275" max="276" width="8.6640625" style="835" customWidth="1"/>
    <col min="277" max="277" width="21" style="835" customWidth="1"/>
    <col min="278" max="278" width="31.88671875" style="835" customWidth="1"/>
    <col min="279" max="513" width="9.109375" style="835"/>
    <col min="514" max="514" width="8.5546875" style="835" customWidth="1"/>
    <col min="515" max="515" width="45.21875" style="835" customWidth="1"/>
    <col min="516" max="516" width="61.6640625" style="835" customWidth="1"/>
    <col min="517" max="517" width="10.33203125" style="835" customWidth="1"/>
    <col min="518" max="529" width="8.6640625" style="835" customWidth="1"/>
    <col min="530" max="530" width="11" style="835" customWidth="1"/>
    <col min="531" max="532" width="8.6640625" style="835" customWidth="1"/>
    <col min="533" max="533" width="21" style="835" customWidth="1"/>
    <col min="534" max="534" width="31.88671875" style="835" customWidth="1"/>
    <col min="535" max="769" width="9.109375" style="835"/>
    <col min="770" max="770" width="8.5546875" style="835" customWidth="1"/>
    <col min="771" max="771" width="45.21875" style="835" customWidth="1"/>
    <col min="772" max="772" width="61.6640625" style="835" customWidth="1"/>
    <col min="773" max="773" width="10.33203125" style="835" customWidth="1"/>
    <col min="774" max="785" width="8.6640625" style="835" customWidth="1"/>
    <col min="786" max="786" width="11" style="835" customWidth="1"/>
    <col min="787" max="788" width="8.6640625" style="835" customWidth="1"/>
    <col min="789" max="789" width="21" style="835" customWidth="1"/>
    <col min="790" max="790" width="31.88671875" style="835" customWidth="1"/>
    <col min="791" max="1025" width="9.109375" style="835"/>
    <col min="1026" max="1026" width="8.5546875" style="835" customWidth="1"/>
    <col min="1027" max="1027" width="45.21875" style="835" customWidth="1"/>
    <col min="1028" max="1028" width="61.6640625" style="835" customWidth="1"/>
    <col min="1029" max="1029" width="10.33203125" style="835" customWidth="1"/>
    <col min="1030" max="1041" width="8.6640625" style="835" customWidth="1"/>
    <col min="1042" max="1042" width="11" style="835" customWidth="1"/>
    <col min="1043" max="1044" width="8.6640625" style="835" customWidth="1"/>
    <col min="1045" max="1045" width="21" style="835" customWidth="1"/>
    <col min="1046" max="1046" width="31.88671875" style="835" customWidth="1"/>
    <col min="1047" max="1281" width="9.109375" style="835"/>
    <col min="1282" max="1282" width="8.5546875" style="835" customWidth="1"/>
    <col min="1283" max="1283" width="45.21875" style="835" customWidth="1"/>
    <col min="1284" max="1284" width="61.6640625" style="835" customWidth="1"/>
    <col min="1285" max="1285" width="10.33203125" style="835" customWidth="1"/>
    <col min="1286" max="1297" width="8.6640625" style="835" customWidth="1"/>
    <col min="1298" max="1298" width="11" style="835" customWidth="1"/>
    <col min="1299" max="1300" width="8.6640625" style="835" customWidth="1"/>
    <col min="1301" max="1301" width="21" style="835" customWidth="1"/>
    <col min="1302" max="1302" width="31.88671875" style="835" customWidth="1"/>
    <col min="1303" max="1537" width="9.109375" style="835"/>
    <col min="1538" max="1538" width="8.5546875" style="835" customWidth="1"/>
    <col min="1539" max="1539" width="45.21875" style="835" customWidth="1"/>
    <col min="1540" max="1540" width="61.6640625" style="835" customWidth="1"/>
    <col min="1541" max="1541" width="10.33203125" style="835" customWidth="1"/>
    <col min="1542" max="1553" width="8.6640625" style="835" customWidth="1"/>
    <col min="1554" max="1554" width="11" style="835" customWidth="1"/>
    <col min="1555" max="1556" width="8.6640625" style="835" customWidth="1"/>
    <col min="1557" max="1557" width="21" style="835" customWidth="1"/>
    <col min="1558" max="1558" width="31.88671875" style="835" customWidth="1"/>
    <col min="1559" max="1793" width="9.109375" style="835"/>
    <col min="1794" max="1794" width="8.5546875" style="835" customWidth="1"/>
    <col min="1795" max="1795" width="45.21875" style="835" customWidth="1"/>
    <col min="1796" max="1796" width="61.6640625" style="835" customWidth="1"/>
    <col min="1797" max="1797" width="10.33203125" style="835" customWidth="1"/>
    <col min="1798" max="1809" width="8.6640625" style="835" customWidth="1"/>
    <col min="1810" max="1810" width="11" style="835" customWidth="1"/>
    <col min="1811" max="1812" width="8.6640625" style="835" customWidth="1"/>
    <col min="1813" max="1813" width="21" style="835" customWidth="1"/>
    <col min="1814" max="1814" width="31.88671875" style="835" customWidth="1"/>
    <col min="1815" max="2049" width="9.109375" style="835"/>
    <col min="2050" max="2050" width="8.5546875" style="835" customWidth="1"/>
    <col min="2051" max="2051" width="45.21875" style="835" customWidth="1"/>
    <col min="2052" max="2052" width="61.6640625" style="835" customWidth="1"/>
    <col min="2053" max="2053" width="10.33203125" style="835" customWidth="1"/>
    <col min="2054" max="2065" width="8.6640625" style="835" customWidth="1"/>
    <col min="2066" max="2066" width="11" style="835" customWidth="1"/>
    <col min="2067" max="2068" width="8.6640625" style="835" customWidth="1"/>
    <col min="2069" max="2069" width="21" style="835" customWidth="1"/>
    <col min="2070" max="2070" width="31.88671875" style="835" customWidth="1"/>
    <col min="2071" max="2305" width="9.109375" style="835"/>
    <col min="2306" max="2306" width="8.5546875" style="835" customWidth="1"/>
    <col min="2307" max="2307" width="45.21875" style="835" customWidth="1"/>
    <col min="2308" max="2308" width="61.6640625" style="835" customWidth="1"/>
    <col min="2309" max="2309" width="10.33203125" style="835" customWidth="1"/>
    <col min="2310" max="2321" width="8.6640625" style="835" customWidth="1"/>
    <col min="2322" max="2322" width="11" style="835" customWidth="1"/>
    <col min="2323" max="2324" width="8.6640625" style="835" customWidth="1"/>
    <col min="2325" max="2325" width="21" style="835" customWidth="1"/>
    <col min="2326" max="2326" width="31.88671875" style="835" customWidth="1"/>
    <col min="2327" max="2561" width="9.109375" style="835"/>
    <col min="2562" max="2562" width="8.5546875" style="835" customWidth="1"/>
    <col min="2563" max="2563" width="45.21875" style="835" customWidth="1"/>
    <col min="2564" max="2564" width="61.6640625" style="835" customWidth="1"/>
    <col min="2565" max="2565" width="10.33203125" style="835" customWidth="1"/>
    <col min="2566" max="2577" width="8.6640625" style="835" customWidth="1"/>
    <col min="2578" max="2578" width="11" style="835" customWidth="1"/>
    <col min="2579" max="2580" width="8.6640625" style="835" customWidth="1"/>
    <col min="2581" max="2581" width="21" style="835" customWidth="1"/>
    <col min="2582" max="2582" width="31.88671875" style="835" customWidth="1"/>
    <col min="2583" max="2817" width="9.109375" style="835"/>
    <col min="2818" max="2818" width="8.5546875" style="835" customWidth="1"/>
    <col min="2819" max="2819" width="45.21875" style="835" customWidth="1"/>
    <col min="2820" max="2820" width="61.6640625" style="835" customWidth="1"/>
    <col min="2821" max="2821" width="10.33203125" style="835" customWidth="1"/>
    <col min="2822" max="2833" width="8.6640625" style="835" customWidth="1"/>
    <col min="2834" max="2834" width="11" style="835" customWidth="1"/>
    <col min="2835" max="2836" width="8.6640625" style="835" customWidth="1"/>
    <col min="2837" max="2837" width="21" style="835" customWidth="1"/>
    <col min="2838" max="2838" width="31.88671875" style="835" customWidth="1"/>
    <col min="2839" max="3073" width="9.109375" style="835"/>
    <col min="3074" max="3074" width="8.5546875" style="835" customWidth="1"/>
    <col min="3075" max="3075" width="45.21875" style="835" customWidth="1"/>
    <col min="3076" max="3076" width="61.6640625" style="835" customWidth="1"/>
    <col min="3077" max="3077" width="10.33203125" style="835" customWidth="1"/>
    <col min="3078" max="3089" width="8.6640625" style="835" customWidth="1"/>
    <col min="3090" max="3090" width="11" style="835" customWidth="1"/>
    <col min="3091" max="3092" width="8.6640625" style="835" customWidth="1"/>
    <col min="3093" max="3093" width="21" style="835" customWidth="1"/>
    <col min="3094" max="3094" width="31.88671875" style="835" customWidth="1"/>
    <col min="3095" max="3329" width="9.109375" style="835"/>
    <col min="3330" max="3330" width="8.5546875" style="835" customWidth="1"/>
    <col min="3331" max="3331" width="45.21875" style="835" customWidth="1"/>
    <col min="3332" max="3332" width="61.6640625" style="835" customWidth="1"/>
    <col min="3333" max="3333" width="10.33203125" style="835" customWidth="1"/>
    <col min="3334" max="3345" width="8.6640625" style="835" customWidth="1"/>
    <col min="3346" max="3346" width="11" style="835" customWidth="1"/>
    <col min="3347" max="3348" width="8.6640625" style="835" customWidth="1"/>
    <col min="3349" max="3349" width="21" style="835" customWidth="1"/>
    <col min="3350" max="3350" width="31.88671875" style="835" customWidth="1"/>
    <col min="3351" max="3585" width="9.109375" style="835"/>
    <col min="3586" max="3586" width="8.5546875" style="835" customWidth="1"/>
    <col min="3587" max="3587" width="45.21875" style="835" customWidth="1"/>
    <col min="3588" max="3588" width="61.6640625" style="835" customWidth="1"/>
    <col min="3589" max="3589" width="10.33203125" style="835" customWidth="1"/>
    <col min="3590" max="3601" width="8.6640625" style="835" customWidth="1"/>
    <col min="3602" max="3602" width="11" style="835" customWidth="1"/>
    <col min="3603" max="3604" width="8.6640625" style="835" customWidth="1"/>
    <col min="3605" max="3605" width="21" style="835" customWidth="1"/>
    <col min="3606" max="3606" width="31.88671875" style="835" customWidth="1"/>
    <col min="3607" max="3841" width="9.109375" style="835"/>
    <col min="3842" max="3842" width="8.5546875" style="835" customWidth="1"/>
    <col min="3843" max="3843" width="45.21875" style="835" customWidth="1"/>
    <col min="3844" max="3844" width="61.6640625" style="835" customWidth="1"/>
    <col min="3845" max="3845" width="10.33203125" style="835" customWidth="1"/>
    <col min="3846" max="3857" width="8.6640625" style="835" customWidth="1"/>
    <col min="3858" max="3858" width="11" style="835" customWidth="1"/>
    <col min="3859" max="3860" width="8.6640625" style="835" customWidth="1"/>
    <col min="3861" max="3861" width="21" style="835" customWidth="1"/>
    <col min="3862" max="3862" width="31.88671875" style="835" customWidth="1"/>
    <col min="3863" max="4097" width="9.109375" style="835"/>
    <col min="4098" max="4098" width="8.5546875" style="835" customWidth="1"/>
    <col min="4099" max="4099" width="45.21875" style="835" customWidth="1"/>
    <col min="4100" max="4100" width="61.6640625" style="835" customWidth="1"/>
    <col min="4101" max="4101" width="10.33203125" style="835" customWidth="1"/>
    <col min="4102" max="4113" width="8.6640625" style="835" customWidth="1"/>
    <col min="4114" max="4114" width="11" style="835" customWidth="1"/>
    <col min="4115" max="4116" width="8.6640625" style="835" customWidth="1"/>
    <col min="4117" max="4117" width="21" style="835" customWidth="1"/>
    <col min="4118" max="4118" width="31.88671875" style="835" customWidth="1"/>
    <col min="4119" max="4353" width="9.109375" style="835"/>
    <col min="4354" max="4354" width="8.5546875" style="835" customWidth="1"/>
    <col min="4355" max="4355" width="45.21875" style="835" customWidth="1"/>
    <col min="4356" max="4356" width="61.6640625" style="835" customWidth="1"/>
    <col min="4357" max="4357" width="10.33203125" style="835" customWidth="1"/>
    <col min="4358" max="4369" width="8.6640625" style="835" customWidth="1"/>
    <col min="4370" max="4370" width="11" style="835" customWidth="1"/>
    <col min="4371" max="4372" width="8.6640625" style="835" customWidth="1"/>
    <col min="4373" max="4373" width="21" style="835" customWidth="1"/>
    <col min="4374" max="4374" width="31.88671875" style="835" customWidth="1"/>
    <col min="4375" max="4609" width="9.109375" style="835"/>
    <col min="4610" max="4610" width="8.5546875" style="835" customWidth="1"/>
    <col min="4611" max="4611" width="45.21875" style="835" customWidth="1"/>
    <col min="4612" max="4612" width="61.6640625" style="835" customWidth="1"/>
    <col min="4613" max="4613" width="10.33203125" style="835" customWidth="1"/>
    <col min="4614" max="4625" width="8.6640625" style="835" customWidth="1"/>
    <col min="4626" max="4626" width="11" style="835" customWidth="1"/>
    <col min="4627" max="4628" width="8.6640625" style="835" customWidth="1"/>
    <col min="4629" max="4629" width="21" style="835" customWidth="1"/>
    <col min="4630" max="4630" width="31.88671875" style="835" customWidth="1"/>
    <col min="4631" max="4865" width="9.109375" style="835"/>
    <col min="4866" max="4866" width="8.5546875" style="835" customWidth="1"/>
    <col min="4867" max="4867" width="45.21875" style="835" customWidth="1"/>
    <col min="4868" max="4868" width="61.6640625" style="835" customWidth="1"/>
    <col min="4869" max="4869" width="10.33203125" style="835" customWidth="1"/>
    <col min="4870" max="4881" width="8.6640625" style="835" customWidth="1"/>
    <col min="4882" max="4882" width="11" style="835" customWidth="1"/>
    <col min="4883" max="4884" width="8.6640625" style="835" customWidth="1"/>
    <col min="4885" max="4885" width="21" style="835" customWidth="1"/>
    <col min="4886" max="4886" width="31.88671875" style="835" customWidth="1"/>
    <col min="4887" max="5121" width="9.109375" style="835"/>
    <col min="5122" max="5122" width="8.5546875" style="835" customWidth="1"/>
    <col min="5123" max="5123" width="45.21875" style="835" customWidth="1"/>
    <col min="5124" max="5124" width="61.6640625" style="835" customWidth="1"/>
    <col min="5125" max="5125" width="10.33203125" style="835" customWidth="1"/>
    <col min="5126" max="5137" width="8.6640625" style="835" customWidth="1"/>
    <col min="5138" max="5138" width="11" style="835" customWidth="1"/>
    <col min="5139" max="5140" width="8.6640625" style="835" customWidth="1"/>
    <col min="5141" max="5141" width="21" style="835" customWidth="1"/>
    <col min="5142" max="5142" width="31.88671875" style="835" customWidth="1"/>
    <col min="5143" max="5377" width="9.109375" style="835"/>
    <col min="5378" max="5378" width="8.5546875" style="835" customWidth="1"/>
    <col min="5379" max="5379" width="45.21875" style="835" customWidth="1"/>
    <col min="5380" max="5380" width="61.6640625" style="835" customWidth="1"/>
    <col min="5381" max="5381" width="10.33203125" style="835" customWidth="1"/>
    <col min="5382" max="5393" width="8.6640625" style="835" customWidth="1"/>
    <col min="5394" max="5394" width="11" style="835" customWidth="1"/>
    <col min="5395" max="5396" width="8.6640625" style="835" customWidth="1"/>
    <col min="5397" max="5397" width="21" style="835" customWidth="1"/>
    <col min="5398" max="5398" width="31.88671875" style="835" customWidth="1"/>
    <col min="5399" max="5633" width="9.109375" style="835"/>
    <col min="5634" max="5634" width="8.5546875" style="835" customWidth="1"/>
    <col min="5635" max="5635" width="45.21875" style="835" customWidth="1"/>
    <col min="5636" max="5636" width="61.6640625" style="835" customWidth="1"/>
    <col min="5637" max="5637" width="10.33203125" style="835" customWidth="1"/>
    <col min="5638" max="5649" width="8.6640625" style="835" customWidth="1"/>
    <col min="5650" max="5650" width="11" style="835" customWidth="1"/>
    <col min="5651" max="5652" width="8.6640625" style="835" customWidth="1"/>
    <col min="5653" max="5653" width="21" style="835" customWidth="1"/>
    <col min="5654" max="5654" width="31.88671875" style="835" customWidth="1"/>
    <col min="5655" max="5889" width="9.109375" style="835"/>
    <col min="5890" max="5890" width="8.5546875" style="835" customWidth="1"/>
    <col min="5891" max="5891" width="45.21875" style="835" customWidth="1"/>
    <col min="5892" max="5892" width="61.6640625" style="835" customWidth="1"/>
    <col min="5893" max="5893" width="10.33203125" style="835" customWidth="1"/>
    <col min="5894" max="5905" width="8.6640625" style="835" customWidth="1"/>
    <col min="5906" max="5906" width="11" style="835" customWidth="1"/>
    <col min="5907" max="5908" width="8.6640625" style="835" customWidth="1"/>
    <col min="5909" max="5909" width="21" style="835" customWidth="1"/>
    <col min="5910" max="5910" width="31.88671875" style="835" customWidth="1"/>
    <col min="5911" max="6145" width="9.109375" style="835"/>
    <col min="6146" max="6146" width="8.5546875" style="835" customWidth="1"/>
    <col min="6147" max="6147" width="45.21875" style="835" customWidth="1"/>
    <col min="6148" max="6148" width="61.6640625" style="835" customWidth="1"/>
    <col min="6149" max="6149" width="10.33203125" style="835" customWidth="1"/>
    <col min="6150" max="6161" width="8.6640625" style="835" customWidth="1"/>
    <col min="6162" max="6162" width="11" style="835" customWidth="1"/>
    <col min="6163" max="6164" width="8.6640625" style="835" customWidth="1"/>
    <col min="6165" max="6165" width="21" style="835" customWidth="1"/>
    <col min="6166" max="6166" width="31.88671875" style="835" customWidth="1"/>
    <col min="6167" max="6401" width="9.109375" style="835"/>
    <col min="6402" max="6402" width="8.5546875" style="835" customWidth="1"/>
    <col min="6403" max="6403" width="45.21875" style="835" customWidth="1"/>
    <col min="6404" max="6404" width="61.6640625" style="835" customWidth="1"/>
    <col min="6405" max="6405" width="10.33203125" style="835" customWidth="1"/>
    <col min="6406" max="6417" width="8.6640625" style="835" customWidth="1"/>
    <col min="6418" max="6418" width="11" style="835" customWidth="1"/>
    <col min="6419" max="6420" width="8.6640625" style="835" customWidth="1"/>
    <col min="6421" max="6421" width="21" style="835" customWidth="1"/>
    <col min="6422" max="6422" width="31.88671875" style="835" customWidth="1"/>
    <col min="6423" max="6657" width="9.109375" style="835"/>
    <col min="6658" max="6658" width="8.5546875" style="835" customWidth="1"/>
    <col min="6659" max="6659" width="45.21875" style="835" customWidth="1"/>
    <col min="6660" max="6660" width="61.6640625" style="835" customWidth="1"/>
    <col min="6661" max="6661" width="10.33203125" style="835" customWidth="1"/>
    <col min="6662" max="6673" width="8.6640625" style="835" customWidth="1"/>
    <col min="6674" max="6674" width="11" style="835" customWidth="1"/>
    <col min="6675" max="6676" width="8.6640625" style="835" customWidth="1"/>
    <col min="6677" max="6677" width="21" style="835" customWidth="1"/>
    <col min="6678" max="6678" width="31.88671875" style="835" customWidth="1"/>
    <col min="6679" max="6913" width="9.109375" style="835"/>
    <col min="6914" max="6914" width="8.5546875" style="835" customWidth="1"/>
    <col min="6915" max="6915" width="45.21875" style="835" customWidth="1"/>
    <col min="6916" max="6916" width="61.6640625" style="835" customWidth="1"/>
    <col min="6917" max="6917" width="10.33203125" style="835" customWidth="1"/>
    <col min="6918" max="6929" width="8.6640625" style="835" customWidth="1"/>
    <col min="6930" max="6930" width="11" style="835" customWidth="1"/>
    <col min="6931" max="6932" width="8.6640625" style="835" customWidth="1"/>
    <col min="6933" max="6933" width="21" style="835" customWidth="1"/>
    <col min="6934" max="6934" width="31.88671875" style="835" customWidth="1"/>
    <col min="6935" max="7169" width="9.109375" style="835"/>
    <col min="7170" max="7170" width="8.5546875" style="835" customWidth="1"/>
    <col min="7171" max="7171" width="45.21875" style="835" customWidth="1"/>
    <col min="7172" max="7172" width="61.6640625" style="835" customWidth="1"/>
    <col min="7173" max="7173" width="10.33203125" style="835" customWidth="1"/>
    <col min="7174" max="7185" width="8.6640625" style="835" customWidth="1"/>
    <col min="7186" max="7186" width="11" style="835" customWidth="1"/>
    <col min="7187" max="7188" width="8.6640625" style="835" customWidth="1"/>
    <col min="7189" max="7189" width="21" style="835" customWidth="1"/>
    <col min="7190" max="7190" width="31.88671875" style="835" customWidth="1"/>
    <col min="7191" max="7425" width="9.109375" style="835"/>
    <col min="7426" max="7426" width="8.5546875" style="835" customWidth="1"/>
    <col min="7427" max="7427" width="45.21875" style="835" customWidth="1"/>
    <col min="7428" max="7428" width="61.6640625" style="835" customWidth="1"/>
    <col min="7429" max="7429" width="10.33203125" style="835" customWidth="1"/>
    <col min="7430" max="7441" width="8.6640625" style="835" customWidth="1"/>
    <col min="7442" max="7442" width="11" style="835" customWidth="1"/>
    <col min="7443" max="7444" width="8.6640625" style="835" customWidth="1"/>
    <col min="7445" max="7445" width="21" style="835" customWidth="1"/>
    <col min="7446" max="7446" width="31.88671875" style="835" customWidth="1"/>
    <col min="7447" max="7681" width="9.109375" style="835"/>
    <col min="7682" max="7682" width="8.5546875" style="835" customWidth="1"/>
    <col min="7683" max="7683" width="45.21875" style="835" customWidth="1"/>
    <col min="7684" max="7684" width="61.6640625" style="835" customWidth="1"/>
    <col min="7685" max="7685" width="10.33203125" style="835" customWidth="1"/>
    <col min="7686" max="7697" width="8.6640625" style="835" customWidth="1"/>
    <col min="7698" max="7698" width="11" style="835" customWidth="1"/>
    <col min="7699" max="7700" width="8.6640625" style="835" customWidth="1"/>
    <col min="7701" max="7701" width="21" style="835" customWidth="1"/>
    <col min="7702" max="7702" width="31.88671875" style="835" customWidth="1"/>
    <col min="7703" max="7937" width="9.109375" style="835"/>
    <col min="7938" max="7938" width="8.5546875" style="835" customWidth="1"/>
    <col min="7939" max="7939" width="45.21875" style="835" customWidth="1"/>
    <col min="7940" max="7940" width="61.6640625" style="835" customWidth="1"/>
    <col min="7941" max="7941" width="10.33203125" style="835" customWidth="1"/>
    <col min="7942" max="7953" width="8.6640625" style="835" customWidth="1"/>
    <col min="7954" max="7954" width="11" style="835" customWidth="1"/>
    <col min="7955" max="7956" width="8.6640625" style="835" customWidth="1"/>
    <col min="7957" max="7957" width="21" style="835" customWidth="1"/>
    <col min="7958" max="7958" width="31.88671875" style="835" customWidth="1"/>
    <col min="7959" max="8193" width="9.109375" style="835"/>
    <col min="8194" max="8194" width="8.5546875" style="835" customWidth="1"/>
    <col min="8195" max="8195" width="45.21875" style="835" customWidth="1"/>
    <col min="8196" max="8196" width="61.6640625" style="835" customWidth="1"/>
    <col min="8197" max="8197" width="10.33203125" style="835" customWidth="1"/>
    <col min="8198" max="8209" width="8.6640625" style="835" customWidth="1"/>
    <col min="8210" max="8210" width="11" style="835" customWidth="1"/>
    <col min="8211" max="8212" width="8.6640625" style="835" customWidth="1"/>
    <col min="8213" max="8213" width="21" style="835" customWidth="1"/>
    <col min="8214" max="8214" width="31.88671875" style="835" customWidth="1"/>
    <col min="8215" max="8449" width="9.109375" style="835"/>
    <col min="8450" max="8450" width="8.5546875" style="835" customWidth="1"/>
    <col min="8451" max="8451" width="45.21875" style="835" customWidth="1"/>
    <col min="8452" max="8452" width="61.6640625" style="835" customWidth="1"/>
    <col min="8453" max="8453" width="10.33203125" style="835" customWidth="1"/>
    <col min="8454" max="8465" width="8.6640625" style="835" customWidth="1"/>
    <col min="8466" max="8466" width="11" style="835" customWidth="1"/>
    <col min="8467" max="8468" width="8.6640625" style="835" customWidth="1"/>
    <col min="8469" max="8469" width="21" style="835" customWidth="1"/>
    <col min="8470" max="8470" width="31.88671875" style="835" customWidth="1"/>
    <col min="8471" max="8705" width="9.109375" style="835"/>
    <col min="8706" max="8706" width="8.5546875" style="835" customWidth="1"/>
    <col min="8707" max="8707" width="45.21875" style="835" customWidth="1"/>
    <col min="8708" max="8708" width="61.6640625" style="835" customWidth="1"/>
    <col min="8709" max="8709" width="10.33203125" style="835" customWidth="1"/>
    <col min="8710" max="8721" width="8.6640625" style="835" customWidth="1"/>
    <col min="8722" max="8722" width="11" style="835" customWidth="1"/>
    <col min="8723" max="8724" width="8.6640625" style="835" customWidth="1"/>
    <col min="8725" max="8725" width="21" style="835" customWidth="1"/>
    <col min="8726" max="8726" width="31.88671875" style="835" customWidth="1"/>
    <col min="8727" max="8961" width="9.109375" style="835"/>
    <col min="8962" max="8962" width="8.5546875" style="835" customWidth="1"/>
    <col min="8963" max="8963" width="45.21875" style="835" customWidth="1"/>
    <col min="8964" max="8964" width="61.6640625" style="835" customWidth="1"/>
    <col min="8965" max="8965" width="10.33203125" style="835" customWidth="1"/>
    <col min="8966" max="8977" width="8.6640625" style="835" customWidth="1"/>
    <col min="8978" max="8978" width="11" style="835" customWidth="1"/>
    <col min="8979" max="8980" width="8.6640625" style="835" customWidth="1"/>
    <col min="8981" max="8981" width="21" style="835" customWidth="1"/>
    <col min="8982" max="8982" width="31.88671875" style="835" customWidth="1"/>
    <col min="8983" max="9217" width="9.109375" style="835"/>
    <col min="9218" max="9218" width="8.5546875" style="835" customWidth="1"/>
    <col min="9219" max="9219" width="45.21875" style="835" customWidth="1"/>
    <col min="9220" max="9220" width="61.6640625" style="835" customWidth="1"/>
    <col min="9221" max="9221" width="10.33203125" style="835" customWidth="1"/>
    <col min="9222" max="9233" width="8.6640625" style="835" customWidth="1"/>
    <col min="9234" max="9234" width="11" style="835" customWidth="1"/>
    <col min="9235" max="9236" width="8.6640625" style="835" customWidth="1"/>
    <col min="9237" max="9237" width="21" style="835" customWidth="1"/>
    <col min="9238" max="9238" width="31.88671875" style="835" customWidth="1"/>
    <col min="9239" max="9473" width="9.109375" style="835"/>
    <col min="9474" max="9474" width="8.5546875" style="835" customWidth="1"/>
    <col min="9475" max="9475" width="45.21875" style="835" customWidth="1"/>
    <col min="9476" max="9476" width="61.6640625" style="835" customWidth="1"/>
    <col min="9477" max="9477" width="10.33203125" style="835" customWidth="1"/>
    <col min="9478" max="9489" width="8.6640625" style="835" customWidth="1"/>
    <col min="9490" max="9490" width="11" style="835" customWidth="1"/>
    <col min="9491" max="9492" width="8.6640625" style="835" customWidth="1"/>
    <col min="9493" max="9493" width="21" style="835" customWidth="1"/>
    <col min="9494" max="9494" width="31.88671875" style="835" customWidth="1"/>
    <col min="9495" max="9729" width="9.109375" style="835"/>
    <col min="9730" max="9730" width="8.5546875" style="835" customWidth="1"/>
    <col min="9731" max="9731" width="45.21875" style="835" customWidth="1"/>
    <col min="9732" max="9732" width="61.6640625" style="835" customWidth="1"/>
    <col min="9733" max="9733" width="10.33203125" style="835" customWidth="1"/>
    <col min="9734" max="9745" width="8.6640625" style="835" customWidth="1"/>
    <col min="9746" max="9746" width="11" style="835" customWidth="1"/>
    <col min="9747" max="9748" width="8.6640625" style="835" customWidth="1"/>
    <col min="9749" max="9749" width="21" style="835" customWidth="1"/>
    <col min="9750" max="9750" width="31.88671875" style="835" customWidth="1"/>
    <col min="9751" max="9985" width="9.109375" style="835"/>
    <col min="9986" max="9986" width="8.5546875" style="835" customWidth="1"/>
    <col min="9987" max="9987" width="45.21875" style="835" customWidth="1"/>
    <col min="9988" max="9988" width="61.6640625" style="835" customWidth="1"/>
    <col min="9989" max="9989" width="10.33203125" style="835" customWidth="1"/>
    <col min="9990" max="10001" width="8.6640625" style="835" customWidth="1"/>
    <col min="10002" max="10002" width="11" style="835" customWidth="1"/>
    <col min="10003" max="10004" width="8.6640625" style="835" customWidth="1"/>
    <col min="10005" max="10005" width="21" style="835" customWidth="1"/>
    <col min="10006" max="10006" width="31.88671875" style="835" customWidth="1"/>
    <col min="10007" max="10241" width="9.109375" style="835"/>
    <col min="10242" max="10242" width="8.5546875" style="835" customWidth="1"/>
    <col min="10243" max="10243" width="45.21875" style="835" customWidth="1"/>
    <col min="10244" max="10244" width="61.6640625" style="835" customWidth="1"/>
    <col min="10245" max="10245" width="10.33203125" style="835" customWidth="1"/>
    <col min="10246" max="10257" width="8.6640625" style="835" customWidth="1"/>
    <col min="10258" max="10258" width="11" style="835" customWidth="1"/>
    <col min="10259" max="10260" width="8.6640625" style="835" customWidth="1"/>
    <col min="10261" max="10261" width="21" style="835" customWidth="1"/>
    <col min="10262" max="10262" width="31.88671875" style="835" customWidth="1"/>
    <col min="10263" max="10497" width="9.109375" style="835"/>
    <col min="10498" max="10498" width="8.5546875" style="835" customWidth="1"/>
    <col min="10499" max="10499" width="45.21875" style="835" customWidth="1"/>
    <col min="10500" max="10500" width="61.6640625" style="835" customWidth="1"/>
    <col min="10501" max="10501" width="10.33203125" style="835" customWidth="1"/>
    <col min="10502" max="10513" width="8.6640625" style="835" customWidth="1"/>
    <col min="10514" max="10514" width="11" style="835" customWidth="1"/>
    <col min="10515" max="10516" width="8.6640625" style="835" customWidth="1"/>
    <col min="10517" max="10517" width="21" style="835" customWidth="1"/>
    <col min="10518" max="10518" width="31.88671875" style="835" customWidth="1"/>
    <col min="10519" max="10753" width="9.109375" style="835"/>
    <col min="10754" max="10754" width="8.5546875" style="835" customWidth="1"/>
    <col min="10755" max="10755" width="45.21875" style="835" customWidth="1"/>
    <col min="10756" max="10756" width="61.6640625" style="835" customWidth="1"/>
    <col min="10757" max="10757" width="10.33203125" style="835" customWidth="1"/>
    <col min="10758" max="10769" width="8.6640625" style="835" customWidth="1"/>
    <col min="10770" max="10770" width="11" style="835" customWidth="1"/>
    <col min="10771" max="10772" width="8.6640625" style="835" customWidth="1"/>
    <col min="10773" max="10773" width="21" style="835" customWidth="1"/>
    <col min="10774" max="10774" width="31.88671875" style="835" customWidth="1"/>
    <col min="10775" max="11009" width="9.109375" style="835"/>
    <col min="11010" max="11010" width="8.5546875" style="835" customWidth="1"/>
    <col min="11011" max="11011" width="45.21875" style="835" customWidth="1"/>
    <col min="11012" max="11012" width="61.6640625" style="835" customWidth="1"/>
    <col min="11013" max="11013" width="10.33203125" style="835" customWidth="1"/>
    <col min="11014" max="11025" width="8.6640625" style="835" customWidth="1"/>
    <col min="11026" max="11026" width="11" style="835" customWidth="1"/>
    <col min="11027" max="11028" width="8.6640625" style="835" customWidth="1"/>
    <col min="11029" max="11029" width="21" style="835" customWidth="1"/>
    <col min="11030" max="11030" width="31.88671875" style="835" customWidth="1"/>
    <col min="11031" max="11265" width="9.109375" style="835"/>
    <col min="11266" max="11266" width="8.5546875" style="835" customWidth="1"/>
    <col min="11267" max="11267" width="45.21875" style="835" customWidth="1"/>
    <col min="11268" max="11268" width="61.6640625" style="835" customWidth="1"/>
    <col min="11269" max="11269" width="10.33203125" style="835" customWidth="1"/>
    <col min="11270" max="11281" width="8.6640625" style="835" customWidth="1"/>
    <col min="11282" max="11282" width="11" style="835" customWidth="1"/>
    <col min="11283" max="11284" width="8.6640625" style="835" customWidth="1"/>
    <col min="11285" max="11285" width="21" style="835" customWidth="1"/>
    <col min="11286" max="11286" width="31.88671875" style="835" customWidth="1"/>
    <col min="11287" max="11521" width="9.109375" style="835"/>
    <col min="11522" max="11522" width="8.5546875" style="835" customWidth="1"/>
    <col min="11523" max="11523" width="45.21875" style="835" customWidth="1"/>
    <col min="11524" max="11524" width="61.6640625" style="835" customWidth="1"/>
    <col min="11525" max="11525" width="10.33203125" style="835" customWidth="1"/>
    <col min="11526" max="11537" width="8.6640625" style="835" customWidth="1"/>
    <col min="11538" max="11538" width="11" style="835" customWidth="1"/>
    <col min="11539" max="11540" width="8.6640625" style="835" customWidth="1"/>
    <col min="11541" max="11541" width="21" style="835" customWidth="1"/>
    <col min="11542" max="11542" width="31.88671875" style="835" customWidth="1"/>
    <col min="11543" max="11777" width="9.109375" style="835"/>
    <col min="11778" max="11778" width="8.5546875" style="835" customWidth="1"/>
    <col min="11779" max="11779" width="45.21875" style="835" customWidth="1"/>
    <col min="11780" max="11780" width="61.6640625" style="835" customWidth="1"/>
    <col min="11781" max="11781" width="10.33203125" style="835" customWidth="1"/>
    <col min="11782" max="11793" width="8.6640625" style="835" customWidth="1"/>
    <col min="11794" max="11794" width="11" style="835" customWidth="1"/>
    <col min="11795" max="11796" width="8.6640625" style="835" customWidth="1"/>
    <col min="11797" max="11797" width="21" style="835" customWidth="1"/>
    <col min="11798" max="11798" width="31.88671875" style="835" customWidth="1"/>
    <col min="11799" max="12033" width="9.109375" style="835"/>
    <col min="12034" max="12034" width="8.5546875" style="835" customWidth="1"/>
    <col min="12035" max="12035" width="45.21875" style="835" customWidth="1"/>
    <col min="12036" max="12036" width="61.6640625" style="835" customWidth="1"/>
    <col min="12037" max="12037" width="10.33203125" style="835" customWidth="1"/>
    <col min="12038" max="12049" width="8.6640625" style="835" customWidth="1"/>
    <col min="12050" max="12050" width="11" style="835" customWidth="1"/>
    <col min="12051" max="12052" width="8.6640625" style="835" customWidth="1"/>
    <col min="12053" max="12053" width="21" style="835" customWidth="1"/>
    <col min="12054" max="12054" width="31.88671875" style="835" customWidth="1"/>
    <col min="12055" max="12289" width="9.109375" style="835"/>
    <col min="12290" max="12290" width="8.5546875" style="835" customWidth="1"/>
    <col min="12291" max="12291" width="45.21875" style="835" customWidth="1"/>
    <col min="12292" max="12292" width="61.6640625" style="835" customWidth="1"/>
    <col min="12293" max="12293" width="10.33203125" style="835" customWidth="1"/>
    <col min="12294" max="12305" width="8.6640625" style="835" customWidth="1"/>
    <col min="12306" max="12306" width="11" style="835" customWidth="1"/>
    <col min="12307" max="12308" width="8.6640625" style="835" customWidth="1"/>
    <col min="12309" max="12309" width="21" style="835" customWidth="1"/>
    <col min="12310" max="12310" width="31.88671875" style="835" customWidth="1"/>
    <col min="12311" max="12545" width="9.109375" style="835"/>
    <col min="12546" max="12546" width="8.5546875" style="835" customWidth="1"/>
    <col min="12547" max="12547" width="45.21875" style="835" customWidth="1"/>
    <col min="12548" max="12548" width="61.6640625" style="835" customWidth="1"/>
    <col min="12549" max="12549" width="10.33203125" style="835" customWidth="1"/>
    <col min="12550" max="12561" width="8.6640625" style="835" customWidth="1"/>
    <col min="12562" max="12562" width="11" style="835" customWidth="1"/>
    <col min="12563" max="12564" width="8.6640625" style="835" customWidth="1"/>
    <col min="12565" max="12565" width="21" style="835" customWidth="1"/>
    <col min="12566" max="12566" width="31.88671875" style="835" customWidth="1"/>
    <col min="12567" max="12801" width="9.109375" style="835"/>
    <col min="12802" max="12802" width="8.5546875" style="835" customWidth="1"/>
    <col min="12803" max="12803" width="45.21875" style="835" customWidth="1"/>
    <col min="12804" max="12804" width="61.6640625" style="835" customWidth="1"/>
    <col min="12805" max="12805" width="10.33203125" style="835" customWidth="1"/>
    <col min="12806" max="12817" width="8.6640625" style="835" customWidth="1"/>
    <col min="12818" max="12818" width="11" style="835" customWidth="1"/>
    <col min="12819" max="12820" width="8.6640625" style="835" customWidth="1"/>
    <col min="12821" max="12821" width="21" style="835" customWidth="1"/>
    <col min="12822" max="12822" width="31.88671875" style="835" customWidth="1"/>
    <col min="12823" max="13057" width="9.109375" style="835"/>
    <col min="13058" max="13058" width="8.5546875" style="835" customWidth="1"/>
    <col min="13059" max="13059" width="45.21875" style="835" customWidth="1"/>
    <col min="13060" max="13060" width="61.6640625" style="835" customWidth="1"/>
    <col min="13061" max="13061" width="10.33203125" style="835" customWidth="1"/>
    <col min="13062" max="13073" width="8.6640625" style="835" customWidth="1"/>
    <col min="13074" max="13074" width="11" style="835" customWidth="1"/>
    <col min="13075" max="13076" width="8.6640625" style="835" customWidth="1"/>
    <col min="13077" max="13077" width="21" style="835" customWidth="1"/>
    <col min="13078" max="13078" width="31.88671875" style="835" customWidth="1"/>
    <col min="13079" max="13313" width="9.109375" style="835"/>
    <col min="13314" max="13314" width="8.5546875" style="835" customWidth="1"/>
    <col min="13315" max="13315" width="45.21875" style="835" customWidth="1"/>
    <col min="13316" max="13316" width="61.6640625" style="835" customWidth="1"/>
    <col min="13317" max="13317" width="10.33203125" style="835" customWidth="1"/>
    <col min="13318" max="13329" width="8.6640625" style="835" customWidth="1"/>
    <col min="13330" max="13330" width="11" style="835" customWidth="1"/>
    <col min="13331" max="13332" width="8.6640625" style="835" customWidth="1"/>
    <col min="13333" max="13333" width="21" style="835" customWidth="1"/>
    <col min="13334" max="13334" width="31.88671875" style="835" customWidth="1"/>
    <col min="13335" max="13569" width="9.109375" style="835"/>
    <col min="13570" max="13570" width="8.5546875" style="835" customWidth="1"/>
    <col min="13571" max="13571" width="45.21875" style="835" customWidth="1"/>
    <col min="13572" max="13572" width="61.6640625" style="835" customWidth="1"/>
    <col min="13573" max="13573" width="10.33203125" style="835" customWidth="1"/>
    <col min="13574" max="13585" width="8.6640625" style="835" customWidth="1"/>
    <col min="13586" max="13586" width="11" style="835" customWidth="1"/>
    <col min="13587" max="13588" width="8.6640625" style="835" customWidth="1"/>
    <col min="13589" max="13589" width="21" style="835" customWidth="1"/>
    <col min="13590" max="13590" width="31.88671875" style="835" customWidth="1"/>
    <col min="13591" max="13825" width="9.109375" style="835"/>
    <col min="13826" max="13826" width="8.5546875" style="835" customWidth="1"/>
    <col min="13827" max="13827" width="45.21875" style="835" customWidth="1"/>
    <col min="13828" max="13828" width="61.6640625" style="835" customWidth="1"/>
    <col min="13829" max="13829" width="10.33203125" style="835" customWidth="1"/>
    <col min="13830" max="13841" width="8.6640625" style="835" customWidth="1"/>
    <col min="13842" max="13842" width="11" style="835" customWidth="1"/>
    <col min="13843" max="13844" width="8.6640625" style="835" customWidth="1"/>
    <col min="13845" max="13845" width="21" style="835" customWidth="1"/>
    <col min="13846" max="13846" width="31.88671875" style="835" customWidth="1"/>
    <col min="13847" max="14081" width="9.109375" style="835"/>
    <col min="14082" max="14082" width="8.5546875" style="835" customWidth="1"/>
    <col min="14083" max="14083" width="45.21875" style="835" customWidth="1"/>
    <col min="14084" max="14084" width="61.6640625" style="835" customWidth="1"/>
    <col min="14085" max="14085" width="10.33203125" style="835" customWidth="1"/>
    <col min="14086" max="14097" width="8.6640625" style="835" customWidth="1"/>
    <col min="14098" max="14098" width="11" style="835" customWidth="1"/>
    <col min="14099" max="14100" width="8.6640625" style="835" customWidth="1"/>
    <col min="14101" max="14101" width="21" style="835" customWidth="1"/>
    <col min="14102" max="14102" width="31.88671875" style="835" customWidth="1"/>
    <col min="14103" max="14337" width="9.109375" style="835"/>
    <col min="14338" max="14338" width="8.5546875" style="835" customWidth="1"/>
    <col min="14339" max="14339" width="45.21875" style="835" customWidth="1"/>
    <col min="14340" max="14340" width="61.6640625" style="835" customWidth="1"/>
    <col min="14341" max="14341" width="10.33203125" style="835" customWidth="1"/>
    <col min="14342" max="14353" width="8.6640625" style="835" customWidth="1"/>
    <col min="14354" max="14354" width="11" style="835" customWidth="1"/>
    <col min="14355" max="14356" width="8.6640625" style="835" customWidth="1"/>
    <col min="14357" max="14357" width="21" style="835" customWidth="1"/>
    <col min="14358" max="14358" width="31.88671875" style="835" customWidth="1"/>
    <col min="14359" max="14593" width="9.109375" style="835"/>
    <col min="14594" max="14594" width="8.5546875" style="835" customWidth="1"/>
    <col min="14595" max="14595" width="45.21875" style="835" customWidth="1"/>
    <col min="14596" max="14596" width="61.6640625" style="835" customWidth="1"/>
    <col min="14597" max="14597" width="10.33203125" style="835" customWidth="1"/>
    <col min="14598" max="14609" width="8.6640625" style="835" customWidth="1"/>
    <col min="14610" max="14610" width="11" style="835" customWidth="1"/>
    <col min="14611" max="14612" width="8.6640625" style="835" customWidth="1"/>
    <col min="14613" max="14613" width="21" style="835" customWidth="1"/>
    <col min="14614" max="14614" width="31.88671875" style="835" customWidth="1"/>
    <col min="14615" max="14849" width="9.109375" style="835"/>
    <col min="14850" max="14850" width="8.5546875" style="835" customWidth="1"/>
    <col min="14851" max="14851" width="45.21875" style="835" customWidth="1"/>
    <col min="14852" max="14852" width="61.6640625" style="835" customWidth="1"/>
    <col min="14853" max="14853" width="10.33203125" style="835" customWidth="1"/>
    <col min="14854" max="14865" width="8.6640625" style="835" customWidth="1"/>
    <col min="14866" max="14866" width="11" style="835" customWidth="1"/>
    <col min="14867" max="14868" width="8.6640625" style="835" customWidth="1"/>
    <col min="14869" max="14869" width="21" style="835" customWidth="1"/>
    <col min="14870" max="14870" width="31.88671875" style="835" customWidth="1"/>
    <col min="14871" max="15105" width="9.109375" style="835"/>
    <col min="15106" max="15106" width="8.5546875" style="835" customWidth="1"/>
    <col min="15107" max="15107" width="45.21875" style="835" customWidth="1"/>
    <col min="15108" max="15108" width="61.6640625" style="835" customWidth="1"/>
    <col min="15109" max="15109" width="10.33203125" style="835" customWidth="1"/>
    <col min="15110" max="15121" width="8.6640625" style="835" customWidth="1"/>
    <col min="15122" max="15122" width="11" style="835" customWidth="1"/>
    <col min="15123" max="15124" width="8.6640625" style="835" customWidth="1"/>
    <col min="15125" max="15125" width="21" style="835" customWidth="1"/>
    <col min="15126" max="15126" width="31.88671875" style="835" customWidth="1"/>
    <col min="15127" max="15361" width="9.109375" style="835"/>
    <col min="15362" max="15362" width="8.5546875" style="835" customWidth="1"/>
    <col min="15363" max="15363" width="45.21875" style="835" customWidth="1"/>
    <col min="15364" max="15364" width="61.6640625" style="835" customWidth="1"/>
    <col min="15365" max="15365" width="10.33203125" style="835" customWidth="1"/>
    <col min="15366" max="15377" width="8.6640625" style="835" customWidth="1"/>
    <col min="15378" max="15378" width="11" style="835" customWidth="1"/>
    <col min="15379" max="15380" width="8.6640625" style="835" customWidth="1"/>
    <col min="15381" max="15381" width="21" style="835" customWidth="1"/>
    <col min="15382" max="15382" width="31.88671875" style="835" customWidth="1"/>
    <col min="15383" max="15617" width="9.109375" style="835"/>
    <col min="15618" max="15618" width="8.5546875" style="835" customWidth="1"/>
    <col min="15619" max="15619" width="45.21875" style="835" customWidth="1"/>
    <col min="15620" max="15620" width="61.6640625" style="835" customWidth="1"/>
    <col min="15621" max="15621" width="10.33203125" style="835" customWidth="1"/>
    <col min="15622" max="15633" width="8.6640625" style="835" customWidth="1"/>
    <col min="15634" max="15634" width="11" style="835" customWidth="1"/>
    <col min="15635" max="15636" width="8.6640625" style="835" customWidth="1"/>
    <col min="15637" max="15637" width="21" style="835" customWidth="1"/>
    <col min="15638" max="15638" width="31.88671875" style="835" customWidth="1"/>
    <col min="15639" max="15873" width="9.109375" style="835"/>
    <col min="15874" max="15874" width="8.5546875" style="835" customWidth="1"/>
    <col min="15875" max="15875" width="45.21875" style="835" customWidth="1"/>
    <col min="15876" max="15876" width="61.6640625" style="835" customWidth="1"/>
    <col min="15877" max="15877" width="10.33203125" style="835" customWidth="1"/>
    <col min="15878" max="15889" width="8.6640625" style="835" customWidth="1"/>
    <col min="15890" max="15890" width="11" style="835" customWidth="1"/>
    <col min="15891" max="15892" width="8.6640625" style="835" customWidth="1"/>
    <col min="15893" max="15893" width="21" style="835" customWidth="1"/>
    <col min="15894" max="15894" width="31.88671875" style="835" customWidth="1"/>
    <col min="15895" max="16129" width="9.109375" style="835"/>
    <col min="16130" max="16130" width="8.5546875" style="835" customWidth="1"/>
    <col min="16131" max="16131" width="45.21875" style="835" customWidth="1"/>
    <col min="16132" max="16132" width="61.6640625" style="835" customWidth="1"/>
    <col min="16133" max="16133" width="10.33203125" style="835" customWidth="1"/>
    <col min="16134" max="16145" width="8.6640625" style="835" customWidth="1"/>
    <col min="16146" max="16146" width="11" style="835" customWidth="1"/>
    <col min="16147" max="16148" width="8.6640625" style="835" customWidth="1"/>
    <col min="16149" max="16149" width="21" style="835" customWidth="1"/>
    <col min="16150" max="16150" width="31.88671875" style="835" customWidth="1"/>
    <col min="16151" max="16384" width="9.109375" style="835"/>
  </cols>
  <sheetData>
    <row r="1" spans="1:22" s="803" customFormat="1" ht="24" customHeight="1">
      <c r="A1" s="1259" t="s">
        <v>591</v>
      </c>
      <c r="B1" s="1259"/>
      <c r="C1" s="1259"/>
      <c r="D1" s="949"/>
      <c r="S1" s="804"/>
      <c r="U1" s="958"/>
    </row>
    <row r="2" spans="1:22" s="803" customFormat="1" ht="24" customHeight="1" thickBot="1">
      <c r="A2" s="979" t="s">
        <v>592</v>
      </c>
      <c r="B2" s="805"/>
      <c r="C2" s="805"/>
      <c r="D2" s="950"/>
      <c r="S2" s="804"/>
      <c r="U2" s="958"/>
    </row>
    <row r="3" spans="1:22" s="803" customFormat="1" ht="24" customHeight="1" thickBot="1">
      <c r="A3" s="1260" t="s">
        <v>37</v>
      </c>
      <c r="B3" s="1262" t="s">
        <v>593</v>
      </c>
      <c r="C3" s="1264" t="s">
        <v>523</v>
      </c>
      <c r="D3" s="1266" t="s">
        <v>42</v>
      </c>
      <c r="E3" s="1273" t="s">
        <v>946</v>
      </c>
      <c r="F3" s="1268" t="s">
        <v>594</v>
      </c>
      <c r="G3" s="1269"/>
      <c r="H3" s="1269"/>
      <c r="I3" s="1269"/>
      <c r="J3" s="1269"/>
      <c r="K3" s="1269"/>
      <c r="L3" s="1269"/>
      <c r="M3" s="1269"/>
      <c r="N3" s="1269"/>
      <c r="O3" s="1269"/>
      <c r="P3" s="1269"/>
      <c r="Q3" s="1269"/>
      <c r="R3" s="1269"/>
      <c r="S3" s="1269"/>
      <c r="T3" s="1270"/>
      <c r="U3" s="1271" t="s">
        <v>677</v>
      </c>
      <c r="V3" s="1257" t="s">
        <v>595</v>
      </c>
    </row>
    <row r="4" spans="1:22" s="803" customFormat="1" ht="24" customHeight="1" thickBot="1">
      <c r="A4" s="1261"/>
      <c r="B4" s="1263"/>
      <c r="C4" s="1265"/>
      <c r="D4" s="1267"/>
      <c r="E4" s="1274"/>
      <c r="F4" s="806" t="s">
        <v>596</v>
      </c>
      <c r="G4" s="807" t="s">
        <v>597</v>
      </c>
      <c r="H4" s="807" t="s">
        <v>598</v>
      </c>
      <c r="I4" s="807" t="s">
        <v>599</v>
      </c>
      <c r="J4" s="808" t="s">
        <v>600</v>
      </c>
      <c r="K4" s="807" t="s">
        <v>601</v>
      </c>
      <c r="L4" s="809" t="s">
        <v>602</v>
      </c>
      <c r="M4" s="810" t="s">
        <v>603</v>
      </c>
      <c r="N4" s="810" t="s">
        <v>604</v>
      </c>
      <c r="O4" s="810" t="s">
        <v>605</v>
      </c>
      <c r="P4" s="810" t="s">
        <v>606</v>
      </c>
      <c r="Q4" s="811" t="s">
        <v>607</v>
      </c>
      <c r="R4" s="812" t="s">
        <v>608</v>
      </c>
      <c r="S4" s="813" t="s">
        <v>609</v>
      </c>
      <c r="T4" s="814" t="s">
        <v>610</v>
      </c>
      <c r="U4" s="1272"/>
      <c r="V4" s="1258"/>
    </row>
    <row r="5" spans="1:22" ht="24" customHeight="1">
      <c r="A5" s="822">
        <v>1</v>
      </c>
      <c r="B5" s="969" t="s">
        <v>667</v>
      </c>
      <c r="C5" s="971" t="s">
        <v>613</v>
      </c>
      <c r="D5" s="946" t="s">
        <v>717</v>
      </c>
      <c r="E5" s="831"/>
      <c r="F5" s="829"/>
      <c r="G5" s="830"/>
      <c r="H5" s="830"/>
      <c r="I5" s="830"/>
      <c r="J5" s="831"/>
      <c r="K5" s="830"/>
      <c r="L5" s="831"/>
      <c r="M5" s="830"/>
      <c r="N5" s="830"/>
      <c r="O5" s="831"/>
      <c r="P5" s="830"/>
      <c r="Q5" s="832"/>
      <c r="R5" s="982">
        <f t="shared" ref="R5:R68" si="0">SUM(F5:Q5)</f>
        <v>0</v>
      </c>
      <c r="S5" s="833"/>
      <c r="T5" s="984">
        <f t="shared" ref="T5:T69" si="1">R5*S5</f>
        <v>0</v>
      </c>
      <c r="U5" s="846"/>
      <c r="V5" s="834" t="s">
        <v>670</v>
      </c>
    </row>
    <row r="6" spans="1:22" ht="24" customHeight="1">
      <c r="A6" s="836"/>
      <c r="B6" s="837" t="s">
        <v>614</v>
      </c>
      <c r="C6" s="838" t="s">
        <v>615</v>
      </c>
      <c r="D6" s="952"/>
      <c r="E6" s="831"/>
      <c r="F6" s="829"/>
      <c r="G6" s="830"/>
      <c r="H6" s="830"/>
      <c r="I6" s="830"/>
      <c r="J6" s="831"/>
      <c r="K6" s="830"/>
      <c r="L6" s="831"/>
      <c r="M6" s="830"/>
      <c r="N6" s="830"/>
      <c r="O6" s="831"/>
      <c r="P6" s="830"/>
      <c r="Q6" s="832"/>
      <c r="R6" s="982">
        <f t="shared" si="0"/>
        <v>0</v>
      </c>
      <c r="S6" s="833"/>
      <c r="T6" s="984">
        <f t="shared" si="1"/>
        <v>0</v>
      </c>
      <c r="U6" s="846"/>
      <c r="V6" s="834"/>
    </row>
    <row r="7" spans="1:22" ht="24" customHeight="1">
      <c r="A7" s="974"/>
      <c r="B7" s="827" t="s">
        <v>545</v>
      </c>
      <c r="C7" s="828" t="s">
        <v>612</v>
      </c>
      <c r="D7" s="947"/>
      <c r="E7" s="831"/>
      <c r="F7" s="829"/>
      <c r="G7" s="830"/>
      <c r="H7" s="830"/>
      <c r="I7" s="830"/>
      <c r="J7" s="830"/>
      <c r="K7" s="830"/>
      <c r="L7" s="831"/>
      <c r="M7" s="830"/>
      <c r="N7" s="830"/>
      <c r="O7" s="831"/>
      <c r="P7" s="830"/>
      <c r="Q7" s="832"/>
      <c r="R7" s="982">
        <f t="shared" si="0"/>
        <v>0</v>
      </c>
      <c r="S7" s="833"/>
      <c r="T7" s="984">
        <f t="shared" si="1"/>
        <v>0</v>
      </c>
      <c r="U7" s="846"/>
      <c r="V7" s="834"/>
    </row>
    <row r="8" spans="1:22" ht="24" customHeight="1">
      <c r="A8" s="822"/>
      <c r="B8" s="839"/>
      <c r="C8" s="828" t="s">
        <v>905</v>
      </c>
      <c r="D8" s="947"/>
      <c r="E8" s="831"/>
      <c r="F8" s="829"/>
      <c r="G8" s="830"/>
      <c r="H8" s="830"/>
      <c r="I8" s="830"/>
      <c r="J8" s="840"/>
      <c r="K8" s="840"/>
      <c r="L8" s="831"/>
      <c r="M8" s="830"/>
      <c r="N8" s="830"/>
      <c r="O8" s="831"/>
      <c r="P8" s="830"/>
      <c r="Q8" s="832"/>
      <c r="R8" s="982">
        <f t="shared" si="0"/>
        <v>0</v>
      </c>
      <c r="S8" s="833"/>
      <c r="T8" s="984">
        <f t="shared" si="1"/>
        <v>0</v>
      </c>
      <c r="U8" s="846"/>
      <c r="V8" s="834"/>
    </row>
    <row r="9" spans="1:22" ht="24" customHeight="1">
      <c r="A9" s="822"/>
      <c r="B9" s="948" t="s">
        <v>662</v>
      </c>
      <c r="C9" s="828" t="s">
        <v>795</v>
      </c>
      <c r="D9" s="947"/>
      <c r="E9" s="831"/>
      <c r="F9" s="829"/>
      <c r="G9" s="830"/>
      <c r="H9" s="830"/>
      <c r="I9" s="830"/>
      <c r="J9" s="840"/>
      <c r="K9" s="840"/>
      <c r="L9" s="831"/>
      <c r="M9" s="830"/>
      <c r="N9" s="830"/>
      <c r="O9" s="831"/>
      <c r="P9" s="830"/>
      <c r="Q9" s="832"/>
      <c r="R9" s="982">
        <f t="shared" si="0"/>
        <v>0</v>
      </c>
      <c r="S9" s="833"/>
      <c r="T9" s="984">
        <f t="shared" si="1"/>
        <v>0</v>
      </c>
      <c r="U9" s="846"/>
      <c r="V9" s="834"/>
    </row>
    <row r="10" spans="1:22" s="826" customFormat="1" ht="24" customHeight="1">
      <c r="A10" s="822">
        <v>2</v>
      </c>
      <c r="B10" s="969" t="s">
        <v>616</v>
      </c>
      <c r="C10" s="971" t="s">
        <v>617</v>
      </c>
      <c r="D10" s="946" t="s">
        <v>717</v>
      </c>
      <c r="E10" s="831"/>
      <c r="F10" s="841"/>
      <c r="G10" s="842"/>
      <c r="H10" s="842"/>
      <c r="I10" s="842"/>
      <c r="J10" s="842"/>
      <c r="K10" s="842"/>
      <c r="L10" s="843"/>
      <c r="M10" s="842"/>
      <c r="N10" s="842"/>
      <c r="O10" s="843"/>
      <c r="P10" s="842"/>
      <c r="Q10" s="844"/>
      <c r="R10" s="982">
        <f t="shared" si="0"/>
        <v>0</v>
      </c>
      <c r="S10" s="825"/>
      <c r="T10" s="984">
        <f t="shared" si="1"/>
        <v>0</v>
      </c>
      <c r="U10" s="960"/>
      <c r="V10" s="824"/>
    </row>
    <row r="11" spans="1:22" ht="24" customHeight="1">
      <c r="A11" s="822"/>
      <c r="B11" s="837" t="s">
        <v>938</v>
      </c>
      <c r="C11" s="828" t="s">
        <v>904</v>
      </c>
      <c r="D11" s="947"/>
      <c r="E11" s="831"/>
      <c r="F11" s="829"/>
      <c r="G11" s="830"/>
      <c r="H11" s="830"/>
      <c r="I11" s="830"/>
      <c r="J11" s="830"/>
      <c r="K11" s="830"/>
      <c r="L11" s="831"/>
      <c r="M11" s="830"/>
      <c r="N11" s="830"/>
      <c r="O11" s="831"/>
      <c r="P11" s="830"/>
      <c r="Q11" s="832"/>
      <c r="R11" s="982">
        <f t="shared" si="0"/>
        <v>0</v>
      </c>
      <c r="S11" s="833"/>
      <c r="T11" s="984">
        <f t="shared" si="1"/>
        <v>0</v>
      </c>
      <c r="U11" s="846"/>
      <c r="V11" s="834"/>
    </row>
    <row r="12" spans="1:22" ht="24" customHeight="1">
      <c r="A12" s="822"/>
      <c r="B12" s="837"/>
      <c r="C12" s="838" t="s">
        <v>615</v>
      </c>
      <c r="D12" s="947"/>
      <c r="E12" s="831"/>
      <c r="F12" s="829"/>
      <c r="G12" s="830"/>
      <c r="H12" s="830"/>
      <c r="I12" s="830"/>
      <c r="J12" s="830"/>
      <c r="K12" s="830"/>
      <c r="L12" s="831"/>
      <c r="M12" s="830"/>
      <c r="N12" s="830"/>
      <c r="O12" s="831"/>
      <c r="P12" s="830"/>
      <c r="Q12" s="832"/>
      <c r="R12" s="982">
        <f t="shared" si="0"/>
        <v>0</v>
      </c>
      <c r="S12" s="833"/>
      <c r="T12" s="984">
        <f t="shared" si="1"/>
        <v>0</v>
      </c>
      <c r="U12" s="846"/>
      <c r="V12" s="834"/>
    </row>
    <row r="13" spans="1:22" ht="24" customHeight="1">
      <c r="A13" s="822"/>
      <c r="B13" s="839"/>
      <c r="C13" s="838" t="s">
        <v>618</v>
      </c>
      <c r="D13" s="947"/>
      <c r="E13" s="831"/>
      <c r="F13" s="829"/>
      <c r="G13" s="830"/>
      <c r="H13" s="830"/>
      <c r="I13" s="830"/>
      <c r="J13" s="830"/>
      <c r="K13" s="830"/>
      <c r="L13" s="831"/>
      <c r="M13" s="830"/>
      <c r="N13" s="830"/>
      <c r="O13" s="831"/>
      <c r="P13" s="830"/>
      <c r="Q13" s="832"/>
      <c r="R13" s="982">
        <f t="shared" si="0"/>
        <v>0</v>
      </c>
      <c r="S13" s="833"/>
      <c r="T13" s="984">
        <f t="shared" si="1"/>
        <v>0</v>
      </c>
      <c r="U13" s="846"/>
      <c r="V13" s="834"/>
    </row>
    <row r="14" spans="1:22" ht="24" customHeight="1">
      <c r="A14" s="836"/>
      <c r="B14" s="845"/>
      <c r="C14" s="838"/>
      <c r="D14" s="953"/>
      <c r="E14" s="831"/>
      <c r="F14" s="829"/>
      <c r="G14" s="830"/>
      <c r="H14" s="830"/>
      <c r="I14" s="830"/>
      <c r="J14" s="830"/>
      <c r="K14" s="830"/>
      <c r="L14" s="831"/>
      <c r="M14" s="830"/>
      <c r="N14" s="830"/>
      <c r="O14" s="831"/>
      <c r="P14" s="830"/>
      <c r="Q14" s="832"/>
      <c r="R14" s="982">
        <f t="shared" si="0"/>
        <v>0</v>
      </c>
      <c r="S14" s="833"/>
      <c r="T14" s="984">
        <f t="shared" si="1"/>
        <v>0</v>
      </c>
      <c r="U14" s="846"/>
      <c r="V14" s="834"/>
    </row>
    <row r="15" spans="1:22" ht="24" customHeight="1">
      <c r="A15" s="836">
        <v>3</v>
      </c>
      <c r="B15" s="969" t="s">
        <v>620</v>
      </c>
      <c r="C15" s="970" t="s">
        <v>621</v>
      </c>
      <c r="D15" s="946" t="s">
        <v>663</v>
      </c>
      <c r="E15" s="831"/>
      <c r="F15" s="829"/>
      <c r="G15" s="830"/>
      <c r="H15" s="830"/>
      <c r="I15" s="830"/>
      <c r="J15" s="830"/>
      <c r="K15" s="830"/>
      <c r="L15" s="831"/>
      <c r="M15" s="830"/>
      <c r="N15" s="830"/>
      <c r="O15" s="831"/>
      <c r="P15" s="830"/>
      <c r="Q15" s="832"/>
      <c r="R15" s="982">
        <f t="shared" si="0"/>
        <v>0</v>
      </c>
      <c r="S15" s="833"/>
      <c r="T15" s="984">
        <f t="shared" si="1"/>
        <v>0</v>
      </c>
      <c r="U15" s="846"/>
      <c r="V15" s="834" t="s">
        <v>622</v>
      </c>
    </row>
    <row r="16" spans="1:22">
      <c r="A16" s="836"/>
      <c r="B16" s="837" t="s">
        <v>623</v>
      </c>
      <c r="C16" s="838" t="s">
        <v>687</v>
      </c>
      <c r="D16" s="954"/>
      <c r="E16" s="831"/>
      <c r="F16" s="829"/>
      <c r="G16" s="830"/>
      <c r="H16" s="830"/>
      <c r="I16" s="830"/>
      <c r="J16" s="830"/>
      <c r="K16" s="830"/>
      <c r="L16" s="831"/>
      <c r="M16" s="830"/>
      <c r="N16" s="830"/>
      <c r="O16" s="831"/>
      <c r="P16" s="830"/>
      <c r="Q16" s="832"/>
      <c r="R16" s="982">
        <f t="shared" si="0"/>
        <v>0</v>
      </c>
      <c r="S16" s="833"/>
      <c r="T16" s="984">
        <f t="shared" si="1"/>
        <v>0</v>
      </c>
      <c r="U16" s="846"/>
      <c r="V16" s="834"/>
    </row>
    <row r="17" spans="1:22">
      <c r="A17" s="836"/>
      <c r="B17" s="837" t="s">
        <v>624</v>
      </c>
      <c r="C17" s="838"/>
      <c r="D17" s="954"/>
      <c r="E17" s="831"/>
      <c r="F17" s="829"/>
      <c r="G17" s="830"/>
      <c r="H17" s="830"/>
      <c r="I17" s="830"/>
      <c r="J17" s="830"/>
      <c r="K17" s="830"/>
      <c r="L17" s="831"/>
      <c r="M17" s="830"/>
      <c r="N17" s="830"/>
      <c r="O17" s="831"/>
      <c r="P17" s="830"/>
      <c r="Q17" s="832"/>
      <c r="R17" s="982">
        <f t="shared" si="0"/>
        <v>0</v>
      </c>
      <c r="S17" s="833"/>
      <c r="T17" s="984">
        <f t="shared" si="1"/>
        <v>0</v>
      </c>
      <c r="U17" s="846"/>
      <c r="V17" s="834"/>
    </row>
    <row r="18" spans="1:22">
      <c r="A18" s="836"/>
      <c r="B18" s="837" t="s">
        <v>884</v>
      </c>
      <c r="C18" s="1057" t="s">
        <v>900</v>
      </c>
      <c r="D18" s="954"/>
      <c r="E18" s="831"/>
      <c r="F18" s="829"/>
      <c r="G18" s="830"/>
      <c r="H18" s="830"/>
      <c r="I18" s="830"/>
      <c r="J18" s="830"/>
      <c r="K18" s="830"/>
      <c r="L18" s="831"/>
      <c r="M18" s="830"/>
      <c r="N18" s="830"/>
      <c r="O18" s="831"/>
      <c r="P18" s="830"/>
      <c r="Q18" s="832"/>
      <c r="R18" s="982">
        <f t="shared" si="0"/>
        <v>0</v>
      </c>
      <c r="S18" s="833"/>
      <c r="T18" s="984">
        <f t="shared" si="1"/>
        <v>0</v>
      </c>
      <c r="U18" s="846"/>
      <c r="V18" s="834"/>
    </row>
    <row r="19" spans="1:22">
      <c r="A19" s="836">
        <v>4</v>
      </c>
      <c r="B19" s="969" t="s">
        <v>627</v>
      </c>
      <c r="C19" s="970" t="s">
        <v>628</v>
      </c>
      <c r="D19" s="947" t="s">
        <v>619</v>
      </c>
      <c r="E19" s="831"/>
      <c r="F19" s="829"/>
      <c r="G19" s="830"/>
      <c r="H19" s="830"/>
      <c r="I19" s="830"/>
      <c r="J19" s="830"/>
      <c r="K19" s="830"/>
      <c r="L19" s="831"/>
      <c r="M19" s="830"/>
      <c r="N19" s="830"/>
      <c r="O19" s="831"/>
      <c r="P19" s="830"/>
      <c r="Q19" s="832"/>
      <c r="R19" s="982">
        <f t="shared" si="0"/>
        <v>0</v>
      </c>
      <c r="S19" s="833"/>
      <c r="T19" s="984">
        <f t="shared" si="1"/>
        <v>0</v>
      </c>
      <c r="U19" s="846"/>
      <c r="V19" s="834"/>
    </row>
    <row r="20" spans="1:22">
      <c r="A20" s="836"/>
      <c r="B20" s="837"/>
      <c r="C20" s="838" t="s">
        <v>615</v>
      </c>
      <c r="D20" s="954"/>
      <c r="E20" s="831"/>
      <c r="F20" s="829"/>
      <c r="G20" s="830"/>
      <c r="H20" s="830"/>
      <c r="I20" s="830"/>
      <c r="J20" s="830"/>
      <c r="K20" s="830"/>
      <c r="L20" s="831"/>
      <c r="M20" s="830"/>
      <c r="N20" s="830"/>
      <c r="O20" s="831"/>
      <c r="P20" s="830"/>
      <c r="Q20" s="832"/>
      <c r="R20" s="982">
        <f t="shared" si="0"/>
        <v>0</v>
      </c>
      <c r="S20" s="833"/>
      <c r="T20" s="984">
        <f t="shared" si="1"/>
        <v>0</v>
      </c>
      <c r="U20" s="846"/>
      <c r="V20" s="834"/>
    </row>
    <row r="21" spans="1:22">
      <c r="A21" s="836"/>
      <c r="B21" s="837"/>
      <c r="C21" s="838"/>
      <c r="D21" s="954"/>
      <c r="E21" s="831"/>
      <c r="F21" s="829"/>
      <c r="G21" s="830"/>
      <c r="H21" s="830"/>
      <c r="I21" s="830"/>
      <c r="J21" s="830"/>
      <c r="K21" s="830"/>
      <c r="L21" s="831"/>
      <c r="M21" s="830"/>
      <c r="N21" s="830"/>
      <c r="O21" s="831"/>
      <c r="P21" s="830"/>
      <c r="Q21" s="832"/>
      <c r="R21" s="982">
        <f t="shared" si="0"/>
        <v>0</v>
      </c>
      <c r="S21" s="833"/>
      <c r="T21" s="984">
        <f t="shared" si="1"/>
        <v>0</v>
      </c>
      <c r="U21" s="846"/>
      <c r="V21" s="834"/>
    </row>
    <row r="22" spans="1:22">
      <c r="A22" s="836">
        <v>5</v>
      </c>
      <c r="B22" s="969" t="s">
        <v>629</v>
      </c>
      <c r="C22" s="970" t="s">
        <v>630</v>
      </c>
      <c r="D22" s="947" t="s">
        <v>619</v>
      </c>
      <c r="E22" s="831"/>
      <c r="F22" s="829"/>
      <c r="G22" s="830"/>
      <c r="H22" s="830"/>
      <c r="I22" s="830"/>
      <c r="J22" s="830"/>
      <c r="K22" s="830"/>
      <c r="L22" s="831"/>
      <c r="M22" s="830"/>
      <c r="N22" s="830"/>
      <c r="O22" s="831"/>
      <c r="P22" s="830"/>
      <c r="Q22" s="832"/>
      <c r="R22" s="982">
        <f t="shared" si="0"/>
        <v>0</v>
      </c>
      <c r="S22" s="833"/>
      <c r="T22" s="984">
        <f t="shared" si="1"/>
        <v>0</v>
      </c>
      <c r="U22" s="846"/>
      <c r="V22" s="834"/>
    </row>
    <row r="23" spans="1:22">
      <c r="A23" s="836"/>
      <c r="B23" s="837" t="s">
        <v>631</v>
      </c>
      <c r="C23" s="838" t="s">
        <v>615</v>
      </c>
      <c r="D23" s="954"/>
      <c r="E23" s="831"/>
      <c r="F23" s="829"/>
      <c r="G23" s="830"/>
      <c r="H23" s="830"/>
      <c r="I23" s="830"/>
      <c r="J23" s="830"/>
      <c r="K23" s="830"/>
      <c r="L23" s="831"/>
      <c r="M23" s="830"/>
      <c r="N23" s="830"/>
      <c r="O23" s="831"/>
      <c r="P23" s="830"/>
      <c r="Q23" s="832"/>
      <c r="R23" s="982">
        <f t="shared" si="0"/>
        <v>0</v>
      </c>
      <c r="S23" s="833"/>
      <c r="T23" s="984">
        <f t="shared" si="1"/>
        <v>0</v>
      </c>
      <c r="U23" s="846"/>
      <c r="V23" s="834"/>
    </row>
    <row r="24" spans="1:22">
      <c r="A24" s="836"/>
      <c r="B24" s="837"/>
      <c r="C24" s="838"/>
      <c r="D24" s="954"/>
      <c r="E24" s="831"/>
      <c r="F24" s="829"/>
      <c r="G24" s="830"/>
      <c r="H24" s="830"/>
      <c r="I24" s="830"/>
      <c r="J24" s="830"/>
      <c r="K24" s="830"/>
      <c r="L24" s="831"/>
      <c r="M24" s="830"/>
      <c r="N24" s="830"/>
      <c r="O24" s="831"/>
      <c r="P24" s="830"/>
      <c r="Q24" s="832"/>
      <c r="R24" s="982">
        <f t="shared" si="0"/>
        <v>0</v>
      </c>
      <c r="S24" s="833"/>
      <c r="T24" s="984">
        <f t="shared" si="1"/>
        <v>0</v>
      </c>
      <c r="U24" s="846"/>
      <c r="V24" s="834"/>
    </row>
    <row r="25" spans="1:22" ht="41.4">
      <c r="A25" s="1063">
        <v>6</v>
      </c>
      <c r="B25" s="977" t="s">
        <v>689</v>
      </c>
      <c r="C25" s="976" t="s">
        <v>715</v>
      </c>
      <c r="D25" s="947" t="s">
        <v>663</v>
      </c>
      <c r="E25" s="831"/>
      <c r="F25" s="829"/>
      <c r="G25" s="830"/>
      <c r="H25" s="830"/>
      <c r="I25" s="830"/>
      <c r="J25" s="830"/>
      <c r="K25" s="830"/>
      <c r="L25" s="831"/>
      <c r="M25" s="830"/>
      <c r="N25" s="830"/>
      <c r="O25" s="831"/>
      <c r="P25" s="830"/>
      <c r="Q25" s="832"/>
      <c r="R25" s="982">
        <f t="shared" si="0"/>
        <v>0</v>
      </c>
      <c r="S25" s="833"/>
      <c r="T25" s="984">
        <f t="shared" si="1"/>
        <v>0</v>
      </c>
      <c r="U25" s="962"/>
      <c r="V25" s="834"/>
    </row>
    <row r="26" spans="1:22">
      <c r="A26" s="836"/>
      <c r="B26" s="823" t="s">
        <v>940</v>
      </c>
      <c r="C26" s="838" t="s">
        <v>615</v>
      </c>
      <c r="D26" s="954"/>
      <c r="E26" s="831"/>
      <c r="F26" s="829"/>
      <c r="G26" s="830"/>
      <c r="H26" s="830"/>
      <c r="I26" s="830"/>
      <c r="J26" s="830"/>
      <c r="K26" s="830"/>
      <c r="L26" s="831"/>
      <c r="M26" s="830"/>
      <c r="N26" s="830"/>
      <c r="O26" s="831"/>
      <c r="P26" s="830"/>
      <c r="Q26" s="832"/>
      <c r="R26" s="982">
        <f t="shared" si="0"/>
        <v>0</v>
      </c>
      <c r="S26" s="833"/>
      <c r="T26" s="984">
        <f t="shared" si="1"/>
        <v>0</v>
      </c>
      <c r="U26" s="962">
        <v>9.8000000000000007</v>
      </c>
      <c r="V26" s="834" t="s">
        <v>921</v>
      </c>
    </row>
    <row r="27" spans="1:22">
      <c r="A27" s="836"/>
      <c r="B27" s="845" t="s">
        <v>939</v>
      </c>
      <c r="C27" s="847"/>
      <c r="D27" s="954"/>
      <c r="E27" s="831"/>
      <c r="F27" s="829"/>
      <c r="G27" s="830"/>
      <c r="H27" s="830"/>
      <c r="I27" s="830"/>
      <c r="J27" s="830"/>
      <c r="K27" s="830"/>
      <c r="L27" s="831"/>
      <c r="M27" s="830"/>
      <c r="N27" s="830"/>
      <c r="O27" s="831"/>
      <c r="P27" s="830"/>
      <c r="Q27" s="832"/>
      <c r="R27" s="982">
        <f t="shared" si="0"/>
        <v>0</v>
      </c>
      <c r="S27" s="833"/>
      <c r="T27" s="984">
        <f t="shared" si="1"/>
        <v>0</v>
      </c>
      <c r="U27" s="846"/>
      <c r="V27" s="834"/>
    </row>
    <row r="28" spans="1:22">
      <c r="A28" s="836"/>
      <c r="B28" s="964" t="s">
        <v>710</v>
      </c>
      <c r="C28" s="847"/>
      <c r="D28" s="954"/>
      <c r="E28" s="831"/>
      <c r="F28" s="829"/>
      <c r="G28" s="830"/>
      <c r="H28" s="830"/>
      <c r="I28" s="830"/>
      <c r="J28" s="830"/>
      <c r="K28" s="830"/>
      <c r="L28" s="831"/>
      <c r="M28" s="830"/>
      <c r="N28" s="830"/>
      <c r="O28" s="831"/>
      <c r="P28" s="830"/>
      <c r="Q28" s="832"/>
      <c r="R28" s="982">
        <f t="shared" si="0"/>
        <v>0</v>
      </c>
      <c r="S28" s="833"/>
      <c r="T28" s="984">
        <f t="shared" si="1"/>
        <v>0</v>
      </c>
      <c r="U28" s="846"/>
      <c r="V28" s="834"/>
    </row>
    <row r="29" spans="1:22">
      <c r="A29" s="836">
        <v>7</v>
      </c>
      <c r="B29" s="969" t="s">
        <v>625</v>
      </c>
      <c r="C29" s="970" t="s">
        <v>633</v>
      </c>
      <c r="D29" s="947" t="s">
        <v>717</v>
      </c>
      <c r="E29" s="831"/>
      <c r="F29" s="829"/>
      <c r="G29" s="830"/>
      <c r="H29" s="830"/>
      <c r="I29" s="830"/>
      <c r="J29" s="830"/>
      <c r="K29" s="830"/>
      <c r="L29" s="831"/>
      <c r="M29" s="830"/>
      <c r="N29" s="830"/>
      <c r="O29" s="831"/>
      <c r="P29" s="830"/>
      <c r="Q29" s="832"/>
      <c r="R29" s="982">
        <f t="shared" si="0"/>
        <v>0</v>
      </c>
      <c r="S29" s="833"/>
      <c r="T29" s="984">
        <f t="shared" si="1"/>
        <v>0</v>
      </c>
      <c r="U29" s="846"/>
      <c r="V29" s="834"/>
    </row>
    <row r="30" spans="1:22">
      <c r="A30" s="836"/>
      <c r="B30" s="837" t="s">
        <v>626</v>
      </c>
      <c r="C30" s="838" t="s">
        <v>615</v>
      </c>
      <c r="D30" s="954"/>
      <c r="E30" s="831"/>
      <c r="F30" s="829"/>
      <c r="G30" s="830"/>
      <c r="H30" s="830"/>
      <c r="I30" s="830"/>
      <c r="J30" s="830"/>
      <c r="K30" s="830"/>
      <c r="L30" s="831"/>
      <c r="M30" s="830"/>
      <c r="N30" s="830"/>
      <c r="O30" s="831"/>
      <c r="P30" s="830"/>
      <c r="Q30" s="832"/>
      <c r="R30" s="982">
        <f t="shared" si="0"/>
        <v>0</v>
      </c>
      <c r="S30" s="833"/>
      <c r="T30" s="984">
        <f t="shared" si="1"/>
        <v>0</v>
      </c>
      <c r="U30" s="846"/>
      <c r="V30" s="834"/>
    </row>
    <row r="31" spans="1:22">
      <c r="A31" s="836"/>
      <c r="B31" s="837" t="s">
        <v>634</v>
      </c>
      <c r="C31" s="838"/>
      <c r="D31" s="954"/>
      <c r="E31" s="831"/>
      <c r="F31" s="829"/>
      <c r="G31" s="830"/>
      <c r="H31" s="830"/>
      <c r="I31" s="830"/>
      <c r="J31" s="830"/>
      <c r="K31" s="830"/>
      <c r="L31" s="831"/>
      <c r="M31" s="830"/>
      <c r="N31" s="830"/>
      <c r="O31" s="831"/>
      <c r="P31" s="830"/>
      <c r="Q31" s="832"/>
      <c r="R31" s="982">
        <f t="shared" si="0"/>
        <v>0</v>
      </c>
      <c r="S31" s="833"/>
      <c r="T31" s="984">
        <f t="shared" si="1"/>
        <v>0</v>
      </c>
      <c r="U31" s="846"/>
      <c r="V31" s="834"/>
    </row>
    <row r="32" spans="1:22">
      <c r="A32" s="836"/>
      <c r="B32" s="948" t="s">
        <v>662</v>
      </c>
      <c r="C32" s="838"/>
      <c r="D32" s="954"/>
      <c r="E32" s="831"/>
      <c r="F32" s="829"/>
      <c r="G32" s="830"/>
      <c r="H32" s="830"/>
      <c r="I32" s="830"/>
      <c r="J32" s="830"/>
      <c r="K32" s="830"/>
      <c r="L32" s="831"/>
      <c r="M32" s="830"/>
      <c r="N32" s="830"/>
      <c r="O32" s="831"/>
      <c r="P32" s="830"/>
      <c r="Q32" s="832"/>
      <c r="R32" s="982">
        <f t="shared" si="0"/>
        <v>0</v>
      </c>
      <c r="S32" s="833"/>
      <c r="T32" s="984">
        <f t="shared" si="1"/>
        <v>0</v>
      </c>
      <c r="U32" s="846"/>
      <c r="V32" s="834"/>
    </row>
    <row r="33" spans="1:22">
      <c r="A33" s="836"/>
      <c r="B33" s="948"/>
      <c r="C33" s="838"/>
      <c r="D33" s="954"/>
      <c r="E33" s="831"/>
      <c r="F33" s="829"/>
      <c r="G33" s="830"/>
      <c r="H33" s="830"/>
      <c r="I33" s="830"/>
      <c r="J33" s="830"/>
      <c r="K33" s="830"/>
      <c r="L33" s="831"/>
      <c r="M33" s="830"/>
      <c r="N33" s="830"/>
      <c r="O33" s="831"/>
      <c r="P33" s="830"/>
      <c r="Q33" s="832"/>
      <c r="R33" s="982">
        <f t="shared" si="0"/>
        <v>0</v>
      </c>
      <c r="S33" s="833"/>
      <c r="T33" s="984">
        <f t="shared" si="1"/>
        <v>0</v>
      </c>
      <c r="U33" s="846"/>
      <c r="V33" s="834"/>
    </row>
    <row r="34" spans="1:22">
      <c r="A34" s="836">
        <v>8</v>
      </c>
      <c r="B34" s="969" t="s">
        <v>635</v>
      </c>
      <c r="C34" s="970" t="s">
        <v>636</v>
      </c>
      <c r="D34" s="947" t="s">
        <v>619</v>
      </c>
      <c r="E34" s="831"/>
      <c r="F34" s="829"/>
      <c r="G34" s="830"/>
      <c r="H34" s="830"/>
      <c r="I34" s="830"/>
      <c r="J34" s="830"/>
      <c r="K34" s="830"/>
      <c r="L34" s="831"/>
      <c r="M34" s="830"/>
      <c r="N34" s="830"/>
      <c r="O34" s="831"/>
      <c r="P34" s="830"/>
      <c r="Q34" s="832"/>
      <c r="R34" s="982">
        <f t="shared" si="0"/>
        <v>0</v>
      </c>
      <c r="S34" s="833"/>
      <c r="T34" s="984">
        <f t="shared" si="1"/>
        <v>0</v>
      </c>
      <c r="U34" s="962"/>
      <c r="V34" s="834"/>
    </row>
    <row r="35" spans="1:22">
      <c r="A35" s="836"/>
      <c r="B35" s="837" t="s">
        <v>641</v>
      </c>
      <c r="C35" s="838" t="s">
        <v>615</v>
      </c>
      <c r="D35" s="947"/>
      <c r="E35" s="831"/>
      <c r="F35" s="829"/>
      <c r="G35" s="830"/>
      <c r="H35" s="830"/>
      <c r="I35" s="830"/>
      <c r="J35" s="830"/>
      <c r="K35" s="830"/>
      <c r="L35" s="831"/>
      <c r="M35" s="830"/>
      <c r="N35" s="830"/>
      <c r="O35" s="831"/>
      <c r="P35" s="830"/>
      <c r="Q35" s="832"/>
      <c r="R35" s="982">
        <f t="shared" si="0"/>
        <v>0</v>
      </c>
      <c r="S35" s="833"/>
      <c r="T35" s="984">
        <f t="shared" si="1"/>
        <v>0</v>
      </c>
      <c r="U35" s="962">
        <v>1.5</v>
      </c>
      <c r="V35" s="834" t="s">
        <v>678</v>
      </c>
    </row>
    <row r="36" spans="1:22">
      <c r="A36" s="836"/>
      <c r="B36" s="869" t="s">
        <v>680</v>
      </c>
      <c r="C36" s="847"/>
      <c r="D36" s="954"/>
      <c r="E36" s="831"/>
      <c r="F36" s="829"/>
      <c r="G36" s="830"/>
      <c r="H36" s="830"/>
      <c r="I36" s="830"/>
      <c r="J36" s="830"/>
      <c r="K36" s="830"/>
      <c r="L36" s="831"/>
      <c r="M36" s="830"/>
      <c r="N36" s="830"/>
      <c r="O36" s="831"/>
      <c r="P36" s="830"/>
      <c r="Q36" s="832"/>
      <c r="R36" s="982">
        <f t="shared" si="0"/>
        <v>0</v>
      </c>
      <c r="S36" s="833"/>
      <c r="T36" s="984">
        <f t="shared" si="1"/>
        <v>0</v>
      </c>
      <c r="U36" s="846"/>
      <c r="V36" s="834"/>
    </row>
    <row r="37" spans="1:22">
      <c r="A37" s="836"/>
      <c r="B37" s="869"/>
      <c r="C37" s="847"/>
      <c r="D37" s="954"/>
      <c r="E37" s="831"/>
      <c r="F37" s="829"/>
      <c r="G37" s="830"/>
      <c r="H37" s="830"/>
      <c r="I37" s="830"/>
      <c r="J37" s="830"/>
      <c r="K37" s="830"/>
      <c r="L37" s="831"/>
      <c r="M37" s="830"/>
      <c r="N37" s="830"/>
      <c r="O37" s="831"/>
      <c r="P37" s="830"/>
      <c r="Q37" s="832"/>
      <c r="R37" s="982">
        <f t="shared" si="0"/>
        <v>0</v>
      </c>
      <c r="S37" s="833"/>
      <c r="T37" s="984">
        <f t="shared" si="1"/>
        <v>0</v>
      </c>
      <c r="U37" s="846"/>
      <c r="V37" s="834"/>
    </row>
    <row r="38" spans="1:22" hidden="1">
      <c r="A38" s="836">
        <v>9</v>
      </c>
      <c r="B38" s="969" t="s">
        <v>664</v>
      </c>
      <c r="C38" s="970" t="s">
        <v>665</v>
      </c>
      <c r="D38" s="947" t="s">
        <v>663</v>
      </c>
      <c r="E38" s="831"/>
      <c r="F38" s="829"/>
      <c r="G38" s="830"/>
      <c r="H38" s="830"/>
      <c r="I38" s="830"/>
      <c r="J38" s="830"/>
      <c r="K38" s="830"/>
      <c r="L38" s="831"/>
      <c r="M38" s="830"/>
      <c r="N38" s="830"/>
      <c r="O38" s="831"/>
      <c r="P38" s="830"/>
      <c r="Q38" s="832"/>
      <c r="R38" s="982">
        <f t="shared" si="0"/>
        <v>0</v>
      </c>
      <c r="S38" s="833"/>
      <c r="T38" s="984">
        <f t="shared" si="1"/>
        <v>0</v>
      </c>
      <c r="U38" s="846"/>
      <c r="V38" s="834"/>
    </row>
    <row r="39" spans="1:22" ht="22.8" hidden="1">
      <c r="A39" s="836"/>
      <c r="B39" s="837" t="s">
        <v>666</v>
      </c>
      <c r="C39" s="838" t="s">
        <v>615</v>
      </c>
      <c r="D39" s="954"/>
      <c r="E39" s="1068"/>
      <c r="F39" s="829"/>
      <c r="G39" s="830"/>
      <c r="H39" s="830"/>
      <c r="I39" s="830"/>
      <c r="J39" s="830"/>
      <c r="K39" s="830"/>
      <c r="L39" s="831"/>
      <c r="M39" s="830"/>
      <c r="N39" s="830"/>
      <c r="O39" s="831"/>
      <c r="P39" s="830"/>
      <c r="Q39" s="832"/>
      <c r="R39" s="982">
        <f t="shared" si="0"/>
        <v>0</v>
      </c>
      <c r="S39" s="833"/>
      <c r="T39" s="984">
        <f t="shared" si="1"/>
        <v>0</v>
      </c>
      <c r="U39" s="846"/>
      <c r="V39" s="834"/>
    </row>
    <row r="40" spans="1:22" ht="22.8" hidden="1">
      <c r="A40" s="836"/>
      <c r="B40" s="957"/>
      <c r="C40" s="838"/>
      <c r="D40" s="954"/>
      <c r="E40" s="1068"/>
      <c r="F40" s="829"/>
      <c r="G40" s="830"/>
      <c r="H40" s="830"/>
      <c r="I40" s="830"/>
      <c r="J40" s="830"/>
      <c r="K40" s="830"/>
      <c r="L40" s="831"/>
      <c r="M40" s="830"/>
      <c r="N40" s="830"/>
      <c r="O40" s="831"/>
      <c r="P40" s="830"/>
      <c r="Q40" s="832"/>
      <c r="R40" s="982">
        <f t="shared" si="0"/>
        <v>0</v>
      </c>
      <c r="S40" s="833"/>
      <c r="T40" s="984">
        <f t="shared" si="1"/>
        <v>0</v>
      </c>
      <c r="U40" s="846"/>
      <c r="V40" s="834"/>
    </row>
    <row r="41" spans="1:22" hidden="1">
      <c r="A41" s="836"/>
      <c r="B41" s="948"/>
      <c r="C41" s="847"/>
      <c r="D41" s="954"/>
      <c r="E41" s="831"/>
      <c r="F41" s="829"/>
      <c r="G41" s="830"/>
      <c r="H41" s="830"/>
      <c r="I41" s="830"/>
      <c r="J41" s="830"/>
      <c r="K41" s="830"/>
      <c r="L41" s="831"/>
      <c r="M41" s="830"/>
      <c r="N41" s="830"/>
      <c r="O41" s="831"/>
      <c r="P41" s="830"/>
      <c r="Q41" s="832"/>
      <c r="R41" s="982">
        <f t="shared" si="0"/>
        <v>0</v>
      </c>
      <c r="S41" s="833"/>
      <c r="T41" s="984">
        <f t="shared" si="1"/>
        <v>0</v>
      </c>
      <c r="U41" s="846"/>
      <c r="V41" s="834"/>
    </row>
    <row r="42" spans="1:22">
      <c r="A42" s="836">
        <v>10</v>
      </c>
      <c r="B42" s="969" t="s">
        <v>668</v>
      </c>
      <c r="C42" s="970" t="s">
        <v>669</v>
      </c>
      <c r="D42" s="947" t="s">
        <v>663</v>
      </c>
      <c r="E42" s="831"/>
      <c r="F42" s="829"/>
      <c r="G42" s="830"/>
      <c r="H42" s="830"/>
      <c r="I42" s="830"/>
      <c r="J42" s="830"/>
      <c r="K42" s="830"/>
      <c r="L42" s="831"/>
      <c r="M42" s="830"/>
      <c r="N42" s="830"/>
      <c r="O42" s="831"/>
      <c r="P42" s="830"/>
      <c r="Q42" s="832"/>
      <c r="R42" s="982">
        <f t="shared" si="0"/>
        <v>0</v>
      </c>
      <c r="S42" s="833"/>
      <c r="T42" s="984">
        <f t="shared" si="1"/>
        <v>0</v>
      </c>
      <c r="U42" s="846"/>
      <c r="V42" s="834"/>
    </row>
    <row r="43" spans="1:22">
      <c r="A43" s="836"/>
      <c r="B43" s="948" t="s">
        <v>662</v>
      </c>
      <c r="C43" s="838" t="s">
        <v>615</v>
      </c>
      <c r="D43" s="954"/>
      <c r="E43" s="831"/>
      <c r="F43" s="829"/>
      <c r="G43" s="830"/>
      <c r="H43" s="830"/>
      <c r="I43" s="830"/>
      <c r="J43" s="830"/>
      <c r="K43" s="830"/>
      <c r="L43" s="831"/>
      <c r="M43" s="830"/>
      <c r="N43" s="830"/>
      <c r="O43" s="831"/>
      <c r="P43" s="830"/>
      <c r="Q43" s="832"/>
      <c r="R43" s="982">
        <f t="shared" si="0"/>
        <v>0</v>
      </c>
      <c r="S43" s="833"/>
      <c r="T43" s="984">
        <f t="shared" si="1"/>
        <v>0</v>
      </c>
      <c r="U43" s="846"/>
      <c r="V43" s="834"/>
    </row>
    <row r="44" spans="1:22">
      <c r="A44" s="836"/>
      <c r="B44" s="948" t="s">
        <v>920</v>
      </c>
      <c r="C44" s="838"/>
      <c r="D44" s="954"/>
      <c r="E44" s="831"/>
      <c r="F44" s="829"/>
      <c r="G44" s="830"/>
      <c r="H44" s="830"/>
      <c r="I44" s="830"/>
      <c r="J44" s="830"/>
      <c r="K44" s="830"/>
      <c r="L44" s="831"/>
      <c r="M44" s="830"/>
      <c r="N44" s="830"/>
      <c r="O44" s="831"/>
      <c r="P44" s="830"/>
      <c r="Q44" s="832"/>
      <c r="R44" s="982">
        <f t="shared" si="0"/>
        <v>0</v>
      </c>
      <c r="S44" s="833"/>
      <c r="T44" s="984">
        <f t="shared" si="1"/>
        <v>0</v>
      </c>
      <c r="U44" s="846"/>
      <c r="V44" s="834"/>
    </row>
    <row r="45" spans="1:22">
      <c r="A45" s="836"/>
      <c r="B45" s="957" t="s">
        <v>928</v>
      </c>
      <c r="C45" s="847"/>
      <c r="D45" s="954"/>
      <c r="E45" s="831"/>
      <c r="F45" s="829"/>
      <c r="G45" s="830"/>
      <c r="H45" s="830"/>
      <c r="I45" s="830"/>
      <c r="J45" s="830"/>
      <c r="K45" s="830"/>
      <c r="L45" s="831"/>
      <c r="M45" s="830"/>
      <c r="N45" s="830"/>
      <c r="O45" s="831"/>
      <c r="P45" s="830"/>
      <c r="Q45" s="832"/>
      <c r="R45" s="982">
        <f t="shared" si="0"/>
        <v>0</v>
      </c>
      <c r="S45" s="833"/>
      <c r="T45" s="984">
        <f t="shared" si="1"/>
        <v>0</v>
      </c>
      <c r="U45" s="846"/>
      <c r="V45" s="834"/>
    </row>
    <row r="46" spans="1:22">
      <c r="A46" s="836">
        <v>11</v>
      </c>
      <c r="B46" s="969" t="s">
        <v>668</v>
      </c>
      <c r="C46" s="970" t="s">
        <v>947</v>
      </c>
      <c r="D46" s="947" t="s">
        <v>663</v>
      </c>
      <c r="E46" s="831"/>
      <c r="F46" s="829"/>
      <c r="G46" s="830"/>
      <c r="H46" s="830"/>
      <c r="I46" s="830"/>
      <c r="J46" s="830"/>
      <c r="K46" s="830"/>
      <c r="L46" s="831"/>
      <c r="M46" s="830"/>
      <c r="N46" s="830"/>
      <c r="O46" s="831"/>
      <c r="P46" s="830"/>
      <c r="Q46" s="832"/>
      <c r="R46" s="982">
        <f t="shared" si="0"/>
        <v>0</v>
      </c>
      <c r="S46" s="833"/>
      <c r="T46" s="984">
        <f t="shared" si="1"/>
        <v>0</v>
      </c>
      <c r="U46" s="846"/>
      <c r="V46" s="834" t="s">
        <v>675</v>
      </c>
    </row>
    <row r="47" spans="1:22">
      <c r="A47" s="836"/>
      <c r="B47" s="948" t="s">
        <v>662</v>
      </c>
      <c r="C47" s="838" t="s">
        <v>615</v>
      </c>
      <c r="D47" s="954"/>
      <c r="E47" s="831"/>
      <c r="F47" s="829"/>
      <c r="G47" s="830"/>
      <c r="H47" s="830"/>
      <c r="I47" s="830"/>
      <c r="J47" s="830"/>
      <c r="K47" s="830"/>
      <c r="L47" s="831"/>
      <c r="M47" s="830"/>
      <c r="N47" s="830"/>
      <c r="O47" s="831"/>
      <c r="P47" s="830"/>
      <c r="Q47" s="832"/>
      <c r="R47" s="982">
        <f t="shared" si="0"/>
        <v>0</v>
      </c>
      <c r="S47" s="833"/>
      <c r="T47" s="984">
        <f t="shared" si="1"/>
        <v>0</v>
      </c>
      <c r="U47" s="846"/>
      <c r="V47" s="834"/>
    </row>
    <row r="48" spans="1:22">
      <c r="A48" s="836"/>
      <c r="B48" s="837" t="s">
        <v>671</v>
      </c>
      <c r="C48" s="838" t="s">
        <v>688</v>
      </c>
      <c r="D48" s="954"/>
      <c r="E48" s="831"/>
      <c r="F48" s="829"/>
      <c r="G48" s="830"/>
      <c r="H48" s="830"/>
      <c r="I48" s="830"/>
      <c r="J48" s="830"/>
      <c r="K48" s="830"/>
      <c r="L48" s="831"/>
      <c r="M48" s="830"/>
      <c r="N48" s="830"/>
      <c r="O48" s="831"/>
      <c r="P48" s="830"/>
      <c r="Q48" s="832"/>
      <c r="R48" s="982">
        <f t="shared" si="0"/>
        <v>0</v>
      </c>
      <c r="S48" s="833"/>
      <c r="T48" s="984">
        <f t="shared" si="1"/>
        <v>0</v>
      </c>
      <c r="U48" s="846"/>
      <c r="V48" s="834"/>
    </row>
    <row r="49" spans="1:22">
      <c r="A49" s="836"/>
      <c r="B49" s="837" t="s">
        <v>672</v>
      </c>
      <c r="C49" s="847"/>
      <c r="D49" s="954"/>
      <c r="E49" s="831"/>
      <c r="F49" s="829"/>
      <c r="G49" s="830"/>
      <c r="H49" s="830"/>
      <c r="I49" s="830"/>
      <c r="J49" s="830"/>
      <c r="K49" s="830"/>
      <c r="L49" s="831"/>
      <c r="M49" s="830"/>
      <c r="N49" s="830"/>
      <c r="O49" s="831"/>
      <c r="P49" s="830"/>
      <c r="Q49" s="832"/>
      <c r="R49" s="982">
        <f t="shared" si="0"/>
        <v>0</v>
      </c>
      <c r="S49" s="833"/>
      <c r="T49" s="984">
        <f t="shared" si="1"/>
        <v>0</v>
      </c>
      <c r="U49" s="846"/>
      <c r="V49" s="834"/>
    </row>
    <row r="50" spans="1:22">
      <c r="A50" s="836"/>
      <c r="B50" s="837" t="s">
        <v>673</v>
      </c>
      <c r="C50" s="847"/>
      <c r="D50" s="954"/>
      <c r="E50" s="831"/>
      <c r="F50" s="829"/>
      <c r="G50" s="830"/>
      <c r="H50" s="830"/>
      <c r="I50" s="830"/>
      <c r="J50" s="830"/>
      <c r="K50" s="830"/>
      <c r="L50" s="831"/>
      <c r="M50" s="830"/>
      <c r="N50" s="830"/>
      <c r="O50" s="831"/>
      <c r="P50" s="830"/>
      <c r="Q50" s="832"/>
      <c r="R50" s="982">
        <f t="shared" si="0"/>
        <v>0</v>
      </c>
      <c r="S50" s="833"/>
      <c r="T50" s="984">
        <f t="shared" si="1"/>
        <v>0</v>
      </c>
      <c r="U50" s="846"/>
      <c r="V50" s="834"/>
    </row>
    <row r="51" spans="1:22">
      <c r="A51" s="836"/>
      <c r="B51" s="837" t="s">
        <v>674</v>
      </c>
      <c r="C51" s="847"/>
      <c r="D51" s="954"/>
      <c r="E51" s="831"/>
      <c r="F51" s="829"/>
      <c r="G51" s="830"/>
      <c r="H51" s="830"/>
      <c r="I51" s="830"/>
      <c r="J51" s="830"/>
      <c r="K51" s="830"/>
      <c r="L51" s="831"/>
      <c r="M51" s="830"/>
      <c r="N51" s="830"/>
      <c r="O51" s="831"/>
      <c r="P51" s="830"/>
      <c r="Q51" s="832"/>
      <c r="R51" s="982">
        <f t="shared" si="0"/>
        <v>0</v>
      </c>
      <c r="S51" s="833"/>
      <c r="T51" s="984">
        <f t="shared" si="1"/>
        <v>0</v>
      </c>
      <c r="U51" s="846"/>
      <c r="V51" s="834"/>
    </row>
    <row r="52" spans="1:22">
      <c r="A52" s="836"/>
      <c r="B52" s="837"/>
      <c r="C52" s="847"/>
      <c r="D52" s="954"/>
      <c r="E52" s="831"/>
      <c r="F52" s="829"/>
      <c r="G52" s="830"/>
      <c r="H52" s="830"/>
      <c r="I52" s="830"/>
      <c r="J52" s="830"/>
      <c r="K52" s="830"/>
      <c r="L52" s="831"/>
      <c r="M52" s="830"/>
      <c r="N52" s="830"/>
      <c r="O52" s="831"/>
      <c r="P52" s="830"/>
      <c r="Q52" s="832"/>
      <c r="R52" s="982">
        <f t="shared" si="0"/>
        <v>0</v>
      </c>
      <c r="S52" s="833"/>
      <c r="T52" s="984">
        <f t="shared" si="1"/>
        <v>0</v>
      </c>
      <c r="U52" s="846"/>
      <c r="V52" s="834"/>
    </row>
    <row r="53" spans="1:22" hidden="1">
      <c r="A53" s="836">
        <v>12</v>
      </c>
      <c r="B53" s="969" t="s">
        <v>668</v>
      </c>
      <c r="C53" s="970" t="s">
        <v>679</v>
      </c>
      <c r="D53" s="947" t="s">
        <v>663</v>
      </c>
      <c r="E53" s="831"/>
      <c r="F53" s="829"/>
      <c r="G53" s="830"/>
      <c r="H53" s="830"/>
      <c r="I53" s="830"/>
      <c r="J53" s="830"/>
      <c r="K53" s="830"/>
      <c r="L53" s="831"/>
      <c r="M53" s="830"/>
      <c r="N53" s="830"/>
      <c r="O53" s="831"/>
      <c r="P53" s="830"/>
      <c r="Q53" s="832"/>
      <c r="R53" s="982">
        <f t="shared" si="0"/>
        <v>0</v>
      </c>
      <c r="S53" s="833"/>
      <c r="T53" s="984">
        <f t="shared" si="1"/>
        <v>0</v>
      </c>
      <c r="U53" s="846"/>
      <c r="V53" s="834"/>
    </row>
    <row r="54" spans="1:22" hidden="1">
      <c r="A54" s="836"/>
      <c r="B54" s="823" t="s">
        <v>690</v>
      </c>
      <c r="C54" s="838" t="s">
        <v>615</v>
      </c>
      <c r="D54" s="947"/>
      <c r="E54" s="831"/>
      <c r="F54" s="829"/>
      <c r="G54" s="830"/>
      <c r="H54" s="830"/>
      <c r="I54" s="830"/>
      <c r="J54" s="830"/>
      <c r="K54" s="830"/>
      <c r="L54" s="831"/>
      <c r="M54" s="830"/>
      <c r="N54" s="830"/>
      <c r="O54" s="831"/>
      <c r="P54" s="830"/>
      <c r="Q54" s="832"/>
      <c r="R54" s="982">
        <f t="shared" si="0"/>
        <v>0</v>
      </c>
      <c r="S54" s="833"/>
      <c r="T54" s="984">
        <f t="shared" si="1"/>
        <v>0</v>
      </c>
      <c r="U54" s="846"/>
      <c r="V54" s="834"/>
    </row>
    <row r="55" spans="1:22" hidden="1">
      <c r="A55" s="836"/>
      <c r="B55" s="978" t="s">
        <v>796</v>
      </c>
      <c r="C55" s="838"/>
      <c r="D55" s="954"/>
      <c r="E55" s="831"/>
      <c r="F55" s="829"/>
      <c r="G55" s="830"/>
      <c r="H55" s="830"/>
      <c r="I55" s="830"/>
      <c r="J55" s="830"/>
      <c r="K55" s="830"/>
      <c r="L55" s="831"/>
      <c r="M55" s="830"/>
      <c r="N55" s="830"/>
      <c r="O55" s="831"/>
      <c r="P55" s="830"/>
      <c r="Q55" s="832"/>
      <c r="R55" s="982">
        <f t="shared" si="0"/>
        <v>0</v>
      </c>
      <c r="S55" s="833"/>
      <c r="T55" s="984">
        <f t="shared" si="1"/>
        <v>0</v>
      </c>
      <c r="U55" s="846"/>
      <c r="V55" s="834"/>
    </row>
    <row r="56" spans="1:22" hidden="1">
      <c r="A56" s="836"/>
      <c r="B56" s="948"/>
      <c r="C56" s="847"/>
      <c r="D56" s="954"/>
      <c r="E56" s="831"/>
      <c r="F56" s="829"/>
      <c r="G56" s="830"/>
      <c r="H56" s="830"/>
      <c r="I56" s="830"/>
      <c r="J56" s="830"/>
      <c r="K56" s="830"/>
      <c r="L56" s="831"/>
      <c r="M56" s="830"/>
      <c r="N56" s="830"/>
      <c r="O56" s="831"/>
      <c r="P56" s="830"/>
      <c r="Q56" s="832"/>
      <c r="R56" s="982">
        <f t="shared" si="0"/>
        <v>0</v>
      </c>
      <c r="S56" s="833"/>
      <c r="T56" s="984">
        <f t="shared" si="1"/>
        <v>0</v>
      </c>
      <c r="U56" s="846"/>
      <c r="V56" s="834"/>
    </row>
    <row r="57" spans="1:22">
      <c r="A57" s="836">
        <v>13</v>
      </c>
      <c r="B57" s="969" t="s">
        <v>635</v>
      </c>
      <c r="C57" s="970" t="s">
        <v>683</v>
      </c>
      <c r="D57" s="947" t="s">
        <v>619</v>
      </c>
      <c r="E57" s="831"/>
      <c r="F57" s="829"/>
      <c r="G57" s="830"/>
      <c r="H57" s="830"/>
      <c r="I57" s="830"/>
      <c r="J57" s="830"/>
      <c r="K57" s="830"/>
      <c r="L57" s="831"/>
      <c r="M57" s="830"/>
      <c r="N57" s="830"/>
      <c r="O57" s="831"/>
      <c r="P57" s="830"/>
      <c r="Q57" s="832"/>
      <c r="R57" s="982">
        <f t="shared" si="0"/>
        <v>0</v>
      </c>
      <c r="S57" s="833"/>
      <c r="T57" s="984">
        <f t="shared" si="1"/>
        <v>0</v>
      </c>
      <c r="U57" s="846"/>
      <c r="V57" s="834"/>
    </row>
    <row r="58" spans="1:22">
      <c r="A58" s="836"/>
      <c r="B58" s="837" t="s">
        <v>682</v>
      </c>
      <c r="C58" s="838" t="s">
        <v>615</v>
      </c>
      <c r="D58" s="947"/>
      <c r="E58" s="831"/>
      <c r="F58" s="829"/>
      <c r="G58" s="830"/>
      <c r="H58" s="830"/>
      <c r="I58" s="830"/>
      <c r="J58" s="830"/>
      <c r="K58" s="830"/>
      <c r="L58" s="831"/>
      <c r="M58" s="830"/>
      <c r="N58" s="830"/>
      <c r="O58" s="831"/>
      <c r="P58" s="830"/>
      <c r="Q58" s="832"/>
      <c r="R58" s="982">
        <f t="shared" si="0"/>
        <v>0</v>
      </c>
      <c r="S58" s="833"/>
      <c r="T58" s="984">
        <f t="shared" si="1"/>
        <v>0</v>
      </c>
      <c r="U58" s="832">
        <v>1.2</v>
      </c>
      <c r="V58" s="834" t="s">
        <v>797</v>
      </c>
    </row>
    <row r="59" spans="1:22">
      <c r="A59" s="836"/>
      <c r="B59" s="869"/>
      <c r="C59" s="838"/>
      <c r="D59" s="954"/>
      <c r="E59" s="831"/>
      <c r="F59" s="829"/>
      <c r="G59" s="830"/>
      <c r="H59" s="830"/>
      <c r="I59" s="830"/>
      <c r="J59" s="830"/>
      <c r="K59" s="830"/>
      <c r="L59" s="831"/>
      <c r="M59" s="830"/>
      <c r="N59" s="830"/>
      <c r="O59" s="831"/>
      <c r="P59" s="830"/>
      <c r="Q59" s="832"/>
      <c r="R59" s="982">
        <f t="shared" si="0"/>
        <v>0</v>
      </c>
      <c r="S59" s="833"/>
      <c r="T59" s="984">
        <f t="shared" si="1"/>
        <v>0</v>
      </c>
      <c r="U59" s="846"/>
      <c r="V59" s="834"/>
    </row>
    <row r="60" spans="1:22">
      <c r="A60" s="836"/>
      <c r="B60" s="837"/>
      <c r="C60" s="847"/>
      <c r="D60" s="954"/>
      <c r="E60" s="831"/>
      <c r="F60" s="829"/>
      <c r="G60" s="830"/>
      <c r="H60" s="830"/>
      <c r="I60" s="830"/>
      <c r="J60" s="830"/>
      <c r="K60" s="830"/>
      <c r="L60" s="831"/>
      <c r="M60" s="830"/>
      <c r="N60" s="830"/>
      <c r="O60" s="831"/>
      <c r="P60" s="830"/>
      <c r="Q60" s="832"/>
      <c r="R60" s="982">
        <f t="shared" si="0"/>
        <v>0</v>
      </c>
      <c r="S60" s="833"/>
      <c r="T60" s="984">
        <f t="shared" si="1"/>
        <v>0</v>
      </c>
      <c r="U60" s="846"/>
      <c r="V60" s="834"/>
    </row>
    <row r="61" spans="1:22">
      <c r="A61" s="836"/>
      <c r="B61" s="869" t="s">
        <v>681</v>
      </c>
      <c r="C61" s="847"/>
      <c r="D61" s="954"/>
      <c r="E61" s="831"/>
      <c r="F61" s="829"/>
      <c r="G61" s="830"/>
      <c r="H61" s="830"/>
      <c r="I61" s="830"/>
      <c r="J61" s="830"/>
      <c r="K61" s="830"/>
      <c r="L61" s="831"/>
      <c r="M61" s="830"/>
      <c r="N61" s="830"/>
      <c r="O61" s="831"/>
      <c r="P61" s="830"/>
      <c r="Q61" s="832"/>
      <c r="R61" s="982">
        <f t="shared" si="0"/>
        <v>0</v>
      </c>
      <c r="S61" s="833"/>
      <c r="T61" s="984">
        <f t="shared" si="1"/>
        <v>0</v>
      </c>
      <c r="U61" s="846"/>
      <c r="V61" s="834"/>
    </row>
    <row r="62" spans="1:22">
      <c r="A62" s="836"/>
      <c r="B62" s="869"/>
      <c r="C62" s="847"/>
      <c r="D62" s="954"/>
      <c r="E62" s="831"/>
      <c r="F62" s="829"/>
      <c r="G62" s="830"/>
      <c r="H62" s="830"/>
      <c r="I62" s="830"/>
      <c r="J62" s="830"/>
      <c r="K62" s="830"/>
      <c r="L62" s="831"/>
      <c r="M62" s="830"/>
      <c r="N62" s="830"/>
      <c r="O62" s="831"/>
      <c r="P62" s="830"/>
      <c r="Q62" s="832"/>
      <c r="R62" s="982">
        <f t="shared" si="0"/>
        <v>0</v>
      </c>
      <c r="S62" s="833"/>
      <c r="T62" s="984">
        <f t="shared" si="1"/>
        <v>0</v>
      </c>
      <c r="U62" s="846"/>
      <c r="V62" s="834"/>
    </row>
    <row r="63" spans="1:22" hidden="1">
      <c r="A63" s="836">
        <v>14</v>
      </c>
      <c r="B63" s="972" t="s">
        <v>684</v>
      </c>
      <c r="C63" s="970" t="s">
        <v>685</v>
      </c>
      <c r="D63" s="947" t="s">
        <v>663</v>
      </c>
      <c r="E63" s="831"/>
      <c r="F63" s="829"/>
      <c r="G63" s="830"/>
      <c r="H63" s="830"/>
      <c r="I63" s="830"/>
      <c r="J63" s="830"/>
      <c r="K63" s="830"/>
      <c r="L63" s="831"/>
      <c r="M63" s="830"/>
      <c r="N63" s="830"/>
      <c r="O63" s="831"/>
      <c r="P63" s="830"/>
      <c r="Q63" s="832"/>
      <c r="R63" s="982">
        <f t="shared" si="0"/>
        <v>0</v>
      </c>
      <c r="S63" s="833"/>
      <c r="T63" s="984">
        <f t="shared" si="1"/>
        <v>0</v>
      </c>
      <c r="U63" s="846"/>
      <c r="V63" s="834"/>
    </row>
    <row r="64" spans="1:22" hidden="1">
      <c r="A64" s="836"/>
      <c r="B64" s="845" t="s">
        <v>686</v>
      </c>
      <c r="C64" s="838" t="s">
        <v>615</v>
      </c>
      <c r="D64" s="954"/>
      <c r="E64" s="831"/>
      <c r="F64" s="829"/>
      <c r="G64" s="830"/>
      <c r="H64" s="830"/>
      <c r="I64" s="830"/>
      <c r="J64" s="830"/>
      <c r="K64" s="830"/>
      <c r="L64" s="831">
        <v>1.3320000000000001</v>
      </c>
      <c r="M64" s="830">
        <v>2.2200000000000002</v>
      </c>
      <c r="N64" s="830"/>
      <c r="O64" s="831"/>
      <c r="P64" s="830"/>
      <c r="Q64" s="832"/>
      <c r="R64" s="982">
        <f t="shared" si="0"/>
        <v>3.5520000000000005</v>
      </c>
      <c r="S64" s="833">
        <v>0.5</v>
      </c>
      <c r="T64" s="984">
        <f t="shared" si="1"/>
        <v>1.7760000000000002</v>
      </c>
      <c r="U64" s="846"/>
      <c r="V64" s="834"/>
    </row>
    <row r="65" spans="1:22" ht="42" hidden="1">
      <c r="A65" s="836"/>
      <c r="B65" s="963" t="s">
        <v>691</v>
      </c>
      <c r="C65" s="838"/>
      <c r="D65" s="954"/>
      <c r="E65" s="831"/>
      <c r="F65" s="829"/>
      <c r="G65" s="830"/>
      <c r="H65" s="830"/>
      <c r="I65" s="830"/>
      <c r="J65" s="830"/>
      <c r="K65" s="830"/>
      <c r="L65" s="831"/>
      <c r="M65" s="830"/>
      <c r="N65" s="830"/>
      <c r="O65" s="831"/>
      <c r="P65" s="830"/>
      <c r="Q65" s="832"/>
      <c r="R65" s="982">
        <f t="shared" si="0"/>
        <v>0</v>
      </c>
      <c r="S65" s="833"/>
      <c r="T65" s="984">
        <f t="shared" si="1"/>
        <v>0</v>
      </c>
      <c r="U65" s="846"/>
      <c r="V65" s="834"/>
    </row>
    <row r="66" spans="1:22" hidden="1">
      <c r="A66" s="836"/>
      <c r="B66" s="948" t="s">
        <v>733</v>
      </c>
      <c r="C66" s="847"/>
      <c r="D66" s="954"/>
      <c r="E66" s="831"/>
      <c r="F66" s="829"/>
      <c r="G66" s="830"/>
      <c r="H66" s="830"/>
      <c r="I66" s="830"/>
      <c r="J66" s="830"/>
      <c r="K66" s="830"/>
      <c r="L66" s="831"/>
      <c r="M66" s="830"/>
      <c r="N66" s="830"/>
      <c r="O66" s="831"/>
      <c r="P66" s="830"/>
      <c r="Q66" s="832"/>
      <c r="R66" s="982">
        <f t="shared" si="0"/>
        <v>0</v>
      </c>
      <c r="S66" s="833"/>
      <c r="T66" s="984">
        <f t="shared" si="1"/>
        <v>0</v>
      </c>
      <c r="U66" s="846"/>
      <c r="V66" s="834"/>
    </row>
    <row r="67" spans="1:22">
      <c r="A67" s="836">
        <v>15</v>
      </c>
      <c r="B67" s="969" t="s">
        <v>716</v>
      </c>
      <c r="C67" s="970" t="s">
        <v>692</v>
      </c>
      <c r="D67" s="947" t="s">
        <v>663</v>
      </c>
      <c r="E67" s="831"/>
      <c r="F67" s="829"/>
      <c r="G67" s="830"/>
      <c r="H67" s="830"/>
      <c r="I67" s="830"/>
      <c r="J67" s="830"/>
      <c r="K67" s="830"/>
      <c r="L67" s="831"/>
      <c r="M67" s="830"/>
      <c r="N67" s="830"/>
      <c r="O67" s="831"/>
      <c r="P67" s="830"/>
      <c r="Q67" s="832"/>
      <c r="R67" s="982">
        <f t="shared" si="0"/>
        <v>0</v>
      </c>
      <c r="S67" s="833"/>
      <c r="T67" s="984">
        <f t="shared" si="1"/>
        <v>0</v>
      </c>
      <c r="U67" s="846"/>
      <c r="V67" s="834"/>
    </row>
    <row r="68" spans="1:22">
      <c r="A68" s="836"/>
      <c r="B68" s="837" t="s">
        <v>901</v>
      </c>
      <c r="C68" s="838" t="s">
        <v>615</v>
      </c>
      <c r="D68" s="954"/>
      <c r="E68" s="831"/>
      <c r="F68" s="829"/>
      <c r="G68" s="830"/>
      <c r="H68" s="830"/>
      <c r="I68" s="830"/>
      <c r="J68" s="830"/>
      <c r="K68" s="830"/>
      <c r="L68" s="831"/>
      <c r="M68" s="830"/>
      <c r="N68" s="830"/>
      <c r="O68" s="831"/>
      <c r="P68" s="830"/>
      <c r="Q68" s="832"/>
      <c r="R68" s="982">
        <f t="shared" si="0"/>
        <v>0</v>
      </c>
      <c r="S68" s="833"/>
      <c r="T68" s="984">
        <f t="shared" si="1"/>
        <v>0</v>
      </c>
      <c r="U68" s="982">
        <v>26</v>
      </c>
      <c r="V68" s="1064"/>
    </row>
    <row r="69" spans="1:22">
      <c r="A69" s="836"/>
      <c r="B69" s="1058" t="s">
        <v>902</v>
      </c>
      <c r="C69" s="838"/>
      <c r="D69" s="954"/>
      <c r="E69" s="831"/>
      <c r="F69" s="829"/>
      <c r="G69" s="830"/>
      <c r="H69" s="830"/>
      <c r="I69" s="830"/>
      <c r="J69" s="830"/>
      <c r="K69" s="830"/>
      <c r="L69" s="831"/>
      <c r="M69" s="830"/>
      <c r="N69" s="830"/>
      <c r="O69" s="831"/>
      <c r="P69" s="830"/>
      <c r="Q69" s="832"/>
      <c r="R69" s="982">
        <f t="shared" ref="R69:R132" si="2">SUM(F69:Q69)</f>
        <v>0</v>
      </c>
      <c r="S69" s="833"/>
      <c r="T69" s="984">
        <f t="shared" si="1"/>
        <v>0</v>
      </c>
      <c r="U69" s="846"/>
      <c r="V69" s="834"/>
    </row>
    <row r="70" spans="1:22">
      <c r="A70" s="836"/>
      <c r="B70" s="948" t="s">
        <v>936</v>
      </c>
      <c r="C70" s="838"/>
      <c r="D70" s="954"/>
      <c r="E70" s="831"/>
      <c r="F70" s="829"/>
      <c r="G70" s="830"/>
      <c r="H70" s="830"/>
      <c r="I70" s="830"/>
      <c r="J70" s="830"/>
      <c r="K70" s="830"/>
      <c r="L70" s="831"/>
      <c r="M70" s="830"/>
      <c r="N70" s="830"/>
      <c r="O70" s="831"/>
      <c r="P70" s="830"/>
      <c r="Q70" s="832"/>
      <c r="R70" s="982">
        <f t="shared" si="2"/>
        <v>0</v>
      </c>
      <c r="S70" s="833"/>
      <c r="T70" s="984">
        <f t="shared" ref="T70:T134" si="3">R70*S70</f>
        <v>0</v>
      </c>
      <c r="U70" s="846"/>
      <c r="V70" s="834"/>
    </row>
    <row r="71" spans="1:22">
      <c r="A71" s="836"/>
      <c r="B71" s="964"/>
      <c r="C71" s="838"/>
      <c r="D71" s="954"/>
      <c r="E71" s="831"/>
      <c r="F71" s="829"/>
      <c r="G71" s="830"/>
      <c r="H71" s="830"/>
      <c r="I71" s="830"/>
      <c r="J71" s="830"/>
      <c r="K71" s="830"/>
      <c r="L71" s="831"/>
      <c r="M71" s="830"/>
      <c r="N71" s="830"/>
      <c r="O71" s="831"/>
      <c r="P71" s="830"/>
      <c r="Q71" s="832"/>
      <c r="R71" s="982">
        <f t="shared" si="2"/>
        <v>0</v>
      </c>
      <c r="S71" s="833"/>
      <c r="T71" s="984">
        <f t="shared" si="3"/>
        <v>0</v>
      </c>
      <c r="U71" s="846"/>
      <c r="V71" s="834"/>
    </row>
    <row r="72" spans="1:22">
      <c r="A72" s="836"/>
      <c r="B72" s="957"/>
      <c r="C72" s="838"/>
      <c r="D72" s="954"/>
      <c r="E72" s="831"/>
      <c r="F72" s="829"/>
      <c r="G72" s="830"/>
      <c r="H72" s="830"/>
      <c r="I72" s="830"/>
      <c r="J72" s="830"/>
      <c r="K72" s="830"/>
      <c r="L72" s="831"/>
      <c r="M72" s="830"/>
      <c r="N72" s="830"/>
      <c r="O72" s="831"/>
      <c r="P72" s="830"/>
      <c r="Q72" s="832"/>
      <c r="R72" s="982">
        <f t="shared" si="2"/>
        <v>0</v>
      </c>
      <c r="S72" s="833"/>
      <c r="T72" s="984">
        <f t="shared" si="3"/>
        <v>0</v>
      </c>
      <c r="U72" s="846"/>
      <c r="V72" s="834"/>
    </row>
    <row r="73" spans="1:22">
      <c r="A73" s="836">
        <v>16</v>
      </c>
      <c r="B73" s="969" t="s">
        <v>693</v>
      </c>
      <c r="C73" s="970" t="s">
        <v>694</v>
      </c>
      <c r="D73" s="947" t="s">
        <v>663</v>
      </c>
      <c r="E73" s="831"/>
      <c r="F73" s="829"/>
      <c r="G73" s="830"/>
      <c r="H73" s="830"/>
      <c r="I73" s="830"/>
      <c r="J73" s="830"/>
      <c r="K73" s="830"/>
      <c r="L73" s="831"/>
      <c r="M73" s="830"/>
      <c r="N73" s="830"/>
      <c r="O73" s="831"/>
      <c r="P73" s="830"/>
      <c r="Q73" s="832"/>
      <c r="R73" s="982">
        <f t="shared" si="2"/>
        <v>0</v>
      </c>
      <c r="S73" s="833"/>
      <c r="T73" s="984">
        <f t="shared" si="3"/>
        <v>0</v>
      </c>
      <c r="U73" s="846"/>
      <c r="V73" s="834"/>
    </row>
    <row r="74" spans="1:22">
      <c r="A74" s="836"/>
      <c r="B74" s="964" t="s">
        <v>892</v>
      </c>
      <c r="C74" s="838" t="s">
        <v>615</v>
      </c>
      <c r="D74" s="954"/>
      <c r="E74" s="831"/>
      <c r="F74" s="829"/>
      <c r="G74" s="830"/>
      <c r="H74" s="830"/>
      <c r="I74" s="830"/>
      <c r="J74" s="830"/>
      <c r="K74" s="830"/>
      <c r="L74" s="831"/>
      <c r="M74" s="830"/>
      <c r="N74" s="830"/>
      <c r="O74" s="831"/>
      <c r="P74" s="830"/>
      <c r="Q74" s="832"/>
      <c r="R74" s="982"/>
      <c r="S74" s="833"/>
      <c r="T74" s="984"/>
      <c r="U74" s="830">
        <v>0.7</v>
      </c>
      <c r="V74" s="834" t="s">
        <v>898</v>
      </c>
    </row>
    <row r="75" spans="1:22">
      <c r="A75" s="836"/>
      <c r="B75" s="964" t="s">
        <v>893</v>
      </c>
      <c r="C75" s="838"/>
      <c r="D75" s="954"/>
      <c r="E75" s="831"/>
      <c r="F75" s="829"/>
      <c r="G75" s="830"/>
      <c r="H75" s="830"/>
      <c r="I75" s="830"/>
      <c r="J75" s="830"/>
      <c r="K75" s="830"/>
      <c r="L75" s="831"/>
      <c r="M75" s="830"/>
      <c r="N75" s="830"/>
      <c r="O75" s="831"/>
      <c r="P75" s="830"/>
      <c r="Q75" s="832"/>
      <c r="R75" s="982">
        <f t="shared" si="2"/>
        <v>0</v>
      </c>
      <c r="S75" s="833"/>
      <c r="T75" s="984"/>
      <c r="U75" s="846"/>
      <c r="V75" s="834"/>
    </row>
    <row r="76" spans="1:22">
      <c r="A76" s="836"/>
      <c r="B76" s="964" t="s">
        <v>894</v>
      </c>
      <c r="C76" s="838"/>
      <c r="D76" s="954"/>
      <c r="E76" s="831"/>
      <c r="F76" s="829"/>
      <c r="G76" s="830"/>
      <c r="H76" s="830"/>
      <c r="I76" s="830"/>
      <c r="J76" s="830"/>
      <c r="K76" s="830"/>
      <c r="L76" s="831"/>
      <c r="M76" s="830"/>
      <c r="N76" s="830"/>
      <c r="O76" s="831"/>
      <c r="P76" s="830"/>
      <c r="Q76" s="832"/>
      <c r="R76" s="982">
        <f t="shared" si="2"/>
        <v>0</v>
      </c>
      <c r="S76" s="833"/>
      <c r="T76" s="984"/>
      <c r="U76" s="846"/>
      <c r="V76" s="834"/>
    </row>
    <row r="77" spans="1:22">
      <c r="A77" s="836"/>
      <c r="B77" s="964" t="s">
        <v>895</v>
      </c>
      <c r="C77" s="838"/>
      <c r="D77" s="954"/>
      <c r="E77" s="831"/>
      <c r="F77" s="829"/>
      <c r="G77" s="830"/>
      <c r="H77" s="830"/>
      <c r="I77" s="830"/>
      <c r="J77" s="830"/>
      <c r="K77" s="830"/>
      <c r="L77" s="831"/>
      <c r="M77" s="830"/>
      <c r="N77" s="830"/>
      <c r="O77" s="831"/>
      <c r="P77" s="830"/>
      <c r="Q77" s="832"/>
      <c r="R77" s="982">
        <f t="shared" si="2"/>
        <v>0</v>
      </c>
      <c r="S77" s="833"/>
      <c r="T77" s="984"/>
      <c r="U77" s="846"/>
      <c r="V77" s="834"/>
    </row>
    <row r="78" spans="1:22">
      <c r="A78" s="836"/>
      <c r="B78" s="964" t="s">
        <v>896</v>
      </c>
      <c r="C78" s="838"/>
      <c r="D78" s="954"/>
      <c r="E78" s="831"/>
      <c r="F78" s="829"/>
      <c r="G78" s="830"/>
      <c r="H78" s="830"/>
      <c r="I78" s="830"/>
      <c r="J78" s="830"/>
      <c r="K78" s="830"/>
      <c r="L78" s="831"/>
      <c r="M78" s="830"/>
      <c r="N78" s="830"/>
      <c r="O78" s="831"/>
      <c r="P78" s="830"/>
      <c r="Q78" s="832"/>
      <c r="R78" s="982">
        <f t="shared" si="2"/>
        <v>0</v>
      </c>
      <c r="S78" s="833"/>
      <c r="T78" s="984"/>
      <c r="U78" s="846"/>
      <c r="V78" s="834"/>
    </row>
    <row r="79" spans="1:22">
      <c r="A79" s="836"/>
      <c r="B79" s="964" t="s">
        <v>897</v>
      </c>
      <c r="C79" s="838"/>
      <c r="D79" s="954"/>
      <c r="E79" s="831"/>
      <c r="F79" s="829"/>
      <c r="G79" s="830"/>
      <c r="H79" s="830"/>
      <c r="I79" s="830"/>
      <c r="J79" s="830"/>
      <c r="K79" s="830"/>
      <c r="L79" s="831"/>
      <c r="M79" s="830"/>
      <c r="N79" s="830"/>
      <c r="O79" s="831"/>
      <c r="P79" s="830"/>
      <c r="Q79" s="832"/>
      <c r="R79" s="982">
        <f t="shared" si="2"/>
        <v>0</v>
      </c>
      <c r="S79" s="833"/>
      <c r="T79" s="984"/>
      <c r="U79" s="846"/>
      <c r="V79" s="834"/>
    </row>
    <row r="80" spans="1:22">
      <c r="A80" s="836"/>
      <c r="B80" s="957" t="s">
        <v>743</v>
      </c>
      <c r="C80" s="838"/>
      <c r="D80" s="954"/>
      <c r="E80" s="831"/>
      <c r="F80" s="829"/>
      <c r="G80" s="830"/>
      <c r="H80" s="830"/>
      <c r="I80" s="830"/>
      <c r="J80" s="830"/>
      <c r="K80" s="830"/>
      <c r="L80" s="831"/>
      <c r="M80" s="830"/>
      <c r="N80" s="830"/>
      <c r="O80" s="831"/>
      <c r="P80" s="830"/>
      <c r="Q80" s="832"/>
      <c r="R80" s="982">
        <f t="shared" si="2"/>
        <v>0</v>
      </c>
      <c r="S80" s="833"/>
      <c r="T80" s="984">
        <f t="shared" si="3"/>
        <v>0</v>
      </c>
      <c r="U80" s="846"/>
      <c r="V80" s="834"/>
    </row>
    <row r="81" spans="1:22" hidden="1">
      <c r="A81" s="836">
        <v>17</v>
      </c>
      <c r="B81" s="969" t="s">
        <v>727</v>
      </c>
      <c r="C81" s="970" t="s">
        <v>695</v>
      </c>
      <c r="D81" s="947" t="s">
        <v>663</v>
      </c>
      <c r="E81" s="831"/>
      <c r="F81" s="829"/>
      <c r="G81" s="830"/>
      <c r="H81" s="830"/>
      <c r="I81" s="830"/>
      <c r="J81" s="830"/>
      <c r="K81" s="830"/>
      <c r="L81" s="831"/>
      <c r="M81" s="830"/>
      <c r="N81" s="830"/>
      <c r="O81" s="831"/>
      <c r="P81" s="830"/>
      <c r="Q81" s="832"/>
      <c r="R81" s="982">
        <f t="shared" si="2"/>
        <v>0</v>
      </c>
      <c r="S81" s="833"/>
      <c r="T81" s="981">
        <f t="shared" si="3"/>
        <v>0</v>
      </c>
      <c r="U81" s="846"/>
      <c r="V81" s="834"/>
    </row>
    <row r="82" spans="1:22" hidden="1">
      <c r="A82" s="836"/>
      <c r="B82" s="964" t="s">
        <v>697</v>
      </c>
      <c r="C82" s="838" t="s">
        <v>615</v>
      </c>
      <c r="D82" s="954"/>
      <c r="E82" s="831"/>
      <c r="F82" s="829"/>
      <c r="G82" s="830"/>
      <c r="H82" s="830"/>
      <c r="I82" s="830"/>
      <c r="J82" s="830"/>
      <c r="K82" s="830"/>
      <c r="L82" s="831"/>
      <c r="M82" s="830"/>
      <c r="N82" s="830"/>
      <c r="O82" s="831"/>
      <c r="P82" s="830"/>
      <c r="Q82" s="832"/>
      <c r="R82" s="982">
        <f t="shared" si="2"/>
        <v>0</v>
      </c>
      <c r="S82" s="833"/>
      <c r="T82" s="981">
        <f t="shared" si="3"/>
        <v>0</v>
      </c>
      <c r="U82" s="846"/>
      <c r="V82" s="834"/>
    </row>
    <row r="83" spans="1:22" hidden="1">
      <c r="A83" s="836"/>
      <c r="B83" s="964"/>
      <c r="C83" s="838"/>
      <c r="D83" s="954"/>
      <c r="E83" s="831"/>
      <c r="F83" s="829"/>
      <c r="G83" s="830"/>
      <c r="H83" s="830"/>
      <c r="I83" s="830"/>
      <c r="J83" s="830"/>
      <c r="K83" s="830"/>
      <c r="L83" s="831"/>
      <c r="M83" s="830"/>
      <c r="N83" s="830"/>
      <c r="O83" s="831"/>
      <c r="P83" s="830"/>
      <c r="Q83" s="832"/>
      <c r="R83" s="982">
        <f t="shared" si="2"/>
        <v>0</v>
      </c>
      <c r="S83" s="833"/>
      <c r="T83" s="981">
        <f t="shared" si="3"/>
        <v>0</v>
      </c>
      <c r="U83" s="846"/>
      <c r="V83" s="834"/>
    </row>
    <row r="84" spans="1:22" hidden="1">
      <c r="A84" s="836"/>
      <c r="B84" s="957" t="s">
        <v>742</v>
      </c>
      <c r="C84" s="838"/>
      <c r="D84" s="954"/>
      <c r="E84" s="831"/>
      <c r="F84" s="829"/>
      <c r="G84" s="830"/>
      <c r="H84" s="830"/>
      <c r="I84" s="830"/>
      <c r="J84" s="830"/>
      <c r="K84" s="830"/>
      <c r="L84" s="831"/>
      <c r="M84" s="830"/>
      <c r="N84" s="830"/>
      <c r="O84" s="831"/>
      <c r="P84" s="830"/>
      <c r="Q84" s="832"/>
      <c r="R84" s="982">
        <f t="shared" si="2"/>
        <v>0</v>
      </c>
      <c r="S84" s="833"/>
      <c r="T84" s="981">
        <f t="shared" si="3"/>
        <v>0</v>
      </c>
      <c r="U84" s="846"/>
      <c r="V84" s="834"/>
    </row>
    <row r="85" spans="1:22" hidden="1">
      <c r="A85" s="836"/>
      <c r="B85" s="964" t="s">
        <v>709</v>
      </c>
      <c r="C85" s="838"/>
      <c r="D85" s="954"/>
      <c r="E85" s="831"/>
      <c r="F85" s="829"/>
      <c r="G85" s="830"/>
      <c r="H85" s="830"/>
      <c r="I85" s="830"/>
      <c r="J85" s="830"/>
      <c r="K85" s="830"/>
      <c r="L85" s="831"/>
      <c r="M85" s="830"/>
      <c r="N85" s="830"/>
      <c r="O85" s="831"/>
      <c r="P85" s="830"/>
      <c r="Q85" s="832"/>
      <c r="R85" s="982">
        <f t="shared" si="2"/>
        <v>0</v>
      </c>
      <c r="S85" s="833"/>
      <c r="T85" s="981">
        <f t="shared" si="3"/>
        <v>0</v>
      </c>
      <c r="U85" s="846"/>
      <c r="V85" s="834"/>
    </row>
    <row r="86" spans="1:22" hidden="1">
      <c r="A86" s="836">
        <v>18</v>
      </c>
      <c r="B86" s="969" t="s">
        <v>704</v>
      </c>
      <c r="C86" s="970" t="s">
        <v>698</v>
      </c>
      <c r="D86" s="947" t="s">
        <v>663</v>
      </c>
      <c r="E86" s="831"/>
      <c r="F86" s="829"/>
      <c r="G86" s="830"/>
      <c r="H86" s="830"/>
      <c r="I86" s="830"/>
      <c r="J86" s="830"/>
      <c r="K86" s="830"/>
      <c r="L86" s="831"/>
      <c r="M86" s="830"/>
      <c r="N86" s="830"/>
      <c r="O86" s="831"/>
      <c r="P86" s="830"/>
      <c r="Q86" s="832"/>
      <c r="R86" s="982">
        <f t="shared" si="2"/>
        <v>0</v>
      </c>
      <c r="S86" s="833"/>
      <c r="T86" s="981">
        <f t="shared" si="3"/>
        <v>0</v>
      </c>
      <c r="U86" s="846"/>
      <c r="V86" s="834"/>
    </row>
    <row r="87" spans="1:22" hidden="1">
      <c r="A87" s="836"/>
      <c r="B87" s="837" t="s">
        <v>703</v>
      </c>
      <c r="C87" s="838" t="s">
        <v>615</v>
      </c>
      <c r="D87" s="954"/>
      <c r="E87" s="831"/>
      <c r="F87" s="829"/>
      <c r="G87" s="830"/>
      <c r="H87" s="830"/>
      <c r="I87" s="830"/>
      <c r="J87" s="830"/>
      <c r="K87" s="830"/>
      <c r="L87" s="831"/>
      <c r="M87" s="830"/>
      <c r="N87" s="830"/>
      <c r="O87" s="831"/>
      <c r="P87" s="830"/>
      <c r="Q87" s="832"/>
      <c r="R87" s="982">
        <f t="shared" si="2"/>
        <v>0</v>
      </c>
      <c r="S87" s="833"/>
      <c r="T87" s="981">
        <f t="shared" si="3"/>
        <v>0</v>
      </c>
      <c r="U87" s="846"/>
      <c r="V87" s="834"/>
    </row>
    <row r="88" spans="1:22" ht="42" hidden="1">
      <c r="A88" s="836"/>
      <c r="B88" s="967" t="s">
        <v>711</v>
      </c>
      <c r="C88" s="838"/>
      <c r="D88" s="954"/>
      <c r="E88" s="831"/>
      <c r="F88" s="829"/>
      <c r="G88" s="830"/>
      <c r="H88" s="830"/>
      <c r="I88" s="830"/>
      <c r="J88" s="830"/>
      <c r="K88" s="830"/>
      <c r="L88" s="831"/>
      <c r="M88" s="830"/>
      <c r="N88" s="830"/>
      <c r="O88" s="831"/>
      <c r="P88" s="830"/>
      <c r="Q88" s="832"/>
      <c r="R88" s="982">
        <f t="shared" si="2"/>
        <v>0</v>
      </c>
      <c r="S88" s="833"/>
      <c r="T88" s="981">
        <f t="shared" si="3"/>
        <v>0</v>
      </c>
      <c r="U88" s="846"/>
      <c r="V88" s="834"/>
    </row>
    <row r="89" spans="1:22" hidden="1">
      <c r="A89" s="836"/>
      <c r="B89" s="948" t="s">
        <v>702</v>
      </c>
      <c r="C89" s="838"/>
      <c r="D89" s="954"/>
      <c r="E89" s="831"/>
      <c r="F89" s="829"/>
      <c r="G89" s="830"/>
      <c r="H89" s="830"/>
      <c r="I89" s="830"/>
      <c r="J89" s="830"/>
      <c r="K89" s="830"/>
      <c r="L89" s="831"/>
      <c r="M89" s="830"/>
      <c r="N89" s="830"/>
      <c r="O89" s="831"/>
      <c r="P89" s="830"/>
      <c r="Q89" s="832"/>
      <c r="R89" s="982">
        <f t="shared" si="2"/>
        <v>0</v>
      </c>
      <c r="S89" s="833"/>
      <c r="T89" s="981">
        <f t="shared" si="3"/>
        <v>0</v>
      </c>
      <c r="U89" s="846"/>
      <c r="V89" s="834"/>
    </row>
    <row r="90" spans="1:22" hidden="1">
      <c r="A90" s="836">
        <v>19</v>
      </c>
      <c r="B90" s="969" t="s">
        <v>700</v>
      </c>
      <c r="C90" s="970" t="s">
        <v>699</v>
      </c>
      <c r="D90" s="947" t="s">
        <v>663</v>
      </c>
      <c r="E90" s="831"/>
      <c r="F90" s="829"/>
      <c r="G90" s="830"/>
      <c r="H90" s="830"/>
      <c r="I90" s="830"/>
      <c r="J90" s="830"/>
      <c r="K90" s="830"/>
      <c r="L90" s="831"/>
      <c r="M90" s="830"/>
      <c r="N90" s="830"/>
      <c r="O90" s="831"/>
      <c r="P90" s="830"/>
      <c r="Q90" s="832"/>
      <c r="R90" s="982">
        <f t="shared" si="2"/>
        <v>0</v>
      </c>
      <c r="S90" s="833"/>
      <c r="T90" s="981">
        <f t="shared" si="3"/>
        <v>0</v>
      </c>
      <c r="U90" s="846"/>
      <c r="V90" s="834"/>
    </row>
    <row r="91" spans="1:22" hidden="1">
      <c r="A91" s="836"/>
      <c r="B91" s="964"/>
      <c r="C91" s="838" t="s">
        <v>615</v>
      </c>
      <c r="D91" s="954"/>
      <c r="E91" s="831"/>
      <c r="F91" s="829"/>
      <c r="G91" s="830"/>
      <c r="H91" s="830"/>
      <c r="I91" s="830"/>
      <c r="J91" s="830"/>
      <c r="K91" s="830"/>
      <c r="L91" s="831"/>
      <c r="M91" s="830"/>
      <c r="N91" s="830"/>
      <c r="O91" s="831"/>
      <c r="P91" s="830"/>
      <c r="Q91" s="832"/>
      <c r="R91" s="982">
        <f t="shared" si="2"/>
        <v>0</v>
      </c>
      <c r="S91" s="833"/>
      <c r="T91" s="981">
        <f t="shared" si="3"/>
        <v>0</v>
      </c>
      <c r="U91" s="846"/>
      <c r="V91" s="834"/>
    </row>
    <row r="92" spans="1:22" hidden="1">
      <c r="A92" s="836"/>
      <c r="B92" s="964"/>
      <c r="C92" s="838"/>
      <c r="D92" s="954"/>
      <c r="E92" s="831"/>
      <c r="F92" s="829"/>
      <c r="G92" s="830"/>
      <c r="H92" s="830"/>
      <c r="I92" s="830"/>
      <c r="J92" s="830"/>
      <c r="K92" s="830"/>
      <c r="L92" s="831"/>
      <c r="M92" s="830"/>
      <c r="N92" s="830"/>
      <c r="O92" s="831"/>
      <c r="P92" s="830"/>
      <c r="Q92" s="832"/>
      <c r="R92" s="982">
        <f t="shared" si="2"/>
        <v>0</v>
      </c>
      <c r="S92" s="833"/>
      <c r="T92" s="981">
        <f t="shared" si="3"/>
        <v>0</v>
      </c>
      <c r="U92" s="846"/>
      <c r="V92" s="834"/>
    </row>
    <row r="93" spans="1:22" hidden="1">
      <c r="A93" s="836"/>
      <c r="B93" s="964" t="s">
        <v>712</v>
      </c>
      <c r="C93" s="838"/>
      <c r="D93" s="954"/>
      <c r="E93" s="831"/>
      <c r="F93" s="829"/>
      <c r="G93" s="830"/>
      <c r="H93" s="830"/>
      <c r="I93" s="830"/>
      <c r="J93" s="830"/>
      <c r="K93" s="830"/>
      <c r="L93" s="831"/>
      <c r="M93" s="830"/>
      <c r="N93" s="830"/>
      <c r="O93" s="831"/>
      <c r="P93" s="830"/>
      <c r="Q93" s="832"/>
      <c r="R93" s="982">
        <f t="shared" si="2"/>
        <v>0</v>
      </c>
      <c r="S93" s="833"/>
      <c r="T93" s="981">
        <f t="shared" si="3"/>
        <v>0</v>
      </c>
      <c r="U93" s="846"/>
      <c r="V93" s="834"/>
    </row>
    <row r="94" spans="1:22" hidden="1">
      <c r="A94" s="836"/>
      <c r="B94" s="948" t="s">
        <v>728</v>
      </c>
      <c r="C94" s="838"/>
      <c r="D94" s="954"/>
      <c r="E94" s="831"/>
      <c r="F94" s="829"/>
      <c r="G94" s="830"/>
      <c r="H94" s="830"/>
      <c r="I94" s="830"/>
      <c r="J94" s="830"/>
      <c r="K94" s="830"/>
      <c r="L94" s="831"/>
      <c r="M94" s="830"/>
      <c r="N94" s="830"/>
      <c r="O94" s="831"/>
      <c r="P94" s="830"/>
      <c r="Q94" s="832"/>
      <c r="R94" s="982">
        <f t="shared" si="2"/>
        <v>0</v>
      </c>
      <c r="S94" s="833"/>
      <c r="T94" s="981">
        <f t="shared" si="3"/>
        <v>0</v>
      </c>
      <c r="U94" s="846"/>
      <c r="V94" s="834"/>
    </row>
    <row r="95" spans="1:22">
      <c r="A95" s="836">
        <v>20</v>
      </c>
      <c r="B95" s="969" t="s">
        <v>744</v>
      </c>
      <c r="C95" s="970" t="s">
        <v>701</v>
      </c>
      <c r="D95" s="947" t="s">
        <v>663</v>
      </c>
      <c r="E95" s="831"/>
      <c r="F95" s="829"/>
      <c r="G95" s="830"/>
      <c r="H95" s="830"/>
      <c r="I95" s="830"/>
      <c r="J95" s="830"/>
      <c r="K95" s="830"/>
      <c r="L95" s="831"/>
      <c r="M95" s="830"/>
      <c r="N95" s="830"/>
      <c r="O95" s="831"/>
      <c r="P95" s="830"/>
      <c r="Q95" s="832"/>
      <c r="R95" s="982">
        <f t="shared" si="2"/>
        <v>0</v>
      </c>
      <c r="S95" s="833"/>
      <c r="T95" s="981">
        <f t="shared" si="3"/>
        <v>0</v>
      </c>
      <c r="U95" s="846"/>
      <c r="V95" s="834"/>
    </row>
    <row r="96" spans="1:22">
      <c r="A96" s="836"/>
      <c r="B96" s="837" t="s">
        <v>745</v>
      </c>
      <c r="C96" s="838" t="s">
        <v>615</v>
      </c>
      <c r="D96" s="954"/>
      <c r="E96" s="831"/>
      <c r="F96" s="829"/>
      <c r="G96" s="830"/>
      <c r="H96" s="829"/>
      <c r="I96" s="833"/>
      <c r="J96" s="832"/>
      <c r="K96" s="830"/>
      <c r="L96" s="831"/>
      <c r="M96" s="830"/>
      <c r="N96" s="830"/>
      <c r="O96" s="831"/>
      <c r="P96" s="830"/>
      <c r="Q96" s="830"/>
      <c r="R96" s="982"/>
      <c r="S96" s="833"/>
      <c r="T96" s="984">
        <f t="shared" si="3"/>
        <v>0</v>
      </c>
      <c r="U96" s="830">
        <v>1.5</v>
      </c>
      <c r="V96" s="834"/>
    </row>
    <row r="97" spans="1:22">
      <c r="A97" s="836"/>
      <c r="B97" s="837" t="s">
        <v>787</v>
      </c>
      <c r="C97" s="838"/>
      <c r="D97" s="954"/>
      <c r="E97" s="831"/>
      <c r="F97" s="829"/>
      <c r="G97" s="830"/>
      <c r="H97" s="829"/>
      <c r="I97" s="833"/>
      <c r="J97" s="832"/>
      <c r="K97" s="830"/>
      <c r="L97" s="831"/>
      <c r="M97" s="830"/>
      <c r="N97" s="830"/>
      <c r="O97" s="831"/>
      <c r="P97" s="830"/>
      <c r="Q97" s="832"/>
      <c r="R97" s="982">
        <f t="shared" si="2"/>
        <v>0</v>
      </c>
      <c r="S97" s="833"/>
      <c r="T97" s="981">
        <f t="shared" si="3"/>
        <v>0</v>
      </c>
      <c r="U97" s="830"/>
      <c r="V97" s="834"/>
    </row>
    <row r="98" spans="1:22" ht="84">
      <c r="A98" s="836"/>
      <c r="B98" s="968" t="s">
        <v>713</v>
      </c>
      <c r="C98" s="975"/>
      <c r="D98" s="954"/>
      <c r="E98" s="831"/>
      <c r="F98" s="829"/>
      <c r="G98" s="830"/>
      <c r="H98" s="830"/>
      <c r="I98" s="830"/>
      <c r="J98" s="830"/>
      <c r="K98" s="830"/>
      <c r="L98" s="831"/>
      <c r="M98" s="830"/>
      <c r="N98" s="830"/>
      <c r="O98" s="831"/>
      <c r="P98" s="830"/>
      <c r="Q98" s="832"/>
      <c r="R98" s="982">
        <f t="shared" si="2"/>
        <v>0</v>
      </c>
      <c r="S98" s="833"/>
      <c r="T98" s="981">
        <f t="shared" si="3"/>
        <v>0</v>
      </c>
      <c r="U98" s="830"/>
      <c r="V98" s="834"/>
    </row>
    <row r="99" spans="1:22">
      <c r="A99" s="836"/>
      <c r="B99" s="948" t="s">
        <v>746</v>
      </c>
      <c r="C99" s="838"/>
      <c r="D99" s="954"/>
      <c r="E99" s="831"/>
      <c r="F99" s="829"/>
      <c r="G99" s="830"/>
      <c r="H99" s="830"/>
      <c r="I99" s="830"/>
      <c r="J99" s="830"/>
      <c r="K99" s="830"/>
      <c r="L99" s="831"/>
      <c r="M99" s="830"/>
      <c r="N99" s="830"/>
      <c r="O99" s="831"/>
      <c r="P99" s="830"/>
      <c r="Q99" s="832"/>
      <c r="R99" s="982">
        <f t="shared" si="2"/>
        <v>0</v>
      </c>
      <c r="S99" s="833"/>
      <c r="T99" s="981">
        <f t="shared" si="3"/>
        <v>0</v>
      </c>
      <c r="U99" s="830"/>
      <c r="V99" s="834"/>
    </row>
    <row r="100" spans="1:22" hidden="1">
      <c r="A100" s="836">
        <v>21</v>
      </c>
      <c r="B100" s="969" t="s">
        <v>705</v>
      </c>
      <c r="C100" s="970" t="s">
        <v>706</v>
      </c>
      <c r="D100" s="947" t="s">
        <v>663</v>
      </c>
      <c r="E100" s="831"/>
      <c r="F100" s="829"/>
      <c r="G100" s="830"/>
      <c r="H100" s="830"/>
      <c r="I100" s="830"/>
      <c r="J100" s="830"/>
      <c r="K100" s="830"/>
      <c r="L100" s="831"/>
      <c r="M100" s="830"/>
      <c r="N100" s="830"/>
      <c r="O100" s="831"/>
      <c r="P100" s="830"/>
      <c r="Q100" s="832"/>
      <c r="R100" s="982">
        <f t="shared" si="2"/>
        <v>0</v>
      </c>
      <c r="S100" s="833"/>
      <c r="T100" s="981">
        <f t="shared" si="3"/>
        <v>0</v>
      </c>
      <c r="U100" s="830"/>
      <c r="V100" s="834"/>
    </row>
    <row r="101" spans="1:22" ht="42" hidden="1">
      <c r="A101" s="836"/>
      <c r="B101" s="967" t="s">
        <v>714</v>
      </c>
      <c r="C101" s="838" t="s">
        <v>615</v>
      </c>
      <c r="D101" s="954"/>
      <c r="E101" s="831"/>
      <c r="F101" s="829"/>
      <c r="G101" s="830"/>
      <c r="H101" s="830"/>
      <c r="I101" s="830"/>
      <c r="J101" s="830"/>
      <c r="K101" s="830"/>
      <c r="L101" s="831"/>
      <c r="M101" s="830"/>
      <c r="N101" s="830"/>
      <c r="O101" s="831"/>
      <c r="P101" s="830"/>
      <c r="Q101" s="832"/>
      <c r="R101" s="982">
        <f t="shared" si="2"/>
        <v>0</v>
      </c>
      <c r="S101" s="833"/>
      <c r="T101" s="981">
        <f t="shared" si="3"/>
        <v>0</v>
      </c>
      <c r="U101" s="830"/>
      <c r="V101" s="834"/>
    </row>
    <row r="102" spans="1:22" hidden="1">
      <c r="A102" s="836"/>
      <c r="B102" s="837"/>
      <c r="C102" s="838" t="s">
        <v>688</v>
      </c>
      <c r="D102" s="954"/>
      <c r="E102" s="831"/>
      <c r="F102" s="829"/>
      <c r="G102" s="830"/>
      <c r="H102" s="830"/>
      <c r="I102" s="830"/>
      <c r="J102" s="830"/>
      <c r="K102" s="830"/>
      <c r="L102" s="831"/>
      <c r="M102" s="830"/>
      <c r="N102" s="830"/>
      <c r="O102" s="831"/>
      <c r="P102" s="830"/>
      <c r="Q102" s="832"/>
      <c r="R102" s="982">
        <f t="shared" si="2"/>
        <v>0</v>
      </c>
      <c r="S102" s="833"/>
      <c r="T102" s="981">
        <f t="shared" si="3"/>
        <v>0</v>
      </c>
      <c r="U102" s="830"/>
      <c r="V102" s="834"/>
    </row>
    <row r="103" spans="1:22" hidden="1">
      <c r="A103" s="836"/>
      <c r="B103" s="948" t="s">
        <v>708</v>
      </c>
      <c r="C103" s="838"/>
      <c r="D103" s="954"/>
      <c r="E103" s="831"/>
      <c r="F103" s="829"/>
      <c r="G103" s="830"/>
      <c r="H103" s="830"/>
      <c r="I103" s="830"/>
      <c r="J103" s="830"/>
      <c r="K103" s="830"/>
      <c r="L103" s="831"/>
      <c r="M103" s="830"/>
      <c r="N103" s="830"/>
      <c r="O103" s="831"/>
      <c r="P103" s="830"/>
      <c r="Q103" s="832"/>
      <c r="R103" s="982">
        <f t="shared" si="2"/>
        <v>0</v>
      </c>
      <c r="S103" s="833"/>
      <c r="T103" s="981">
        <f t="shared" si="3"/>
        <v>0</v>
      </c>
      <c r="U103" s="830"/>
      <c r="V103" s="834"/>
    </row>
    <row r="104" spans="1:22" hidden="1">
      <c r="A104" s="836">
        <v>22</v>
      </c>
      <c r="B104" s="973" t="s">
        <v>705</v>
      </c>
      <c r="C104" s="970" t="s">
        <v>707</v>
      </c>
      <c r="D104" s="947" t="s">
        <v>663</v>
      </c>
      <c r="E104" s="831"/>
      <c r="F104" s="829"/>
      <c r="G104" s="830"/>
      <c r="H104" s="830"/>
      <c r="I104" s="830"/>
      <c r="J104" s="830"/>
      <c r="K104" s="830"/>
      <c r="L104" s="831"/>
      <c r="M104" s="830"/>
      <c r="N104" s="830"/>
      <c r="O104" s="831"/>
      <c r="P104" s="830"/>
      <c r="Q104" s="832"/>
      <c r="R104" s="982">
        <f t="shared" si="2"/>
        <v>0</v>
      </c>
      <c r="S104" s="833"/>
      <c r="T104" s="981">
        <f t="shared" si="3"/>
        <v>0</v>
      </c>
      <c r="U104" s="830"/>
      <c r="V104" s="834"/>
    </row>
    <row r="105" spans="1:22" hidden="1">
      <c r="A105" s="836"/>
      <c r="B105" s="835"/>
      <c r="C105" s="838" t="s">
        <v>615</v>
      </c>
      <c r="D105" s="954"/>
      <c r="E105" s="831"/>
      <c r="F105" s="829"/>
      <c r="G105" s="830"/>
      <c r="H105" s="830"/>
      <c r="I105" s="830"/>
      <c r="J105" s="830"/>
      <c r="K105" s="830"/>
      <c r="L105" s="831"/>
      <c r="M105" s="830"/>
      <c r="N105" s="830"/>
      <c r="O105" s="831"/>
      <c r="P105" s="830"/>
      <c r="Q105" s="832"/>
      <c r="R105" s="982">
        <f t="shared" si="2"/>
        <v>0</v>
      </c>
      <c r="S105" s="833"/>
      <c r="T105" s="981">
        <f t="shared" si="3"/>
        <v>0</v>
      </c>
      <c r="U105" s="830"/>
      <c r="V105" s="834"/>
    </row>
    <row r="106" spans="1:22" hidden="1">
      <c r="A106" s="836"/>
      <c r="B106" s="837"/>
      <c r="C106" s="838" t="s">
        <v>688</v>
      </c>
      <c r="D106" s="954"/>
      <c r="E106" s="831"/>
      <c r="F106" s="829"/>
      <c r="G106" s="830"/>
      <c r="H106" s="830"/>
      <c r="I106" s="830"/>
      <c r="J106" s="830"/>
      <c r="K106" s="830"/>
      <c r="L106" s="831"/>
      <c r="M106" s="830"/>
      <c r="N106" s="830"/>
      <c r="O106" s="831"/>
      <c r="P106" s="830"/>
      <c r="Q106" s="832"/>
      <c r="R106" s="982">
        <f t="shared" si="2"/>
        <v>0</v>
      </c>
      <c r="S106" s="833"/>
      <c r="T106" s="981">
        <f t="shared" si="3"/>
        <v>0</v>
      </c>
      <c r="U106" s="830"/>
      <c r="V106" s="834"/>
    </row>
    <row r="107" spans="1:22" hidden="1">
      <c r="A107" s="836"/>
      <c r="B107" s="837"/>
      <c r="C107" s="838"/>
      <c r="D107" s="954"/>
      <c r="E107" s="831"/>
      <c r="F107" s="829"/>
      <c r="G107" s="830"/>
      <c r="H107" s="830"/>
      <c r="I107" s="830"/>
      <c r="J107" s="830"/>
      <c r="K107" s="830"/>
      <c r="L107" s="831"/>
      <c r="M107" s="830"/>
      <c r="N107" s="830"/>
      <c r="O107" s="831"/>
      <c r="P107" s="830"/>
      <c r="Q107" s="832"/>
      <c r="R107" s="982">
        <f t="shared" si="2"/>
        <v>0</v>
      </c>
      <c r="S107" s="833"/>
      <c r="T107" s="981">
        <f t="shared" si="3"/>
        <v>0</v>
      </c>
      <c r="U107" s="830"/>
      <c r="V107" s="834"/>
    </row>
    <row r="108" spans="1:22">
      <c r="A108" s="836">
        <v>24</v>
      </c>
      <c r="B108" s="969" t="s">
        <v>632</v>
      </c>
      <c r="C108" s="970" t="s">
        <v>718</v>
      </c>
      <c r="D108" s="947" t="s">
        <v>619</v>
      </c>
      <c r="E108" s="831"/>
      <c r="F108" s="829"/>
      <c r="G108" s="830"/>
      <c r="H108" s="830"/>
      <c r="I108" s="830"/>
      <c r="J108" s="830"/>
      <c r="K108" s="830"/>
      <c r="L108" s="831"/>
      <c r="M108" s="830"/>
      <c r="N108" s="830"/>
      <c r="O108" s="831"/>
      <c r="P108" s="830"/>
      <c r="Q108" s="832"/>
      <c r="R108" s="982">
        <f t="shared" si="2"/>
        <v>0</v>
      </c>
      <c r="S108" s="833"/>
      <c r="T108" s="981">
        <f t="shared" si="3"/>
        <v>0</v>
      </c>
      <c r="U108" s="830"/>
      <c r="V108" s="834"/>
    </row>
    <row r="109" spans="1:22">
      <c r="A109" s="836"/>
      <c r="B109" s="823"/>
      <c r="C109" s="838" t="s">
        <v>615</v>
      </c>
      <c r="D109" s="954"/>
      <c r="E109" s="831"/>
      <c r="F109" s="829"/>
      <c r="G109" s="830"/>
      <c r="H109" s="830"/>
      <c r="I109" s="830"/>
      <c r="J109" s="830"/>
      <c r="K109" s="830"/>
      <c r="L109" s="831"/>
      <c r="M109" s="830"/>
      <c r="N109" s="830"/>
      <c r="O109" s="831"/>
      <c r="P109" s="830"/>
      <c r="Q109" s="832"/>
      <c r="R109" s="982">
        <f t="shared" si="2"/>
        <v>0</v>
      </c>
      <c r="S109" s="833"/>
      <c r="T109" s="981">
        <f t="shared" si="3"/>
        <v>0</v>
      </c>
      <c r="U109" s="830"/>
      <c r="V109" s="834"/>
    </row>
    <row r="110" spans="1:22">
      <c r="A110" s="836"/>
      <c r="B110" s="964" t="s">
        <v>710</v>
      </c>
      <c r="C110" s="838"/>
      <c r="D110" s="954"/>
      <c r="E110" s="831"/>
      <c r="F110" s="829"/>
      <c r="G110" s="830"/>
      <c r="H110" s="830"/>
      <c r="I110" s="830"/>
      <c r="J110" s="830"/>
      <c r="K110" s="830"/>
      <c r="L110" s="831"/>
      <c r="M110" s="830"/>
      <c r="N110" s="830"/>
      <c r="O110" s="831"/>
      <c r="P110" s="830"/>
      <c r="Q110" s="832"/>
      <c r="R110" s="982">
        <f t="shared" si="2"/>
        <v>0</v>
      </c>
      <c r="S110" s="833"/>
      <c r="T110" s="981">
        <f t="shared" si="3"/>
        <v>0</v>
      </c>
      <c r="U110" s="830"/>
      <c r="V110" s="834"/>
    </row>
    <row r="111" spans="1:22">
      <c r="A111" s="836"/>
      <c r="B111" s="964"/>
      <c r="C111" s="847"/>
      <c r="D111" s="954"/>
      <c r="E111" s="831"/>
      <c r="F111" s="829"/>
      <c r="G111" s="830"/>
      <c r="H111" s="830"/>
      <c r="I111" s="830"/>
      <c r="J111" s="830"/>
      <c r="K111" s="830"/>
      <c r="L111" s="831"/>
      <c r="M111" s="830"/>
      <c r="N111" s="830"/>
      <c r="O111" s="831"/>
      <c r="P111" s="830"/>
      <c r="Q111" s="832"/>
      <c r="R111" s="982">
        <f t="shared" si="2"/>
        <v>0</v>
      </c>
      <c r="S111" s="833"/>
      <c r="T111" s="981">
        <f t="shared" si="3"/>
        <v>0</v>
      </c>
      <c r="U111" s="830"/>
      <c r="V111" s="834"/>
    </row>
    <row r="112" spans="1:22" s="826" customFormat="1">
      <c r="A112" s="836">
        <v>25</v>
      </c>
      <c r="B112" s="969" t="s">
        <v>722</v>
      </c>
      <c r="C112" s="970" t="s">
        <v>719</v>
      </c>
      <c r="D112" s="946" t="s">
        <v>663</v>
      </c>
      <c r="E112" s="1069"/>
      <c r="F112" s="1059"/>
      <c r="G112" s="1060"/>
      <c r="H112" s="1060"/>
      <c r="I112" s="1060"/>
      <c r="J112" s="1060"/>
      <c r="K112" s="1060"/>
      <c r="L112" s="843"/>
      <c r="M112" s="842"/>
      <c r="N112" s="842"/>
      <c r="O112" s="843"/>
      <c r="P112" s="842"/>
      <c r="Q112" s="844"/>
      <c r="R112" s="982">
        <f t="shared" si="2"/>
        <v>0</v>
      </c>
      <c r="S112" s="825"/>
      <c r="T112" s="1061">
        <f t="shared" si="3"/>
        <v>0</v>
      </c>
      <c r="U112" s="830"/>
      <c r="V112" s="824"/>
    </row>
    <row r="113" spans="1:22" s="826" customFormat="1">
      <c r="A113" s="836"/>
      <c r="B113" s="823" t="s">
        <v>721</v>
      </c>
      <c r="C113" s="1038" t="s">
        <v>615</v>
      </c>
      <c r="D113" s="954"/>
      <c r="E113" s="1069"/>
      <c r="F113" s="1059"/>
      <c r="G113" s="1060"/>
      <c r="H113" s="1060"/>
      <c r="I113" s="1060"/>
      <c r="J113" s="1060"/>
      <c r="K113" s="1060"/>
      <c r="L113" s="843"/>
      <c r="M113" s="1060"/>
      <c r="N113" s="842"/>
      <c r="O113" s="843"/>
      <c r="P113" s="842"/>
      <c r="Q113" s="844"/>
      <c r="R113" s="982">
        <f t="shared" si="2"/>
        <v>0</v>
      </c>
      <c r="S113" s="825"/>
      <c r="T113" s="1061">
        <f t="shared" si="3"/>
        <v>0</v>
      </c>
      <c r="U113" s="830">
        <v>1.7</v>
      </c>
      <c r="V113" s="824"/>
    </row>
    <row r="114" spans="1:22" s="826" customFormat="1">
      <c r="A114" s="836"/>
      <c r="B114" s="823" t="s">
        <v>725</v>
      </c>
      <c r="C114" s="1038" t="s">
        <v>612</v>
      </c>
      <c r="D114" s="954"/>
      <c r="E114" s="1069"/>
      <c r="F114" s="1059"/>
      <c r="G114" s="1060"/>
      <c r="H114" s="1060"/>
      <c r="I114" s="1060"/>
      <c r="J114" s="1060"/>
      <c r="K114" s="1060"/>
      <c r="L114" s="843"/>
      <c r="M114" s="842"/>
      <c r="N114" s="842"/>
      <c r="O114" s="843"/>
      <c r="P114" s="842"/>
      <c r="Q114" s="843"/>
      <c r="R114" s="982">
        <f t="shared" si="2"/>
        <v>0</v>
      </c>
      <c r="S114" s="825"/>
      <c r="T114" s="1061">
        <f t="shared" si="3"/>
        <v>0</v>
      </c>
      <c r="U114" s="830">
        <v>2.2999999999999998</v>
      </c>
      <c r="V114" s="824"/>
    </row>
    <row r="115" spans="1:22" s="826" customFormat="1">
      <c r="A115" s="836"/>
      <c r="B115" s="823" t="s">
        <v>724</v>
      </c>
      <c r="C115" s="1038" t="s">
        <v>795</v>
      </c>
      <c r="D115" s="954"/>
      <c r="E115" s="1069"/>
      <c r="F115" s="1059"/>
      <c r="G115" s="1060"/>
      <c r="H115" s="1060"/>
      <c r="I115" s="1060"/>
      <c r="J115" s="1060"/>
      <c r="K115" s="1060"/>
      <c r="L115" s="843"/>
      <c r="M115" s="842"/>
      <c r="N115" s="842"/>
      <c r="O115" s="843"/>
      <c r="P115" s="842"/>
      <c r="Q115" s="843"/>
      <c r="R115" s="982">
        <f t="shared" si="2"/>
        <v>0</v>
      </c>
      <c r="S115" s="825"/>
      <c r="T115" s="1061">
        <f t="shared" si="3"/>
        <v>0</v>
      </c>
      <c r="U115" s="830">
        <v>1.4</v>
      </c>
      <c r="V115" s="824"/>
    </row>
    <row r="116" spans="1:22" s="826" customFormat="1">
      <c r="A116" s="836"/>
      <c r="B116" s="823" t="s">
        <v>723</v>
      </c>
      <c r="C116" s="1038"/>
      <c r="D116" s="954"/>
      <c r="E116" s="1069"/>
      <c r="F116" s="1059"/>
      <c r="G116" s="1060"/>
      <c r="H116" s="1060"/>
      <c r="I116" s="1060"/>
      <c r="J116" s="1060"/>
      <c r="K116" s="1060"/>
      <c r="L116" s="843"/>
      <c r="M116" s="842"/>
      <c r="N116" s="842"/>
      <c r="O116" s="843"/>
      <c r="P116" s="842"/>
      <c r="Q116" s="844"/>
      <c r="R116" s="982">
        <f t="shared" si="2"/>
        <v>0</v>
      </c>
      <c r="S116" s="825"/>
      <c r="T116" s="1061">
        <f t="shared" si="3"/>
        <v>0</v>
      </c>
      <c r="U116" s="830"/>
      <c r="V116" s="824"/>
    </row>
    <row r="117" spans="1:22" s="826" customFormat="1">
      <c r="A117" s="836"/>
      <c r="B117" s="1040" t="s">
        <v>720</v>
      </c>
      <c r="C117" s="1038"/>
      <c r="D117" s="954"/>
      <c r="E117" s="1069"/>
      <c r="F117" s="1059"/>
      <c r="G117" s="1060"/>
      <c r="H117" s="1060"/>
      <c r="I117" s="1060"/>
      <c r="J117" s="1060"/>
      <c r="K117" s="1060"/>
      <c r="L117" s="843"/>
      <c r="M117" s="842"/>
      <c r="N117" s="842"/>
      <c r="O117" s="843"/>
      <c r="P117" s="842"/>
      <c r="Q117" s="844"/>
      <c r="R117" s="982">
        <f t="shared" si="2"/>
        <v>0</v>
      </c>
      <c r="S117" s="825"/>
      <c r="T117" s="1061">
        <f t="shared" si="3"/>
        <v>0</v>
      </c>
      <c r="U117" s="830"/>
      <c r="V117" s="824"/>
    </row>
    <row r="118" spans="1:22" s="826" customFormat="1">
      <c r="A118" s="836"/>
      <c r="B118" s="1040"/>
      <c r="C118" s="1038"/>
      <c r="D118" s="954"/>
      <c r="E118" s="1069"/>
      <c r="F118" s="1059"/>
      <c r="G118" s="1060"/>
      <c r="H118" s="1060"/>
      <c r="I118" s="1060"/>
      <c r="J118" s="1060"/>
      <c r="K118" s="1060"/>
      <c r="L118" s="843"/>
      <c r="M118" s="842"/>
      <c r="N118" s="842"/>
      <c r="O118" s="843"/>
      <c r="P118" s="842"/>
      <c r="Q118" s="844"/>
      <c r="R118" s="982">
        <f t="shared" si="2"/>
        <v>0</v>
      </c>
      <c r="S118" s="825"/>
      <c r="T118" s="1061">
        <f t="shared" si="3"/>
        <v>0</v>
      </c>
      <c r="U118" s="830"/>
      <c r="V118" s="824"/>
    </row>
    <row r="119" spans="1:22">
      <c r="A119" s="836">
        <v>26</v>
      </c>
      <c r="B119" s="969" t="s">
        <v>722</v>
      </c>
      <c r="C119" s="970" t="s">
        <v>726</v>
      </c>
      <c r="D119" s="946" t="s">
        <v>663</v>
      </c>
      <c r="E119" s="1070"/>
      <c r="F119" s="965"/>
      <c r="G119" s="966"/>
      <c r="H119" s="966"/>
      <c r="I119" s="966"/>
      <c r="J119" s="966"/>
      <c r="K119" s="966"/>
      <c r="L119" s="831"/>
      <c r="M119" s="830"/>
      <c r="N119" s="830"/>
      <c r="O119" s="831"/>
      <c r="P119" s="830"/>
      <c r="Q119" s="832"/>
      <c r="R119" s="982">
        <f t="shared" si="2"/>
        <v>0</v>
      </c>
      <c r="S119" s="833"/>
      <c r="T119" s="981">
        <f t="shared" si="3"/>
        <v>0</v>
      </c>
      <c r="U119" s="830"/>
      <c r="V119" s="834"/>
    </row>
    <row r="120" spans="1:22">
      <c r="A120" s="836"/>
      <c r="B120" s="837" t="s">
        <v>721</v>
      </c>
      <c r="C120" s="838" t="s">
        <v>615</v>
      </c>
      <c r="D120" s="954"/>
      <c r="E120" s="1070"/>
      <c r="F120" s="965"/>
      <c r="G120" s="966"/>
      <c r="H120" s="966"/>
      <c r="I120" s="966"/>
      <c r="J120" s="966"/>
      <c r="K120" s="966"/>
      <c r="L120" s="831"/>
      <c r="M120" s="830"/>
      <c r="N120" s="830"/>
      <c r="O120" s="831"/>
      <c r="P120" s="830"/>
      <c r="Q120" s="832"/>
      <c r="R120" s="982">
        <f t="shared" si="2"/>
        <v>0</v>
      </c>
      <c r="S120" s="833"/>
      <c r="T120" s="981">
        <f t="shared" si="3"/>
        <v>0</v>
      </c>
      <c r="U120" s="830"/>
      <c r="V120" s="834"/>
    </row>
    <row r="121" spans="1:22">
      <c r="A121" s="836"/>
      <c r="B121" s="837" t="s">
        <v>725</v>
      </c>
      <c r="C121" s="838"/>
      <c r="D121" s="954"/>
      <c r="E121" s="1070"/>
      <c r="F121" s="965"/>
      <c r="G121" s="966"/>
      <c r="H121" s="966"/>
      <c r="I121" s="966"/>
      <c r="J121" s="966"/>
      <c r="K121" s="966"/>
      <c r="L121" s="831"/>
      <c r="M121" s="830"/>
      <c r="N121" s="830"/>
      <c r="O121" s="831"/>
      <c r="P121" s="830"/>
      <c r="Q121" s="832"/>
      <c r="R121" s="982">
        <f t="shared" si="2"/>
        <v>0</v>
      </c>
      <c r="S121" s="833"/>
      <c r="T121" s="981">
        <f t="shared" si="3"/>
        <v>0</v>
      </c>
      <c r="U121" s="830"/>
      <c r="V121" s="834"/>
    </row>
    <row r="122" spans="1:22">
      <c r="A122" s="836"/>
      <c r="B122" s="837" t="s">
        <v>724</v>
      </c>
      <c r="C122" s="838"/>
      <c r="D122" s="954"/>
      <c r="E122" s="1070"/>
      <c r="F122" s="965"/>
      <c r="G122" s="966"/>
      <c r="H122" s="966"/>
      <c r="I122" s="966"/>
      <c r="J122" s="966"/>
      <c r="K122" s="966"/>
      <c r="L122" s="831"/>
      <c r="M122" s="830"/>
      <c r="N122" s="830"/>
      <c r="O122" s="831"/>
      <c r="P122" s="830"/>
      <c r="Q122" s="832"/>
      <c r="R122" s="982">
        <f t="shared" si="2"/>
        <v>0</v>
      </c>
      <c r="S122" s="833"/>
      <c r="T122" s="981">
        <f t="shared" si="3"/>
        <v>0</v>
      </c>
      <c r="U122" s="830"/>
      <c r="V122" s="834"/>
    </row>
    <row r="123" spans="1:22">
      <c r="A123" s="836"/>
      <c r="B123" s="837" t="s">
        <v>723</v>
      </c>
      <c r="C123" s="838"/>
      <c r="D123" s="954"/>
      <c r="E123" s="1070"/>
      <c r="F123" s="965"/>
      <c r="G123" s="966"/>
      <c r="H123" s="966"/>
      <c r="I123" s="966"/>
      <c r="J123" s="966"/>
      <c r="K123" s="966"/>
      <c r="L123" s="831"/>
      <c r="M123" s="830"/>
      <c r="N123" s="830"/>
      <c r="O123" s="831"/>
      <c r="P123" s="830"/>
      <c r="Q123" s="832"/>
      <c r="R123" s="982">
        <f t="shared" si="2"/>
        <v>0</v>
      </c>
      <c r="S123" s="833"/>
      <c r="T123" s="981">
        <f t="shared" si="3"/>
        <v>0</v>
      </c>
      <c r="U123" s="830"/>
      <c r="V123" s="834"/>
    </row>
    <row r="124" spans="1:22">
      <c r="A124" s="836"/>
      <c r="B124" s="948" t="s">
        <v>737</v>
      </c>
      <c r="C124" s="838"/>
      <c r="D124" s="954"/>
      <c r="E124" s="1070"/>
      <c r="F124" s="965"/>
      <c r="G124" s="966"/>
      <c r="H124" s="966"/>
      <c r="I124" s="966"/>
      <c r="J124" s="966"/>
      <c r="K124" s="966"/>
      <c r="L124" s="831"/>
      <c r="M124" s="830"/>
      <c r="N124" s="830"/>
      <c r="O124" s="831"/>
      <c r="P124" s="830"/>
      <c r="Q124" s="832"/>
      <c r="R124" s="982">
        <f t="shared" si="2"/>
        <v>0</v>
      </c>
      <c r="S124" s="833"/>
      <c r="T124" s="981">
        <f t="shared" si="3"/>
        <v>0</v>
      </c>
      <c r="U124" s="830"/>
      <c r="V124" s="834"/>
    </row>
    <row r="125" spans="1:22">
      <c r="A125" s="1066">
        <v>27</v>
      </c>
      <c r="B125" s="969" t="s">
        <v>747</v>
      </c>
      <c r="C125" s="970" t="s">
        <v>729</v>
      </c>
      <c r="D125" s="946" t="s">
        <v>663</v>
      </c>
      <c r="E125" s="1070"/>
      <c r="F125" s="965"/>
      <c r="G125" s="966"/>
      <c r="H125" s="966"/>
      <c r="I125" s="966"/>
      <c r="J125" s="966"/>
      <c r="K125" s="966"/>
      <c r="L125" s="831"/>
      <c r="M125" s="830"/>
      <c r="N125" s="830"/>
      <c r="O125" s="831"/>
      <c r="P125" s="830"/>
      <c r="Q125" s="832"/>
      <c r="R125" s="982">
        <f t="shared" si="2"/>
        <v>0</v>
      </c>
      <c r="S125" s="833"/>
      <c r="T125" s="981">
        <f t="shared" si="3"/>
        <v>0</v>
      </c>
      <c r="U125" s="830"/>
      <c r="V125" s="834"/>
    </row>
    <row r="126" spans="1:22">
      <c r="A126" s="836"/>
      <c r="B126" s="837" t="s">
        <v>730</v>
      </c>
      <c r="C126" s="838" t="s">
        <v>615</v>
      </c>
      <c r="D126" s="954"/>
      <c r="E126" s="1070"/>
      <c r="F126" s="965"/>
      <c r="G126" s="966"/>
      <c r="H126" s="966"/>
      <c r="I126" s="966"/>
      <c r="J126" s="966"/>
      <c r="K126" s="966"/>
      <c r="L126" s="831"/>
      <c r="M126" s="830"/>
      <c r="N126" s="830"/>
      <c r="O126" s="831"/>
      <c r="P126" s="830"/>
      <c r="Q126" s="832"/>
      <c r="R126" s="982">
        <f t="shared" si="2"/>
        <v>0</v>
      </c>
      <c r="S126" s="833"/>
      <c r="T126" s="981">
        <f t="shared" si="3"/>
        <v>0</v>
      </c>
      <c r="U126" s="830"/>
      <c r="V126" s="834"/>
    </row>
    <row r="127" spans="1:22">
      <c r="A127" s="836"/>
      <c r="B127" s="837" t="s">
        <v>731</v>
      </c>
      <c r="C127" s="838"/>
      <c r="D127" s="954"/>
      <c r="E127" s="1070"/>
      <c r="F127" s="965"/>
      <c r="G127" s="966"/>
      <c r="H127" s="966"/>
      <c r="I127" s="966"/>
      <c r="J127" s="966"/>
      <c r="K127" s="966"/>
      <c r="L127" s="831"/>
      <c r="M127" s="830"/>
      <c r="N127" s="830"/>
      <c r="O127" s="831"/>
      <c r="P127" s="830"/>
      <c r="Q127" s="832"/>
      <c r="R127" s="982">
        <f t="shared" si="2"/>
        <v>0</v>
      </c>
      <c r="S127" s="833"/>
      <c r="T127" s="981">
        <f t="shared" si="3"/>
        <v>0</v>
      </c>
      <c r="U127" s="830"/>
      <c r="V127" s="834"/>
    </row>
    <row r="128" spans="1:22">
      <c r="A128" s="836"/>
      <c r="B128" s="948" t="s">
        <v>759</v>
      </c>
      <c r="C128" s="838"/>
      <c r="D128" s="954"/>
      <c r="E128" s="1070"/>
      <c r="F128" s="965"/>
      <c r="G128" s="966"/>
      <c r="H128" s="966"/>
      <c r="I128" s="966"/>
      <c r="J128" s="966"/>
      <c r="K128" s="966"/>
      <c r="L128" s="831"/>
      <c r="M128" s="830"/>
      <c r="N128" s="830"/>
      <c r="O128" s="831"/>
      <c r="P128" s="830"/>
      <c r="Q128" s="832"/>
      <c r="R128" s="982">
        <f t="shared" si="2"/>
        <v>0</v>
      </c>
      <c r="S128" s="833"/>
      <c r="T128" s="981">
        <f t="shared" si="3"/>
        <v>0</v>
      </c>
      <c r="U128" s="830"/>
      <c r="V128" s="834"/>
    </row>
    <row r="129" spans="1:22">
      <c r="A129" s="836"/>
      <c r="B129" s="948" t="s">
        <v>732</v>
      </c>
      <c r="C129" s="838"/>
      <c r="D129" s="954"/>
      <c r="E129" s="1070"/>
      <c r="F129" s="965"/>
      <c r="G129" s="966"/>
      <c r="H129" s="966"/>
      <c r="I129" s="966"/>
      <c r="J129" s="966"/>
      <c r="K129" s="966"/>
      <c r="L129" s="831"/>
      <c r="M129" s="830"/>
      <c r="N129" s="830"/>
      <c r="O129" s="831"/>
      <c r="P129" s="830"/>
      <c r="Q129" s="832"/>
      <c r="R129" s="982">
        <f t="shared" si="2"/>
        <v>0</v>
      </c>
      <c r="S129" s="833"/>
      <c r="T129" s="981">
        <f t="shared" si="3"/>
        <v>0</v>
      </c>
      <c r="U129" s="830"/>
      <c r="V129" s="834"/>
    </row>
    <row r="130" spans="1:22">
      <c r="A130" s="836">
        <v>28</v>
      </c>
      <c r="B130" s="969" t="s">
        <v>722</v>
      </c>
      <c r="C130" s="970" t="s">
        <v>741</v>
      </c>
      <c r="D130" s="946" t="s">
        <v>663</v>
      </c>
      <c r="E130" s="1070"/>
      <c r="F130" s="965"/>
      <c r="G130" s="966"/>
      <c r="H130" s="966"/>
      <c r="I130" s="966"/>
      <c r="J130" s="966"/>
      <c r="K130" s="966"/>
      <c r="L130" s="831"/>
      <c r="M130" s="830"/>
      <c r="N130" s="830"/>
      <c r="O130" s="831"/>
      <c r="P130" s="830"/>
      <c r="Q130" s="832"/>
      <c r="R130" s="982">
        <f t="shared" si="2"/>
        <v>0</v>
      </c>
      <c r="S130" s="833"/>
      <c r="T130" s="981">
        <f t="shared" si="3"/>
        <v>0</v>
      </c>
      <c r="U130" s="830"/>
      <c r="V130" s="834"/>
    </row>
    <row r="131" spans="1:22">
      <c r="A131" s="836"/>
      <c r="B131" s="837" t="s">
        <v>739</v>
      </c>
      <c r="C131" s="838" t="s">
        <v>615</v>
      </c>
      <c r="D131" s="954"/>
      <c r="E131" s="1070"/>
      <c r="F131" s="965"/>
      <c r="G131" s="966"/>
      <c r="H131" s="966"/>
      <c r="I131" s="966"/>
      <c r="J131" s="966"/>
      <c r="K131" s="966"/>
      <c r="L131" s="831"/>
      <c r="M131" s="830"/>
      <c r="N131" s="830"/>
      <c r="O131" s="831"/>
      <c r="P131" s="830"/>
      <c r="Q131" s="832"/>
      <c r="R131" s="982">
        <f t="shared" si="2"/>
        <v>0</v>
      </c>
      <c r="S131" s="833"/>
      <c r="T131" s="981">
        <f t="shared" si="3"/>
        <v>0</v>
      </c>
      <c r="U131" s="830"/>
      <c r="V131" s="834"/>
    </row>
    <row r="132" spans="1:22">
      <c r="A132" s="836"/>
      <c r="B132" s="837"/>
      <c r="C132" s="838"/>
      <c r="D132" s="954"/>
      <c r="E132" s="1070"/>
      <c r="F132" s="965"/>
      <c r="G132" s="966"/>
      <c r="H132" s="966"/>
      <c r="I132" s="966"/>
      <c r="J132" s="966"/>
      <c r="K132" s="966"/>
      <c r="L132" s="831"/>
      <c r="M132" s="830"/>
      <c r="N132" s="830"/>
      <c r="O132" s="831"/>
      <c r="P132" s="830"/>
      <c r="Q132" s="832"/>
      <c r="R132" s="982">
        <f t="shared" si="2"/>
        <v>0</v>
      </c>
      <c r="S132" s="833"/>
      <c r="T132" s="981">
        <f t="shared" si="3"/>
        <v>0</v>
      </c>
      <c r="U132" s="830"/>
      <c r="V132" s="834"/>
    </row>
    <row r="133" spans="1:22">
      <c r="A133" s="836"/>
      <c r="B133" s="948" t="s">
        <v>740</v>
      </c>
      <c r="C133" s="838"/>
      <c r="D133" s="954"/>
      <c r="E133" s="1070"/>
      <c r="F133" s="965"/>
      <c r="G133" s="966"/>
      <c r="H133" s="966"/>
      <c r="I133" s="966"/>
      <c r="J133" s="966"/>
      <c r="K133" s="966"/>
      <c r="L133" s="831"/>
      <c r="M133" s="830"/>
      <c r="N133" s="830"/>
      <c r="O133" s="831"/>
      <c r="P133" s="830"/>
      <c r="Q133" s="832"/>
      <c r="R133" s="982">
        <f t="shared" ref="R133:R196" si="4">SUM(F133:Q133)</f>
        <v>0</v>
      </c>
      <c r="S133" s="833"/>
      <c r="T133" s="981">
        <f t="shared" si="3"/>
        <v>0</v>
      </c>
      <c r="U133" s="830"/>
      <c r="V133" s="834"/>
    </row>
    <row r="134" spans="1:22">
      <c r="A134" s="836">
        <v>29</v>
      </c>
      <c r="B134" s="969" t="s">
        <v>696</v>
      </c>
      <c r="C134" s="970" t="s">
        <v>738</v>
      </c>
      <c r="D134" s="946" t="s">
        <v>611</v>
      </c>
      <c r="E134" s="1070"/>
      <c r="F134" s="965"/>
      <c r="G134" s="966"/>
      <c r="H134" s="966"/>
      <c r="I134" s="966"/>
      <c r="J134" s="966"/>
      <c r="K134" s="966"/>
      <c r="L134" s="831"/>
      <c r="M134" s="830"/>
      <c r="N134" s="830"/>
      <c r="O134" s="831"/>
      <c r="P134" s="830"/>
      <c r="Q134" s="832"/>
      <c r="R134" s="982">
        <f t="shared" si="4"/>
        <v>0</v>
      </c>
      <c r="S134" s="833"/>
      <c r="T134" s="981">
        <f t="shared" si="3"/>
        <v>0</v>
      </c>
      <c r="U134" s="830"/>
      <c r="V134" s="834" t="s">
        <v>798</v>
      </c>
    </row>
    <row r="135" spans="1:22">
      <c r="A135" s="836"/>
      <c r="B135" s="837" t="s">
        <v>735</v>
      </c>
      <c r="C135" s="838" t="s">
        <v>615</v>
      </c>
      <c r="D135" s="954"/>
      <c r="E135" s="1070"/>
      <c r="F135" s="965"/>
      <c r="G135" s="966"/>
      <c r="H135" s="966"/>
      <c r="I135" s="966"/>
      <c r="J135" s="966"/>
      <c r="K135" s="966"/>
      <c r="L135" s="831"/>
      <c r="M135" s="830"/>
      <c r="N135" s="830"/>
      <c r="O135" s="831"/>
      <c r="P135" s="830"/>
      <c r="Q135" s="832"/>
      <c r="R135" s="982">
        <f t="shared" si="4"/>
        <v>0</v>
      </c>
      <c r="S135" s="833"/>
      <c r="T135" s="981">
        <f t="shared" ref="T135:T201" si="5">R135*S135</f>
        <v>0</v>
      </c>
      <c r="U135" s="830"/>
      <c r="V135" s="834"/>
    </row>
    <row r="136" spans="1:22">
      <c r="A136" s="836"/>
      <c r="B136" s="948"/>
      <c r="C136" s="838" t="s">
        <v>688</v>
      </c>
      <c r="D136" s="954"/>
      <c r="E136" s="1070"/>
      <c r="F136" s="965"/>
      <c r="G136" s="966"/>
      <c r="H136" s="966"/>
      <c r="I136" s="966"/>
      <c r="J136" s="966"/>
      <c r="K136" s="966"/>
      <c r="L136" s="831"/>
      <c r="M136" s="830"/>
      <c r="N136" s="830"/>
      <c r="O136" s="831"/>
      <c r="P136" s="830"/>
      <c r="Q136" s="832"/>
      <c r="R136" s="982">
        <f t="shared" si="4"/>
        <v>0</v>
      </c>
      <c r="S136" s="833"/>
      <c r="T136" s="981">
        <f t="shared" si="5"/>
        <v>0</v>
      </c>
      <c r="U136" s="830"/>
      <c r="V136" s="834"/>
    </row>
    <row r="137" spans="1:22">
      <c r="A137" s="836"/>
      <c r="B137" s="948" t="s">
        <v>736</v>
      </c>
      <c r="C137" s="838"/>
      <c r="D137" s="954"/>
      <c r="E137" s="1070"/>
      <c r="F137" s="965"/>
      <c r="G137" s="966"/>
      <c r="H137" s="966"/>
      <c r="I137" s="966"/>
      <c r="J137" s="966"/>
      <c r="K137" s="966"/>
      <c r="L137" s="831"/>
      <c r="M137" s="830"/>
      <c r="N137" s="830"/>
      <c r="O137" s="831"/>
      <c r="P137" s="830"/>
      <c r="Q137" s="832"/>
      <c r="R137" s="982">
        <f t="shared" si="4"/>
        <v>0</v>
      </c>
      <c r="S137" s="833"/>
      <c r="T137" s="981">
        <f t="shared" si="5"/>
        <v>0</v>
      </c>
      <c r="U137" s="830"/>
      <c r="V137" s="834"/>
    </row>
    <row r="138" spans="1:22">
      <c r="A138" s="836">
        <v>30</v>
      </c>
      <c r="B138" s="969"/>
      <c r="C138" s="970" t="s">
        <v>734</v>
      </c>
      <c r="D138" s="946" t="s">
        <v>611</v>
      </c>
      <c r="E138" s="1070"/>
      <c r="F138" s="965"/>
      <c r="G138" s="966"/>
      <c r="H138" s="966"/>
      <c r="I138" s="966"/>
      <c r="J138" s="966"/>
      <c r="K138" s="966"/>
      <c r="L138" s="831"/>
      <c r="M138" s="830"/>
      <c r="N138" s="830"/>
      <c r="O138" s="831"/>
      <c r="P138" s="830"/>
      <c r="Q138" s="832"/>
      <c r="R138" s="982">
        <f t="shared" si="4"/>
        <v>0</v>
      </c>
      <c r="S138" s="833"/>
      <c r="T138" s="981">
        <f t="shared" si="5"/>
        <v>0</v>
      </c>
      <c r="U138" s="830"/>
      <c r="V138" s="834" t="s">
        <v>758</v>
      </c>
    </row>
    <row r="139" spans="1:22">
      <c r="A139" s="836"/>
      <c r="B139" s="869" t="s">
        <v>784</v>
      </c>
      <c r="C139" s="838" t="s">
        <v>615</v>
      </c>
      <c r="D139" s="954"/>
      <c r="E139" s="1070"/>
      <c r="F139" s="965"/>
      <c r="G139" s="966"/>
      <c r="H139" s="966"/>
      <c r="I139" s="966"/>
      <c r="J139" s="966"/>
      <c r="K139" s="966"/>
      <c r="L139" s="831"/>
      <c r="M139" s="830"/>
      <c r="N139" s="830"/>
      <c r="O139" s="831"/>
      <c r="P139" s="830"/>
      <c r="Q139" s="832"/>
      <c r="R139" s="982">
        <f t="shared" si="4"/>
        <v>0</v>
      </c>
      <c r="S139" s="833"/>
      <c r="T139" s="981">
        <f t="shared" si="5"/>
        <v>0</v>
      </c>
      <c r="U139" s="830"/>
      <c r="V139" s="834"/>
    </row>
    <row r="140" spans="1:22">
      <c r="A140" s="836"/>
      <c r="B140" s="948"/>
      <c r="C140" s="838"/>
      <c r="D140" s="954"/>
      <c r="E140" s="1070"/>
      <c r="F140" s="965"/>
      <c r="G140" s="966"/>
      <c r="H140" s="966"/>
      <c r="I140" s="966"/>
      <c r="J140" s="966"/>
      <c r="K140" s="966"/>
      <c r="L140" s="831"/>
      <c r="M140" s="830"/>
      <c r="N140" s="830"/>
      <c r="O140" s="831"/>
      <c r="P140" s="830"/>
      <c r="Q140" s="832"/>
      <c r="R140" s="982">
        <f t="shared" si="4"/>
        <v>0</v>
      </c>
      <c r="S140" s="833"/>
      <c r="T140" s="981">
        <f t="shared" si="5"/>
        <v>0</v>
      </c>
      <c r="U140" s="830"/>
      <c r="V140" s="834"/>
    </row>
    <row r="141" spans="1:22">
      <c r="A141" s="836"/>
      <c r="B141" s="948" t="s">
        <v>785</v>
      </c>
      <c r="C141" s="838"/>
      <c r="D141" s="954"/>
      <c r="E141" s="1070"/>
      <c r="F141" s="965"/>
      <c r="G141" s="966"/>
      <c r="H141" s="966"/>
      <c r="I141" s="966"/>
      <c r="J141" s="966"/>
      <c r="K141" s="966"/>
      <c r="L141" s="831"/>
      <c r="M141" s="830"/>
      <c r="N141" s="830"/>
      <c r="O141" s="831"/>
      <c r="P141" s="830"/>
      <c r="Q141" s="832"/>
      <c r="R141" s="982">
        <f t="shared" si="4"/>
        <v>0</v>
      </c>
      <c r="S141" s="833"/>
      <c r="T141" s="981">
        <f t="shared" si="5"/>
        <v>0</v>
      </c>
      <c r="U141" s="830"/>
      <c r="V141" s="834"/>
    </row>
    <row r="142" spans="1:22">
      <c r="A142" s="836"/>
      <c r="B142" s="948"/>
      <c r="C142" s="838"/>
      <c r="D142" s="954"/>
      <c r="E142" s="1070"/>
      <c r="F142" s="965"/>
      <c r="G142" s="966"/>
      <c r="H142" s="966"/>
      <c r="I142" s="966"/>
      <c r="J142" s="966"/>
      <c r="K142" s="966"/>
      <c r="L142" s="831"/>
      <c r="M142" s="830"/>
      <c r="N142" s="830"/>
      <c r="O142" s="831"/>
      <c r="P142" s="830"/>
      <c r="Q142" s="832"/>
      <c r="R142" s="982">
        <f t="shared" si="4"/>
        <v>0</v>
      </c>
      <c r="S142" s="833"/>
      <c r="T142" s="981">
        <f t="shared" si="5"/>
        <v>0</v>
      </c>
      <c r="U142" s="830"/>
      <c r="V142" s="834"/>
    </row>
    <row r="143" spans="1:22">
      <c r="A143" s="836"/>
      <c r="B143" s="948"/>
      <c r="C143" s="838"/>
      <c r="D143" s="954"/>
      <c r="E143" s="1070"/>
      <c r="F143" s="965"/>
      <c r="G143" s="966"/>
      <c r="H143" s="966"/>
      <c r="I143" s="966"/>
      <c r="J143" s="966"/>
      <c r="K143" s="966"/>
      <c r="L143" s="831"/>
      <c r="M143" s="830"/>
      <c r="N143" s="830"/>
      <c r="O143" s="831"/>
      <c r="P143" s="830"/>
      <c r="Q143" s="832"/>
      <c r="R143" s="982">
        <f t="shared" si="4"/>
        <v>0</v>
      </c>
      <c r="S143" s="833"/>
      <c r="T143" s="981">
        <f t="shared" si="5"/>
        <v>0</v>
      </c>
      <c r="U143" s="830"/>
      <c r="V143" s="834"/>
    </row>
    <row r="144" spans="1:22">
      <c r="A144" s="836">
        <v>31</v>
      </c>
      <c r="B144" s="969" t="s">
        <v>748</v>
      </c>
      <c r="C144" s="970" t="s">
        <v>749</v>
      </c>
      <c r="D144" s="946" t="s">
        <v>611</v>
      </c>
      <c r="E144" s="1070"/>
      <c r="F144" s="965"/>
      <c r="G144" s="966"/>
      <c r="H144" s="966"/>
      <c r="I144" s="966"/>
      <c r="J144" s="966"/>
      <c r="K144" s="966"/>
      <c r="L144" s="831"/>
      <c r="M144" s="830"/>
      <c r="N144" s="830"/>
      <c r="O144" s="831"/>
      <c r="P144" s="830"/>
      <c r="Q144" s="832"/>
      <c r="R144" s="982">
        <f t="shared" si="4"/>
        <v>0</v>
      </c>
      <c r="S144" s="833"/>
      <c r="T144" s="981">
        <f t="shared" si="5"/>
        <v>0</v>
      </c>
      <c r="U144" s="830"/>
      <c r="V144" s="834"/>
    </row>
    <row r="145" spans="1:22">
      <c r="A145" s="836"/>
      <c r="B145" s="948"/>
      <c r="C145" s="838" t="s">
        <v>615</v>
      </c>
      <c r="D145" s="954"/>
      <c r="E145" s="1070"/>
      <c r="F145" s="965"/>
      <c r="G145" s="966"/>
      <c r="H145" s="966"/>
      <c r="I145" s="966"/>
      <c r="J145" s="966"/>
      <c r="K145" s="966"/>
      <c r="L145" s="831"/>
      <c r="M145" s="830"/>
      <c r="N145" s="830"/>
      <c r="O145" s="831"/>
      <c r="P145" s="830"/>
      <c r="Q145" s="832"/>
      <c r="R145" s="982">
        <f t="shared" si="4"/>
        <v>0</v>
      </c>
      <c r="S145" s="833"/>
      <c r="T145" s="981">
        <f t="shared" si="5"/>
        <v>0</v>
      </c>
      <c r="U145" s="830"/>
      <c r="V145" s="834"/>
    </row>
    <row r="146" spans="1:22">
      <c r="A146" s="836"/>
      <c r="B146" s="948" t="s">
        <v>750</v>
      </c>
      <c r="C146" s="838"/>
      <c r="D146" s="954"/>
      <c r="E146" s="1070"/>
      <c r="F146" s="965"/>
      <c r="G146" s="966"/>
      <c r="H146" s="966"/>
      <c r="I146" s="966"/>
      <c r="J146" s="966"/>
      <c r="K146" s="966"/>
      <c r="L146" s="831"/>
      <c r="M146" s="830"/>
      <c r="N146" s="830"/>
      <c r="O146" s="831"/>
      <c r="P146" s="830"/>
      <c r="Q146" s="832"/>
      <c r="R146" s="982">
        <f t="shared" si="4"/>
        <v>0</v>
      </c>
      <c r="S146" s="833"/>
      <c r="T146" s="981">
        <f t="shared" si="5"/>
        <v>0</v>
      </c>
      <c r="U146" s="830"/>
      <c r="V146" s="834"/>
    </row>
    <row r="147" spans="1:22">
      <c r="A147" s="836"/>
      <c r="B147" s="948" t="s">
        <v>760</v>
      </c>
      <c r="C147" s="838"/>
      <c r="D147" s="954"/>
      <c r="E147" s="1070"/>
      <c r="F147" s="965"/>
      <c r="G147" s="966"/>
      <c r="H147" s="966"/>
      <c r="I147" s="966"/>
      <c r="J147" s="966"/>
      <c r="K147" s="966"/>
      <c r="L147" s="831"/>
      <c r="M147" s="830"/>
      <c r="N147" s="830"/>
      <c r="O147" s="831"/>
      <c r="P147" s="830"/>
      <c r="Q147" s="832"/>
      <c r="R147" s="982">
        <f t="shared" si="4"/>
        <v>0</v>
      </c>
      <c r="S147" s="833"/>
      <c r="T147" s="981">
        <f t="shared" si="5"/>
        <v>0</v>
      </c>
      <c r="U147" s="830"/>
      <c r="V147" s="834"/>
    </row>
    <row r="148" spans="1:22" hidden="1">
      <c r="A148" s="836">
        <v>32</v>
      </c>
      <c r="B148" s="969" t="s">
        <v>751</v>
      </c>
      <c r="C148" s="970" t="s">
        <v>752</v>
      </c>
      <c r="D148" s="946" t="s">
        <v>663</v>
      </c>
      <c r="E148" s="1070"/>
      <c r="F148" s="965"/>
      <c r="G148" s="966"/>
      <c r="H148" s="966"/>
      <c r="I148" s="966"/>
      <c r="J148" s="966"/>
      <c r="K148" s="966"/>
      <c r="L148" s="831"/>
      <c r="M148" s="830"/>
      <c r="N148" s="830"/>
      <c r="O148" s="831"/>
      <c r="P148" s="830"/>
      <c r="Q148" s="832"/>
      <c r="R148" s="982">
        <f t="shared" si="4"/>
        <v>0</v>
      </c>
      <c r="S148" s="833"/>
      <c r="T148" s="981">
        <f t="shared" si="5"/>
        <v>0</v>
      </c>
      <c r="U148" s="830"/>
      <c r="V148" s="834" t="s">
        <v>799</v>
      </c>
    </row>
    <row r="149" spans="1:22" ht="22.8" hidden="1">
      <c r="A149" s="836"/>
      <c r="B149" s="837" t="s">
        <v>753</v>
      </c>
      <c r="C149" s="838" t="s">
        <v>615</v>
      </c>
      <c r="D149" s="954"/>
      <c r="E149" s="1070"/>
      <c r="F149" s="965"/>
      <c r="G149" s="966"/>
      <c r="H149" s="966"/>
      <c r="I149" s="966">
        <v>2.0499999999999998</v>
      </c>
      <c r="J149" s="966">
        <v>1.97</v>
      </c>
      <c r="K149" s="966"/>
      <c r="L149" s="831"/>
      <c r="M149" s="830"/>
      <c r="N149" s="830"/>
      <c r="O149" s="831"/>
      <c r="P149" s="830"/>
      <c r="Q149" s="832"/>
      <c r="R149" s="982">
        <f t="shared" si="4"/>
        <v>4.0199999999999996</v>
      </c>
      <c r="S149" s="833">
        <v>0.3</v>
      </c>
      <c r="T149" s="983">
        <f t="shared" si="5"/>
        <v>1.2059999999999997</v>
      </c>
      <c r="U149" s="830"/>
      <c r="V149" s="834" t="s">
        <v>899</v>
      </c>
    </row>
    <row r="150" spans="1:22" hidden="1">
      <c r="A150" s="836"/>
      <c r="B150" s="837" t="s">
        <v>757</v>
      </c>
      <c r="C150" s="838"/>
      <c r="D150" s="954"/>
      <c r="E150" s="1070"/>
      <c r="F150" s="965"/>
      <c r="G150" s="966"/>
      <c r="H150" s="966"/>
      <c r="I150" s="966"/>
      <c r="J150" s="966"/>
      <c r="K150" s="966"/>
      <c r="L150" s="831"/>
      <c r="M150" s="830"/>
      <c r="N150" s="830"/>
      <c r="O150" s="831"/>
      <c r="P150" s="830"/>
      <c r="Q150" s="832"/>
      <c r="R150" s="982">
        <f t="shared" si="4"/>
        <v>0</v>
      </c>
      <c r="S150" s="833"/>
      <c r="T150" s="981">
        <f t="shared" si="5"/>
        <v>0</v>
      </c>
      <c r="U150" s="830"/>
      <c r="V150" s="834"/>
    </row>
    <row r="151" spans="1:22" hidden="1">
      <c r="A151" s="836"/>
      <c r="B151" s="948" t="s">
        <v>754</v>
      </c>
      <c r="C151" s="838"/>
      <c r="D151" s="954"/>
      <c r="E151" s="1070"/>
      <c r="F151" s="965"/>
      <c r="G151" s="966"/>
      <c r="H151" s="966"/>
      <c r="I151" s="966"/>
      <c r="J151" s="966"/>
      <c r="K151" s="966"/>
      <c r="L151" s="831"/>
      <c r="M151" s="830"/>
      <c r="N151" s="830"/>
      <c r="O151" s="831"/>
      <c r="P151" s="830"/>
      <c r="Q151" s="832"/>
      <c r="R151" s="982">
        <f t="shared" si="4"/>
        <v>0</v>
      </c>
      <c r="S151" s="833"/>
      <c r="T151" s="981">
        <f t="shared" si="5"/>
        <v>0</v>
      </c>
      <c r="U151" s="830"/>
      <c r="V151" s="834"/>
    </row>
    <row r="152" spans="1:22" s="826" customFormat="1">
      <c r="A152" s="836">
        <v>33</v>
      </c>
      <c r="B152" s="969" t="s">
        <v>727</v>
      </c>
      <c r="C152" s="970" t="s">
        <v>755</v>
      </c>
      <c r="D152" s="946" t="s">
        <v>663</v>
      </c>
      <c r="E152" s="1069"/>
      <c r="F152" s="1059"/>
      <c r="G152" s="1060"/>
      <c r="H152" s="1060"/>
      <c r="I152" s="1060"/>
      <c r="J152" s="1060"/>
      <c r="K152" s="1060"/>
      <c r="L152" s="843"/>
      <c r="M152" s="842"/>
      <c r="N152" s="842"/>
      <c r="O152" s="843"/>
      <c r="P152" s="842"/>
      <c r="Q152" s="844"/>
      <c r="R152" s="982">
        <f t="shared" si="4"/>
        <v>0</v>
      </c>
      <c r="S152" s="825"/>
      <c r="T152" s="1061">
        <f t="shared" si="5"/>
        <v>0</v>
      </c>
      <c r="U152" s="830"/>
      <c r="V152" s="824"/>
    </row>
    <row r="153" spans="1:22" s="826" customFormat="1" ht="22.8">
      <c r="A153" s="836"/>
      <c r="B153" s="823" t="s">
        <v>756</v>
      </c>
      <c r="C153" s="1038" t="s">
        <v>761</v>
      </c>
      <c r="D153" s="954"/>
      <c r="E153" s="1069"/>
      <c r="F153" s="1059"/>
      <c r="G153" s="1060"/>
      <c r="H153" s="1060"/>
      <c r="I153" s="1060"/>
      <c r="J153" s="1060"/>
      <c r="K153" s="1060"/>
      <c r="L153" s="1060"/>
      <c r="M153" s="1060"/>
      <c r="N153" s="1060"/>
      <c r="O153" s="1060"/>
      <c r="P153" s="1060"/>
      <c r="Q153" s="1060"/>
      <c r="R153" s="982"/>
      <c r="S153" s="825"/>
      <c r="T153" s="1062"/>
      <c r="U153" s="830">
        <v>2.7</v>
      </c>
      <c r="V153" s="824"/>
    </row>
    <row r="154" spans="1:22" s="826" customFormat="1" ht="22.8">
      <c r="A154" s="836"/>
      <c r="B154" s="823" t="s">
        <v>903</v>
      </c>
      <c r="C154" s="1038" t="s">
        <v>762</v>
      </c>
      <c r="D154" s="954"/>
      <c r="E154" s="1069"/>
      <c r="F154" s="1059"/>
      <c r="G154" s="1060"/>
      <c r="H154" s="1060"/>
      <c r="I154" s="1060"/>
      <c r="J154" s="1060"/>
      <c r="K154" s="1060"/>
      <c r="L154" s="1060"/>
      <c r="M154" s="1060"/>
      <c r="N154" s="1060"/>
      <c r="O154" s="1060"/>
      <c r="P154" s="1060"/>
      <c r="Q154" s="1060"/>
      <c r="R154" s="982"/>
      <c r="S154" s="825"/>
      <c r="T154" s="1062"/>
      <c r="U154" s="830">
        <v>2.5299999999999998</v>
      </c>
      <c r="V154" s="824"/>
    </row>
    <row r="155" spans="1:22" s="826" customFormat="1" ht="22.8">
      <c r="A155" s="836"/>
      <c r="B155" s="823" t="s">
        <v>890</v>
      </c>
      <c r="C155" s="1038" t="s">
        <v>687</v>
      </c>
      <c r="D155" s="954"/>
      <c r="E155" s="1069"/>
      <c r="F155" s="1059"/>
      <c r="G155" s="1060"/>
      <c r="H155" s="1060"/>
      <c r="I155" s="1060"/>
      <c r="J155" s="1060"/>
      <c r="K155" s="1060"/>
      <c r="L155" s="1060"/>
      <c r="M155" s="1060"/>
      <c r="N155" s="1060"/>
      <c r="O155" s="1060"/>
      <c r="P155" s="1060"/>
      <c r="Q155" s="1060"/>
      <c r="R155" s="982"/>
      <c r="S155" s="825"/>
      <c r="T155" s="1062"/>
      <c r="U155" s="830">
        <v>2.0299999999999998</v>
      </c>
      <c r="V155" s="824"/>
    </row>
    <row r="156" spans="1:22" s="826" customFormat="1">
      <c r="A156" s="836"/>
      <c r="B156" s="823" t="s">
        <v>891</v>
      </c>
      <c r="C156" s="1038"/>
      <c r="D156" s="954"/>
      <c r="E156" s="1069"/>
      <c r="F156" s="1059"/>
      <c r="G156" s="1060"/>
      <c r="H156" s="1060"/>
      <c r="I156" s="1060"/>
      <c r="J156" s="1060"/>
      <c r="K156" s="1060"/>
      <c r="L156" s="843"/>
      <c r="M156" s="842"/>
      <c r="N156" s="842"/>
      <c r="O156" s="843"/>
      <c r="P156" s="842"/>
      <c r="Q156" s="844"/>
      <c r="R156" s="982">
        <f t="shared" si="4"/>
        <v>0</v>
      </c>
      <c r="S156" s="825"/>
      <c r="T156" s="1061">
        <f t="shared" si="5"/>
        <v>0</v>
      </c>
      <c r="U156" s="830"/>
      <c r="V156" s="824"/>
    </row>
    <row r="157" spans="1:22" s="826" customFormat="1">
      <c r="A157" s="836"/>
      <c r="B157" s="1040" t="s">
        <v>937</v>
      </c>
      <c r="C157" s="1038"/>
      <c r="D157" s="954"/>
      <c r="E157" s="1069"/>
      <c r="F157" s="1059"/>
      <c r="G157" s="1060"/>
      <c r="H157" s="1060"/>
      <c r="I157" s="1060"/>
      <c r="J157" s="1060"/>
      <c r="K157" s="1060"/>
      <c r="L157" s="843"/>
      <c r="M157" s="842"/>
      <c r="N157" s="842"/>
      <c r="O157" s="843"/>
      <c r="P157" s="842"/>
      <c r="Q157" s="844"/>
      <c r="R157" s="982">
        <f t="shared" si="4"/>
        <v>0</v>
      </c>
      <c r="S157" s="825"/>
      <c r="T157" s="1061">
        <f t="shared" si="5"/>
        <v>0</v>
      </c>
      <c r="U157" s="830"/>
      <c r="V157" s="824"/>
    </row>
    <row r="158" spans="1:22" hidden="1">
      <c r="A158" s="836">
        <v>34</v>
      </c>
      <c r="B158" s="969" t="s">
        <v>764</v>
      </c>
      <c r="C158" s="970" t="s">
        <v>763</v>
      </c>
      <c r="D158" s="947" t="s">
        <v>663</v>
      </c>
      <c r="E158" s="1070"/>
      <c r="F158" s="965"/>
      <c r="G158" s="966"/>
      <c r="H158" s="966"/>
      <c r="I158" s="966"/>
      <c r="J158" s="966"/>
      <c r="K158" s="966"/>
      <c r="L158" s="831"/>
      <c r="M158" s="830"/>
      <c r="N158" s="830"/>
      <c r="O158" s="831"/>
      <c r="P158" s="830"/>
      <c r="Q158" s="832"/>
      <c r="R158" s="982">
        <f t="shared" si="4"/>
        <v>0</v>
      </c>
      <c r="S158" s="833"/>
      <c r="T158" s="981">
        <f t="shared" si="5"/>
        <v>0</v>
      </c>
      <c r="U158" s="830"/>
      <c r="V158" s="834"/>
    </row>
    <row r="159" spans="1:22" hidden="1">
      <c r="A159" s="836"/>
      <c r="B159" s="837" t="s">
        <v>765</v>
      </c>
      <c r="C159" s="838" t="s">
        <v>615</v>
      </c>
      <c r="D159" s="954"/>
      <c r="E159" s="1070"/>
      <c r="F159" s="965"/>
      <c r="G159" s="966"/>
      <c r="H159" s="966"/>
      <c r="I159" s="966"/>
      <c r="J159" s="966"/>
      <c r="K159" s="966"/>
      <c r="L159" s="831"/>
      <c r="M159" s="830"/>
      <c r="N159" s="830"/>
      <c r="O159" s="831"/>
      <c r="P159" s="830"/>
      <c r="Q159" s="832"/>
      <c r="R159" s="982">
        <f t="shared" si="4"/>
        <v>0</v>
      </c>
      <c r="S159" s="833"/>
      <c r="T159" s="981">
        <f t="shared" si="5"/>
        <v>0</v>
      </c>
      <c r="U159" s="830"/>
      <c r="V159" s="834"/>
    </row>
    <row r="160" spans="1:22" hidden="1">
      <c r="A160" s="836"/>
      <c r="B160" s="837" t="s">
        <v>770</v>
      </c>
      <c r="C160" s="838"/>
      <c r="D160" s="954"/>
      <c r="E160" s="1070"/>
      <c r="F160" s="965"/>
      <c r="G160" s="966"/>
      <c r="H160" s="966"/>
      <c r="I160" s="966"/>
      <c r="J160" s="966"/>
      <c r="K160" s="966"/>
      <c r="L160" s="831"/>
      <c r="M160" s="830"/>
      <c r="N160" s="830"/>
      <c r="O160" s="831"/>
      <c r="P160" s="830"/>
      <c r="Q160" s="832"/>
      <c r="R160" s="982">
        <f t="shared" si="4"/>
        <v>0</v>
      </c>
      <c r="S160" s="833"/>
      <c r="T160" s="981">
        <f t="shared" si="5"/>
        <v>0</v>
      </c>
      <c r="U160" s="830"/>
      <c r="V160" s="834"/>
    </row>
    <row r="161" spans="1:22" hidden="1">
      <c r="A161" s="836"/>
      <c r="B161" s="948" t="s">
        <v>766</v>
      </c>
      <c r="C161" s="838"/>
      <c r="D161" s="954"/>
      <c r="E161" s="1070"/>
      <c r="F161" s="965"/>
      <c r="G161" s="966"/>
      <c r="H161" s="966"/>
      <c r="I161" s="966"/>
      <c r="J161" s="966"/>
      <c r="K161" s="966"/>
      <c r="L161" s="831"/>
      <c r="M161" s="830"/>
      <c r="N161" s="830"/>
      <c r="O161" s="831"/>
      <c r="P161" s="830"/>
      <c r="Q161" s="832"/>
      <c r="R161" s="982">
        <f t="shared" si="4"/>
        <v>0</v>
      </c>
      <c r="S161" s="833"/>
      <c r="T161" s="981">
        <f t="shared" si="5"/>
        <v>0</v>
      </c>
      <c r="U161" s="830"/>
      <c r="V161" s="834"/>
    </row>
    <row r="162" spans="1:22" hidden="1">
      <c r="A162" s="836"/>
      <c r="B162" s="948"/>
      <c r="C162" s="838"/>
      <c r="D162" s="954"/>
      <c r="E162" s="1070"/>
      <c r="F162" s="965"/>
      <c r="G162" s="966"/>
      <c r="H162" s="966"/>
      <c r="I162" s="966"/>
      <c r="J162" s="966"/>
      <c r="K162" s="966"/>
      <c r="L162" s="831"/>
      <c r="M162" s="830"/>
      <c r="N162" s="830"/>
      <c r="O162" s="831"/>
      <c r="P162" s="830"/>
      <c r="Q162" s="832"/>
      <c r="R162" s="982">
        <f t="shared" si="4"/>
        <v>0</v>
      </c>
      <c r="S162" s="833"/>
      <c r="T162" s="981">
        <f t="shared" si="5"/>
        <v>0</v>
      </c>
      <c r="U162" s="830"/>
      <c r="V162" s="834"/>
    </row>
    <row r="163" spans="1:22">
      <c r="A163" s="836">
        <v>35</v>
      </c>
      <c r="B163" s="969" t="s">
        <v>769</v>
      </c>
      <c r="C163" s="970" t="s">
        <v>767</v>
      </c>
      <c r="D163" s="946" t="s">
        <v>611</v>
      </c>
      <c r="E163" s="1070"/>
      <c r="F163" s="965"/>
      <c r="G163" s="966"/>
      <c r="H163" s="966"/>
      <c r="I163" s="966"/>
      <c r="J163" s="966"/>
      <c r="K163" s="966"/>
      <c r="L163" s="831"/>
      <c r="M163" s="830"/>
      <c r="N163" s="830"/>
      <c r="O163" s="831"/>
      <c r="P163" s="830"/>
      <c r="Q163" s="832"/>
      <c r="R163" s="982">
        <f t="shared" si="4"/>
        <v>0</v>
      </c>
      <c r="S163" s="833"/>
      <c r="T163" s="981">
        <f t="shared" si="5"/>
        <v>0</v>
      </c>
      <c r="U163" s="830"/>
      <c r="V163" s="834" t="s">
        <v>786</v>
      </c>
    </row>
    <row r="164" spans="1:22">
      <c r="A164" s="836"/>
      <c r="B164" s="948" t="s">
        <v>912</v>
      </c>
      <c r="C164" s="838"/>
      <c r="D164" s="954"/>
      <c r="E164" s="1070"/>
      <c r="F164" s="965"/>
      <c r="G164" s="966"/>
      <c r="H164" s="966"/>
      <c r="I164" s="966"/>
      <c r="J164" s="966"/>
      <c r="K164" s="966"/>
      <c r="L164" s="831"/>
      <c r="M164" s="830"/>
      <c r="N164" s="830"/>
      <c r="O164" s="831"/>
      <c r="P164" s="830"/>
      <c r="Q164" s="832"/>
      <c r="R164" s="982">
        <f t="shared" si="4"/>
        <v>0</v>
      </c>
      <c r="S164" s="833"/>
      <c r="T164" s="981">
        <f t="shared" si="5"/>
        <v>0</v>
      </c>
      <c r="U164" s="830"/>
      <c r="V164" s="834"/>
    </row>
    <row r="165" spans="1:22">
      <c r="A165" s="836"/>
      <c r="B165" s="948"/>
      <c r="C165" s="838"/>
      <c r="D165" s="954"/>
      <c r="E165" s="1070"/>
      <c r="F165" s="965"/>
      <c r="G165" s="966"/>
      <c r="H165" s="966"/>
      <c r="I165" s="966"/>
      <c r="J165" s="966"/>
      <c r="K165" s="966"/>
      <c r="L165" s="831"/>
      <c r="M165" s="830"/>
      <c r="N165" s="830"/>
      <c r="O165" s="831"/>
      <c r="P165" s="830"/>
      <c r="Q165" s="832"/>
      <c r="R165" s="982">
        <f t="shared" si="4"/>
        <v>0</v>
      </c>
      <c r="S165" s="833"/>
      <c r="T165" s="981">
        <f t="shared" si="5"/>
        <v>0</v>
      </c>
      <c r="U165" s="830"/>
      <c r="V165" s="834"/>
    </row>
    <row r="166" spans="1:22">
      <c r="A166" s="836"/>
      <c r="B166" s="948" t="s">
        <v>783</v>
      </c>
      <c r="C166" s="838"/>
      <c r="D166" s="954"/>
      <c r="E166" s="1070"/>
      <c r="F166" s="965"/>
      <c r="G166" s="966"/>
      <c r="H166" s="966"/>
      <c r="I166" s="966"/>
      <c r="J166" s="966"/>
      <c r="K166" s="966"/>
      <c r="L166" s="831"/>
      <c r="M166" s="830"/>
      <c r="N166" s="830"/>
      <c r="O166" s="831"/>
      <c r="P166" s="830"/>
      <c r="Q166" s="832"/>
      <c r="R166" s="982">
        <f t="shared" si="4"/>
        <v>0</v>
      </c>
      <c r="S166" s="833"/>
      <c r="T166" s="981">
        <f t="shared" si="5"/>
        <v>0</v>
      </c>
      <c r="U166" s="830"/>
      <c r="V166" s="834"/>
    </row>
    <row r="167" spans="1:22">
      <c r="A167" s="836"/>
      <c r="B167" s="948" t="s">
        <v>768</v>
      </c>
      <c r="C167" s="838"/>
      <c r="D167" s="954"/>
      <c r="E167" s="1070"/>
      <c r="F167" s="965"/>
      <c r="G167" s="966"/>
      <c r="H167" s="966"/>
      <c r="I167" s="966"/>
      <c r="J167" s="966"/>
      <c r="K167" s="966"/>
      <c r="L167" s="831"/>
      <c r="M167" s="830"/>
      <c r="N167" s="830"/>
      <c r="O167" s="831"/>
      <c r="P167" s="830"/>
      <c r="Q167" s="832"/>
      <c r="R167" s="982">
        <f t="shared" si="4"/>
        <v>0</v>
      </c>
      <c r="S167" s="833"/>
      <c r="T167" s="981">
        <f t="shared" si="5"/>
        <v>0</v>
      </c>
      <c r="U167" s="830"/>
      <c r="V167" s="834"/>
    </row>
    <row r="168" spans="1:22">
      <c r="A168" s="836"/>
      <c r="B168" s="948"/>
      <c r="C168" s="838"/>
      <c r="D168" s="954"/>
      <c r="E168" s="1070"/>
      <c r="F168" s="965"/>
      <c r="G168" s="966"/>
      <c r="H168" s="966"/>
      <c r="I168" s="966"/>
      <c r="J168" s="966"/>
      <c r="K168" s="966"/>
      <c r="L168" s="831"/>
      <c r="M168" s="830"/>
      <c r="N168" s="830"/>
      <c r="O168" s="831"/>
      <c r="P168" s="830"/>
      <c r="Q168" s="832"/>
      <c r="R168" s="982">
        <f t="shared" si="4"/>
        <v>0</v>
      </c>
      <c r="S168" s="833"/>
      <c r="T168" s="981">
        <f t="shared" si="5"/>
        <v>0</v>
      </c>
      <c r="U168" s="830"/>
      <c r="V168" s="834"/>
    </row>
    <row r="169" spans="1:22">
      <c r="A169" s="836">
        <v>36</v>
      </c>
      <c r="B169" s="969" t="s">
        <v>693</v>
      </c>
      <c r="C169" s="970" t="s">
        <v>771</v>
      </c>
      <c r="D169" s="947" t="s">
        <v>663</v>
      </c>
      <c r="E169" s="1070"/>
      <c r="F169" s="965"/>
      <c r="G169" s="966"/>
      <c r="H169" s="966"/>
      <c r="I169" s="966"/>
      <c r="J169" s="966"/>
      <c r="K169" s="966"/>
      <c r="L169" s="831"/>
      <c r="M169" s="830"/>
      <c r="N169" s="830"/>
      <c r="O169" s="831"/>
      <c r="P169" s="830"/>
      <c r="Q169" s="832"/>
      <c r="R169" s="982">
        <f t="shared" si="4"/>
        <v>0</v>
      </c>
      <c r="S169" s="833"/>
      <c r="T169" s="981">
        <f t="shared" si="5"/>
        <v>0</v>
      </c>
      <c r="U169" s="830"/>
      <c r="V169" s="834"/>
    </row>
    <row r="170" spans="1:22">
      <c r="A170" s="836"/>
      <c r="B170" s="837" t="s">
        <v>773</v>
      </c>
      <c r="C170" s="838" t="s">
        <v>615</v>
      </c>
      <c r="D170" s="954"/>
      <c r="E170" s="1070"/>
      <c r="F170" s="965"/>
      <c r="G170" s="966"/>
      <c r="H170" s="966"/>
      <c r="I170" s="966"/>
      <c r="J170" s="966"/>
      <c r="K170" s="966"/>
      <c r="L170" s="831"/>
      <c r="M170" s="830"/>
      <c r="N170" s="830"/>
      <c r="O170" s="831"/>
      <c r="P170" s="830"/>
      <c r="Q170" s="832"/>
      <c r="R170" s="982">
        <f t="shared" si="4"/>
        <v>0</v>
      </c>
      <c r="S170" s="833"/>
      <c r="T170" s="981">
        <f t="shared" si="5"/>
        <v>0</v>
      </c>
      <c r="U170" s="830"/>
      <c r="V170" s="834"/>
    </row>
    <row r="171" spans="1:22">
      <c r="A171" s="836"/>
      <c r="B171" s="837" t="s">
        <v>774</v>
      </c>
      <c r="C171" s="838" t="s">
        <v>688</v>
      </c>
      <c r="D171" s="954"/>
      <c r="E171" s="1070"/>
      <c r="F171" s="965"/>
      <c r="G171" s="966"/>
      <c r="H171" s="966"/>
      <c r="I171" s="966"/>
      <c r="J171" s="966"/>
      <c r="K171" s="966"/>
      <c r="L171" s="831"/>
      <c r="M171" s="830"/>
      <c r="N171" s="830"/>
      <c r="O171" s="831"/>
      <c r="P171" s="830"/>
      <c r="Q171" s="832"/>
      <c r="R171" s="982">
        <f t="shared" si="4"/>
        <v>0</v>
      </c>
      <c r="S171" s="833"/>
      <c r="T171" s="981">
        <f t="shared" si="5"/>
        <v>0</v>
      </c>
      <c r="U171" s="830"/>
      <c r="V171" s="834"/>
    </row>
    <row r="172" spans="1:22">
      <c r="A172" s="836"/>
      <c r="B172" s="837" t="s">
        <v>775</v>
      </c>
      <c r="C172" s="838"/>
      <c r="D172" s="954"/>
      <c r="E172" s="1070"/>
      <c r="F172" s="965"/>
      <c r="G172" s="966"/>
      <c r="H172" s="966"/>
      <c r="I172" s="966"/>
      <c r="J172" s="966"/>
      <c r="K172" s="966"/>
      <c r="L172" s="831"/>
      <c r="M172" s="830"/>
      <c r="N172" s="830"/>
      <c r="O172" s="831"/>
      <c r="P172" s="830"/>
      <c r="Q172" s="832"/>
      <c r="R172" s="982">
        <f t="shared" si="4"/>
        <v>0</v>
      </c>
      <c r="S172" s="833"/>
      <c r="T172" s="981">
        <f t="shared" si="5"/>
        <v>0</v>
      </c>
      <c r="U172" s="830"/>
      <c r="V172" s="834"/>
    </row>
    <row r="173" spans="1:22">
      <c r="A173" s="836"/>
      <c r="B173" s="837" t="s">
        <v>776</v>
      </c>
      <c r="C173" s="838"/>
      <c r="D173" s="954"/>
      <c r="E173" s="1070"/>
      <c r="F173" s="965"/>
      <c r="G173" s="966"/>
      <c r="H173" s="966"/>
      <c r="I173" s="966"/>
      <c r="J173" s="966"/>
      <c r="K173" s="966"/>
      <c r="L173" s="831"/>
      <c r="M173" s="830"/>
      <c r="N173" s="830"/>
      <c r="O173" s="831"/>
      <c r="P173" s="830"/>
      <c r="Q173" s="832"/>
      <c r="R173" s="982">
        <f t="shared" si="4"/>
        <v>0</v>
      </c>
      <c r="S173" s="833"/>
      <c r="T173" s="981">
        <f t="shared" si="5"/>
        <v>0</v>
      </c>
      <c r="U173" s="830"/>
      <c r="V173" s="834"/>
    </row>
    <row r="174" spans="1:22">
      <c r="A174" s="836"/>
      <c r="B174" s="948" t="s">
        <v>772</v>
      </c>
      <c r="C174" s="838"/>
      <c r="D174" s="954"/>
      <c r="E174" s="1070"/>
      <c r="F174" s="965"/>
      <c r="G174" s="966"/>
      <c r="H174" s="966"/>
      <c r="I174" s="966"/>
      <c r="J174" s="966"/>
      <c r="K174" s="966"/>
      <c r="L174" s="831"/>
      <c r="M174" s="830"/>
      <c r="N174" s="830"/>
      <c r="O174" s="831"/>
      <c r="P174" s="830"/>
      <c r="Q174" s="832"/>
      <c r="R174" s="982">
        <f t="shared" si="4"/>
        <v>0</v>
      </c>
      <c r="S174" s="833"/>
      <c r="T174" s="981">
        <f t="shared" si="5"/>
        <v>0</v>
      </c>
      <c r="U174" s="830"/>
      <c r="V174" s="834"/>
    </row>
    <row r="175" spans="1:22">
      <c r="A175" s="836"/>
      <c r="B175" s="948" t="s">
        <v>777</v>
      </c>
      <c r="C175" s="838"/>
      <c r="D175" s="954"/>
      <c r="E175" s="1070"/>
      <c r="F175" s="965"/>
      <c r="G175" s="966"/>
      <c r="H175" s="966"/>
      <c r="I175" s="966"/>
      <c r="J175" s="966"/>
      <c r="K175" s="966"/>
      <c r="L175" s="831"/>
      <c r="M175" s="830"/>
      <c r="N175" s="830"/>
      <c r="O175" s="831"/>
      <c r="P175" s="830"/>
      <c r="Q175" s="832"/>
      <c r="R175" s="982">
        <f t="shared" si="4"/>
        <v>0</v>
      </c>
      <c r="S175" s="833"/>
      <c r="T175" s="981">
        <f t="shared" si="5"/>
        <v>0</v>
      </c>
      <c r="U175" s="830"/>
      <c r="V175" s="834"/>
    </row>
    <row r="176" spans="1:22">
      <c r="A176" s="836"/>
      <c r="B176" s="948"/>
      <c r="C176" s="838"/>
      <c r="D176" s="954"/>
      <c r="E176" s="1070"/>
      <c r="F176" s="965"/>
      <c r="G176" s="966"/>
      <c r="H176" s="966"/>
      <c r="I176" s="966"/>
      <c r="J176" s="966"/>
      <c r="K176" s="966"/>
      <c r="L176" s="831"/>
      <c r="M176" s="830"/>
      <c r="N176" s="830"/>
      <c r="O176" s="831"/>
      <c r="P176" s="830"/>
      <c r="Q176" s="832"/>
      <c r="R176" s="982">
        <f t="shared" si="4"/>
        <v>0</v>
      </c>
      <c r="S176" s="833"/>
      <c r="T176" s="981">
        <f t="shared" si="5"/>
        <v>0</v>
      </c>
      <c r="U176" s="830"/>
      <c r="V176" s="834"/>
    </row>
    <row r="177" spans="1:22">
      <c r="A177" s="836">
        <v>37</v>
      </c>
      <c r="B177" s="969"/>
      <c r="C177" s="970" t="s">
        <v>778</v>
      </c>
      <c r="D177" s="946" t="s">
        <v>611</v>
      </c>
      <c r="E177" s="1070"/>
      <c r="F177" s="965"/>
      <c r="G177" s="966"/>
      <c r="H177" s="966"/>
      <c r="I177" s="966"/>
      <c r="J177" s="966"/>
      <c r="K177" s="966"/>
      <c r="L177" s="831"/>
      <c r="M177" s="830"/>
      <c r="N177" s="830"/>
      <c r="O177" s="831"/>
      <c r="P177" s="830"/>
      <c r="Q177" s="832"/>
      <c r="R177" s="982">
        <f t="shared" si="4"/>
        <v>0</v>
      </c>
      <c r="S177" s="833"/>
      <c r="T177" s="981">
        <f t="shared" si="5"/>
        <v>0</v>
      </c>
      <c r="U177" s="830"/>
      <c r="V177" s="834"/>
    </row>
    <row r="178" spans="1:22">
      <c r="A178" s="836"/>
      <c r="B178" s="837" t="s">
        <v>780</v>
      </c>
      <c r="C178" s="838"/>
      <c r="D178" s="954"/>
      <c r="E178" s="1070"/>
      <c r="F178" s="965"/>
      <c r="G178" s="966"/>
      <c r="H178" s="966"/>
      <c r="I178" s="966"/>
      <c r="J178" s="966"/>
      <c r="K178" s="966"/>
      <c r="L178" s="831"/>
      <c r="M178" s="830"/>
      <c r="N178" s="830"/>
      <c r="O178" s="831"/>
      <c r="P178" s="830"/>
      <c r="Q178" s="832"/>
      <c r="R178" s="982">
        <f t="shared" si="4"/>
        <v>0</v>
      </c>
      <c r="S178" s="833"/>
      <c r="T178" s="981">
        <f t="shared" si="5"/>
        <v>0</v>
      </c>
      <c r="U178" s="830"/>
      <c r="V178" s="834"/>
    </row>
    <row r="179" spans="1:22">
      <c r="A179" s="836"/>
      <c r="B179" s="837" t="s">
        <v>774</v>
      </c>
      <c r="C179" s="838"/>
      <c r="D179" s="954"/>
      <c r="E179" s="1070"/>
      <c r="F179" s="965"/>
      <c r="G179" s="966"/>
      <c r="H179" s="966"/>
      <c r="I179" s="966"/>
      <c r="J179" s="966"/>
      <c r="K179" s="966"/>
      <c r="L179" s="831"/>
      <c r="M179" s="830"/>
      <c r="N179" s="830"/>
      <c r="O179" s="831"/>
      <c r="P179" s="830"/>
      <c r="Q179" s="832"/>
      <c r="R179" s="982">
        <f t="shared" si="4"/>
        <v>0</v>
      </c>
      <c r="S179" s="833"/>
      <c r="T179" s="981">
        <f t="shared" si="5"/>
        <v>0</v>
      </c>
      <c r="U179" s="830"/>
      <c r="V179" s="834"/>
    </row>
    <row r="180" spans="1:22">
      <c r="A180" s="836"/>
      <c r="B180" s="837" t="s">
        <v>781</v>
      </c>
      <c r="C180" s="838"/>
      <c r="D180" s="954"/>
      <c r="E180" s="1070"/>
      <c r="F180" s="965"/>
      <c r="G180" s="966"/>
      <c r="H180" s="966"/>
      <c r="I180" s="966"/>
      <c r="J180" s="966"/>
      <c r="K180" s="966"/>
      <c r="L180" s="831"/>
      <c r="M180" s="830"/>
      <c r="N180" s="830"/>
      <c r="O180" s="831"/>
      <c r="P180" s="830"/>
      <c r="Q180" s="832"/>
      <c r="R180" s="982">
        <f t="shared" si="4"/>
        <v>0</v>
      </c>
      <c r="S180" s="833"/>
      <c r="T180" s="981">
        <f t="shared" si="5"/>
        <v>0</v>
      </c>
      <c r="U180" s="830"/>
      <c r="V180" s="834"/>
    </row>
    <row r="181" spans="1:22">
      <c r="A181" s="836"/>
      <c r="B181" s="948" t="s">
        <v>779</v>
      </c>
      <c r="C181" s="838"/>
      <c r="D181" s="954"/>
      <c r="E181" s="1070"/>
      <c r="F181" s="965"/>
      <c r="G181" s="966"/>
      <c r="H181" s="966"/>
      <c r="I181" s="966"/>
      <c r="J181" s="966"/>
      <c r="K181" s="966"/>
      <c r="L181" s="831"/>
      <c r="M181" s="830"/>
      <c r="N181" s="830"/>
      <c r="O181" s="831"/>
      <c r="P181" s="830"/>
      <c r="Q181" s="832"/>
      <c r="R181" s="982">
        <f t="shared" si="4"/>
        <v>0</v>
      </c>
      <c r="S181" s="833"/>
      <c r="T181" s="981">
        <f t="shared" si="5"/>
        <v>0</v>
      </c>
      <c r="U181" s="830"/>
      <c r="V181" s="834"/>
    </row>
    <row r="182" spans="1:22">
      <c r="A182" s="836"/>
      <c r="B182" s="948" t="s">
        <v>782</v>
      </c>
      <c r="C182" s="838"/>
      <c r="D182" s="954"/>
      <c r="E182" s="1070"/>
      <c r="F182" s="965"/>
      <c r="G182" s="966"/>
      <c r="H182" s="966"/>
      <c r="I182" s="966"/>
      <c r="J182" s="966"/>
      <c r="K182" s="966"/>
      <c r="L182" s="831"/>
      <c r="M182" s="830"/>
      <c r="N182" s="830"/>
      <c r="O182" s="831"/>
      <c r="P182" s="830"/>
      <c r="Q182" s="832"/>
      <c r="R182" s="982">
        <f t="shared" si="4"/>
        <v>0</v>
      </c>
      <c r="S182" s="833"/>
      <c r="T182" s="981">
        <f t="shared" si="5"/>
        <v>0</v>
      </c>
      <c r="U182" s="830"/>
      <c r="V182" s="834"/>
    </row>
    <row r="183" spans="1:22">
      <c r="A183" s="836"/>
      <c r="B183" s="948"/>
      <c r="C183" s="838"/>
      <c r="D183" s="954"/>
      <c r="E183" s="1070"/>
      <c r="F183" s="965"/>
      <c r="G183" s="966"/>
      <c r="H183" s="966"/>
      <c r="I183" s="966"/>
      <c r="J183" s="966"/>
      <c r="K183" s="966"/>
      <c r="L183" s="831"/>
      <c r="M183" s="830"/>
      <c r="N183" s="830"/>
      <c r="O183" s="831"/>
      <c r="P183" s="830"/>
      <c r="Q183" s="832"/>
      <c r="R183" s="982">
        <f t="shared" si="4"/>
        <v>0</v>
      </c>
      <c r="S183" s="833"/>
      <c r="T183" s="981">
        <f t="shared" si="5"/>
        <v>0</v>
      </c>
      <c r="U183" s="830"/>
      <c r="V183" s="834"/>
    </row>
    <row r="184" spans="1:22">
      <c r="A184" s="836">
        <v>38</v>
      </c>
      <c r="B184" s="969" t="s">
        <v>794</v>
      </c>
      <c r="C184" s="970" t="s">
        <v>788</v>
      </c>
      <c r="D184" s="947" t="s">
        <v>663</v>
      </c>
      <c r="E184" s="1070"/>
      <c r="F184" s="965"/>
      <c r="G184" s="966"/>
      <c r="H184" s="966"/>
      <c r="I184" s="966"/>
      <c r="J184" s="966"/>
      <c r="K184" s="966"/>
      <c r="L184" s="831"/>
      <c r="M184" s="830"/>
      <c r="N184" s="830"/>
      <c r="O184" s="831"/>
      <c r="P184" s="830"/>
      <c r="Q184" s="832"/>
      <c r="R184" s="982">
        <f t="shared" si="4"/>
        <v>0</v>
      </c>
      <c r="S184" s="833"/>
      <c r="T184" s="981">
        <f t="shared" si="5"/>
        <v>0</v>
      </c>
      <c r="U184" s="830"/>
      <c r="V184" s="834" t="s">
        <v>786</v>
      </c>
    </row>
    <row r="185" spans="1:22">
      <c r="A185" s="836"/>
      <c r="B185" s="837" t="s">
        <v>791</v>
      </c>
      <c r="C185" s="838"/>
      <c r="D185" s="954"/>
      <c r="E185" s="1070"/>
      <c r="F185" s="965"/>
      <c r="G185" s="966"/>
      <c r="H185" s="966"/>
      <c r="I185" s="966"/>
      <c r="J185" s="966"/>
      <c r="K185" s="966"/>
      <c r="L185" s="831"/>
      <c r="M185" s="830"/>
      <c r="N185" s="830"/>
      <c r="O185" s="831"/>
      <c r="P185" s="830"/>
      <c r="Q185" s="832"/>
      <c r="R185" s="982">
        <f t="shared" si="4"/>
        <v>0</v>
      </c>
      <c r="S185" s="833"/>
      <c r="T185" s="981">
        <f t="shared" si="5"/>
        <v>0</v>
      </c>
      <c r="U185" s="830"/>
      <c r="V185" s="834"/>
    </row>
    <row r="186" spans="1:22" ht="22.2">
      <c r="A186" s="836"/>
      <c r="B186" s="837" t="s">
        <v>792</v>
      </c>
      <c r="C186" s="838" t="s">
        <v>889</v>
      </c>
      <c r="D186" s="954"/>
      <c r="E186" s="1070"/>
      <c r="F186" s="965"/>
      <c r="G186" s="966"/>
      <c r="H186" s="966"/>
      <c r="I186" s="966"/>
      <c r="J186" s="966"/>
      <c r="K186" s="966"/>
      <c r="L186" s="831"/>
      <c r="M186" s="830"/>
      <c r="N186" s="830"/>
      <c r="O186" s="831"/>
      <c r="P186" s="830"/>
      <c r="Q186" s="832">
        <v>0.43</v>
      </c>
      <c r="R186" s="982">
        <f t="shared" si="4"/>
        <v>0.43</v>
      </c>
      <c r="S186" s="833">
        <v>0.3</v>
      </c>
      <c r="T186" s="1056">
        <f t="shared" si="5"/>
        <v>0.129</v>
      </c>
      <c r="U186" s="830"/>
      <c r="V186" s="834"/>
    </row>
    <row r="187" spans="1:22">
      <c r="A187" s="836"/>
      <c r="B187" s="837" t="s">
        <v>793</v>
      </c>
      <c r="C187" s="838"/>
      <c r="D187" s="954"/>
      <c r="E187" s="1070"/>
      <c r="F187" s="965"/>
      <c r="G187" s="966"/>
      <c r="H187" s="966"/>
      <c r="I187" s="966"/>
      <c r="J187" s="966"/>
      <c r="K187" s="966"/>
      <c r="L187" s="831"/>
      <c r="M187" s="830"/>
      <c r="N187" s="830"/>
      <c r="O187" s="831"/>
      <c r="P187" s="830"/>
      <c r="Q187" s="832"/>
      <c r="R187" s="982">
        <f t="shared" si="4"/>
        <v>0</v>
      </c>
      <c r="S187" s="833"/>
      <c r="T187" s="981">
        <f t="shared" si="5"/>
        <v>0</v>
      </c>
      <c r="U187" s="830"/>
      <c r="V187" s="834"/>
    </row>
    <row r="188" spans="1:22">
      <c r="A188" s="836"/>
      <c r="B188" s="837" t="s">
        <v>885</v>
      </c>
      <c r="C188" s="838" t="s">
        <v>888</v>
      </c>
      <c r="D188" s="954"/>
      <c r="E188" s="1070"/>
      <c r="F188" s="965"/>
      <c r="G188" s="966"/>
      <c r="H188" s="966"/>
      <c r="I188" s="966"/>
      <c r="J188" s="966"/>
      <c r="K188" s="966"/>
      <c r="L188" s="831"/>
      <c r="M188" s="830"/>
      <c r="N188" s="830"/>
      <c r="O188" s="831"/>
      <c r="P188" s="830"/>
      <c r="Q188" s="832"/>
      <c r="R188" s="982">
        <f t="shared" si="4"/>
        <v>0</v>
      </c>
      <c r="S188" s="833"/>
      <c r="T188" s="981">
        <f t="shared" si="5"/>
        <v>0</v>
      </c>
      <c r="U188" s="830"/>
      <c r="V188" s="834"/>
    </row>
    <row r="189" spans="1:22">
      <c r="A189" s="836"/>
      <c r="B189" s="837" t="s">
        <v>886</v>
      </c>
      <c r="C189" s="838"/>
      <c r="D189" s="954"/>
      <c r="E189" s="1070"/>
      <c r="F189" s="965"/>
      <c r="G189" s="966"/>
      <c r="H189" s="966"/>
      <c r="I189" s="966"/>
      <c r="J189" s="966"/>
      <c r="K189" s="966"/>
      <c r="L189" s="831"/>
      <c r="M189" s="830"/>
      <c r="N189" s="830"/>
      <c r="O189" s="831"/>
      <c r="P189" s="830"/>
      <c r="Q189" s="832"/>
      <c r="R189" s="982">
        <f t="shared" si="4"/>
        <v>0</v>
      </c>
      <c r="S189" s="833"/>
      <c r="T189" s="981">
        <f t="shared" si="5"/>
        <v>0</v>
      </c>
      <c r="U189" s="830"/>
      <c r="V189" s="834"/>
    </row>
    <row r="190" spans="1:22">
      <c r="A190" s="836"/>
      <c r="B190" s="837" t="s">
        <v>887</v>
      </c>
      <c r="C190" s="838"/>
      <c r="D190" s="954"/>
      <c r="E190" s="1070"/>
      <c r="F190" s="965"/>
      <c r="G190" s="966"/>
      <c r="H190" s="966"/>
      <c r="I190" s="966"/>
      <c r="J190" s="966"/>
      <c r="K190" s="966"/>
      <c r="L190" s="831"/>
      <c r="M190" s="830"/>
      <c r="N190" s="830"/>
      <c r="O190" s="831"/>
      <c r="P190" s="830"/>
      <c r="Q190" s="832"/>
      <c r="R190" s="982">
        <f t="shared" si="4"/>
        <v>0</v>
      </c>
      <c r="S190" s="833"/>
      <c r="T190" s="981">
        <f t="shared" si="5"/>
        <v>0</v>
      </c>
      <c r="U190" s="830"/>
      <c r="V190" s="834"/>
    </row>
    <row r="191" spans="1:22">
      <c r="A191" s="836"/>
      <c r="B191" s="948" t="s">
        <v>790</v>
      </c>
      <c r="C191" s="838"/>
      <c r="D191" s="954"/>
      <c r="E191" s="1070"/>
      <c r="F191" s="965"/>
      <c r="G191" s="966"/>
      <c r="H191" s="966"/>
      <c r="I191" s="966"/>
      <c r="J191" s="966"/>
      <c r="K191" s="966"/>
      <c r="L191" s="831"/>
      <c r="M191" s="830"/>
      <c r="N191" s="830"/>
      <c r="O191" s="831"/>
      <c r="P191" s="830"/>
      <c r="Q191" s="832"/>
      <c r="R191" s="982">
        <f t="shared" si="4"/>
        <v>0</v>
      </c>
      <c r="S191" s="833"/>
      <c r="T191" s="981">
        <f t="shared" si="5"/>
        <v>0</v>
      </c>
      <c r="U191" s="830"/>
      <c r="V191" s="834"/>
    </row>
    <row r="192" spans="1:22">
      <c r="A192" s="836"/>
      <c r="B192" s="948" t="s">
        <v>789</v>
      </c>
      <c r="C192" s="838"/>
      <c r="D192" s="954"/>
      <c r="E192" s="1070"/>
      <c r="F192" s="965"/>
      <c r="G192" s="966"/>
      <c r="H192" s="966"/>
      <c r="I192" s="966"/>
      <c r="J192" s="966"/>
      <c r="K192" s="966"/>
      <c r="L192" s="831"/>
      <c r="M192" s="830"/>
      <c r="N192" s="830"/>
      <c r="O192" s="831"/>
      <c r="P192" s="830"/>
      <c r="Q192" s="832"/>
      <c r="R192" s="982">
        <f t="shared" si="4"/>
        <v>0</v>
      </c>
      <c r="S192" s="833"/>
      <c r="T192" s="981">
        <f t="shared" si="5"/>
        <v>0</v>
      </c>
      <c r="U192" s="830"/>
      <c r="V192" s="834"/>
    </row>
    <row r="193" spans="1:22">
      <c r="A193" s="836">
        <v>39</v>
      </c>
      <c r="B193" s="969" t="s">
        <v>913</v>
      </c>
      <c r="C193" s="970" t="s">
        <v>906</v>
      </c>
      <c r="D193" s="947" t="s">
        <v>663</v>
      </c>
      <c r="E193" s="1070"/>
      <c r="F193" s="965"/>
      <c r="G193" s="966"/>
      <c r="H193" s="966"/>
      <c r="I193" s="966"/>
      <c r="J193" s="966"/>
      <c r="K193" s="966"/>
      <c r="L193" s="831"/>
      <c r="M193" s="830"/>
      <c r="N193" s="830"/>
      <c r="O193" s="831"/>
      <c r="P193" s="830"/>
      <c r="Q193" s="832"/>
      <c r="R193" s="982">
        <f t="shared" si="4"/>
        <v>0</v>
      </c>
      <c r="S193" s="833"/>
      <c r="T193" s="981">
        <f t="shared" si="5"/>
        <v>0</v>
      </c>
      <c r="U193" s="830"/>
      <c r="V193" s="834"/>
    </row>
    <row r="194" spans="1:22">
      <c r="A194" s="836"/>
      <c r="B194" s="837" t="s">
        <v>907</v>
      </c>
      <c r="C194" s="838" t="s">
        <v>615</v>
      </c>
      <c r="D194" s="954"/>
      <c r="E194" s="1070"/>
      <c r="F194" s="965"/>
      <c r="G194" s="966"/>
      <c r="H194" s="966"/>
      <c r="I194" s="966"/>
      <c r="J194" s="966"/>
      <c r="K194" s="966"/>
      <c r="L194" s="831"/>
      <c r="M194" s="830"/>
      <c r="N194" s="830"/>
      <c r="O194" s="831"/>
      <c r="P194" s="830"/>
      <c r="Q194" s="832"/>
      <c r="R194" s="982">
        <f t="shared" si="4"/>
        <v>0</v>
      </c>
      <c r="S194" s="833"/>
      <c r="T194" s="981">
        <f t="shared" si="5"/>
        <v>0</v>
      </c>
      <c r="U194" s="830"/>
      <c r="V194" s="834"/>
    </row>
    <row r="195" spans="1:22">
      <c r="A195" s="836"/>
      <c r="B195" s="837" t="s">
        <v>908</v>
      </c>
      <c r="C195" s="838" t="s">
        <v>941</v>
      </c>
      <c r="D195" s="954"/>
      <c r="E195" s="1070"/>
      <c r="F195" s="965"/>
      <c r="G195" s="966"/>
      <c r="H195" s="966"/>
      <c r="I195" s="966"/>
      <c r="J195" s="966"/>
      <c r="K195" s="966"/>
      <c r="L195" s="831"/>
      <c r="M195" s="830"/>
      <c r="N195" s="830"/>
      <c r="O195" s="831"/>
      <c r="P195" s="830"/>
      <c r="Q195" s="832"/>
      <c r="R195" s="982">
        <f t="shared" si="4"/>
        <v>0</v>
      </c>
      <c r="S195" s="833"/>
      <c r="T195" s="981">
        <f t="shared" si="5"/>
        <v>0</v>
      </c>
      <c r="U195" s="830"/>
      <c r="V195" s="834"/>
    </row>
    <row r="196" spans="1:22">
      <c r="A196" s="836"/>
      <c r="B196" s="837" t="s">
        <v>774</v>
      </c>
      <c r="C196" s="838"/>
      <c r="D196" s="954"/>
      <c r="E196" s="1070"/>
      <c r="F196" s="965"/>
      <c r="G196" s="966"/>
      <c r="H196" s="966"/>
      <c r="I196" s="966"/>
      <c r="J196" s="966"/>
      <c r="K196" s="966"/>
      <c r="L196" s="831"/>
      <c r="M196" s="830"/>
      <c r="N196" s="830"/>
      <c r="O196" s="831"/>
      <c r="P196" s="830"/>
      <c r="Q196" s="832"/>
      <c r="R196" s="982">
        <f t="shared" si="4"/>
        <v>0</v>
      </c>
      <c r="S196" s="833"/>
      <c r="T196" s="981">
        <f t="shared" si="5"/>
        <v>0</v>
      </c>
      <c r="U196" s="830"/>
      <c r="V196" s="834"/>
    </row>
    <row r="197" spans="1:22">
      <c r="A197" s="836"/>
      <c r="B197" s="837" t="s">
        <v>909</v>
      </c>
      <c r="C197" s="838"/>
      <c r="D197" s="954"/>
      <c r="E197" s="1070"/>
      <c r="F197" s="965"/>
      <c r="G197" s="966"/>
      <c r="H197" s="966"/>
      <c r="I197" s="966"/>
      <c r="J197" s="966"/>
      <c r="K197" s="966"/>
      <c r="L197" s="831"/>
      <c r="M197" s="830"/>
      <c r="N197" s="830"/>
      <c r="O197" s="831"/>
      <c r="P197" s="830"/>
      <c r="Q197" s="832"/>
      <c r="R197" s="982">
        <f t="shared" ref="R197:R231" si="6">SUM(F197:Q197)</f>
        <v>0</v>
      </c>
      <c r="S197" s="833"/>
      <c r="T197" s="981">
        <f t="shared" si="5"/>
        <v>0</v>
      </c>
      <c r="U197" s="830"/>
      <c r="V197" s="834"/>
    </row>
    <row r="198" spans="1:22">
      <c r="A198" s="836"/>
      <c r="B198" s="837" t="s">
        <v>895</v>
      </c>
      <c r="C198" s="838"/>
      <c r="D198" s="954"/>
      <c r="E198" s="1070"/>
      <c r="F198" s="965"/>
      <c r="G198" s="966"/>
      <c r="H198" s="966"/>
      <c r="I198" s="966"/>
      <c r="J198" s="966"/>
      <c r="K198" s="966"/>
      <c r="L198" s="831"/>
      <c r="M198" s="830"/>
      <c r="N198" s="830"/>
      <c r="O198" s="831"/>
      <c r="P198" s="830"/>
      <c r="Q198" s="832"/>
      <c r="R198" s="982">
        <f t="shared" si="6"/>
        <v>0</v>
      </c>
      <c r="S198" s="833"/>
      <c r="T198" s="981">
        <f t="shared" si="5"/>
        <v>0</v>
      </c>
      <c r="U198" s="830"/>
      <c r="V198" s="834"/>
    </row>
    <row r="199" spans="1:22">
      <c r="A199" s="836"/>
      <c r="B199" s="948" t="s">
        <v>910</v>
      </c>
      <c r="C199" s="838"/>
      <c r="D199" s="954"/>
      <c r="E199" s="1070"/>
      <c r="F199" s="965"/>
      <c r="G199" s="966"/>
      <c r="H199" s="966"/>
      <c r="I199" s="966"/>
      <c r="J199" s="966"/>
      <c r="K199" s="966"/>
      <c r="L199" s="831"/>
      <c r="M199" s="830"/>
      <c r="N199" s="830"/>
      <c r="O199" s="831"/>
      <c r="P199" s="830"/>
      <c r="Q199" s="832"/>
      <c r="R199" s="982">
        <f t="shared" si="6"/>
        <v>0</v>
      </c>
      <c r="S199" s="833"/>
      <c r="T199" s="981">
        <f t="shared" si="5"/>
        <v>0</v>
      </c>
      <c r="U199" s="830"/>
      <c r="V199" s="834"/>
    </row>
    <row r="200" spans="1:22">
      <c r="A200" s="836"/>
      <c r="B200" s="948" t="s">
        <v>782</v>
      </c>
      <c r="C200" s="838"/>
      <c r="D200" s="954"/>
      <c r="E200" s="1070"/>
      <c r="F200" s="965"/>
      <c r="G200" s="966"/>
      <c r="H200" s="966"/>
      <c r="I200" s="966"/>
      <c r="J200" s="966"/>
      <c r="K200" s="966"/>
      <c r="L200" s="831"/>
      <c r="M200" s="830"/>
      <c r="N200" s="830"/>
      <c r="O200" s="831"/>
      <c r="P200" s="830"/>
      <c r="Q200" s="832"/>
      <c r="R200" s="982">
        <f t="shared" si="6"/>
        <v>0</v>
      </c>
      <c r="S200" s="833"/>
      <c r="T200" s="981">
        <f t="shared" si="5"/>
        <v>0</v>
      </c>
      <c r="U200" s="830"/>
      <c r="V200" s="834"/>
    </row>
    <row r="201" spans="1:22">
      <c r="A201" s="836"/>
      <c r="B201" s="948" t="s">
        <v>911</v>
      </c>
      <c r="C201" s="838"/>
      <c r="D201" s="954"/>
      <c r="E201" s="1070"/>
      <c r="F201" s="965"/>
      <c r="G201" s="966"/>
      <c r="H201" s="966"/>
      <c r="I201" s="966"/>
      <c r="J201" s="966"/>
      <c r="K201" s="966"/>
      <c r="L201" s="831"/>
      <c r="M201" s="830"/>
      <c r="N201" s="830"/>
      <c r="O201" s="831"/>
      <c r="P201" s="830"/>
      <c r="Q201" s="832"/>
      <c r="R201" s="982">
        <f t="shared" si="6"/>
        <v>0</v>
      </c>
      <c r="S201" s="833"/>
      <c r="T201" s="981">
        <f t="shared" si="5"/>
        <v>0</v>
      </c>
      <c r="U201" s="830"/>
      <c r="V201" s="834"/>
    </row>
    <row r="202" spans="1:22">
      <c r="A202" s="836">
        <v>40</v>
      </c>
      <c r="B202" s="973" t="s">
        <v>722</v>
      </c>
      <c r="C202" s="970" t="s">
        <v>914</v>
      </c>
      <c r="D202" s="947" t="s">
        <v>663</v>
      </c>
      <c r="E202" s="1070"/>
      <c r="F202" s="965"/>
      <c r="G202" s="966"/>
      <c r="H202" s="966"/>
      <c r="I202" s="966"/>
      <c r="J202" s="966"/>
      <c r="K202" s="966"/>
      <c r="L202" s="831"/>
      <c r="M202" s="830"/>
      <c r="N202" s="830"/>
      <c r="O202" s="831"/>
      <c r="P202" s="830"/>
      <c r="Q202" s="832"/>
      <c r="R202" s="982">
        <f t="shared" si="6"/>
        <v>0</v>
      </c>
      <c r="S202" s="833"/>
      <c r="T202" s="981">
        <f t="shared" ref="T202:T231" si="7">R202*S202</f>
        <v>0</v>
      </c>
      <c r="U202" s="830"/>
      <c r="V202" s="834"/>
    </row>
    <row r="203" spans="1:22">
      <c r="A203" s="836"/>
      <c r="B203" s="835"/>
      <c r="C203" s="838" t="s">
        <v>615</v>
      </c>
      <c r="D203" s="954"/>
      <c r="E203" s="1070"/>
      <c r="F203" s="965"/>
      <c r="G203" s="966"/>
      <c r="H203" s="966"/>
      <c r="I203" s="966"/>
      <c r="J203" s="966"/>
      <c r="K203" s="966"/>
      <c r="L203" s="831"/>
      <c r="M203" s="830"/>
      <c r="N203" s="830"/>
      <c r="O203" s="831"/>
      <c r="P203" s="830"/>
      <c r="Q203" s="832"/>
      <c r="R203" s="982">
        <f t="shared" si="6"/>
        <v>0</v>
      </c>
      <c r="S203" s="833"/>
      <c r="T203" s="981">
        <f t="shared" si="7"/>
        <v>0</v>
      </c>
      <c r="U203" s="830"/>
      <c r="V203" s="834"/>
    </row>
    <row r="204" spans="1:22">
      <c r="A204" s="836"/>
      <c r="B204" s="837"/>
      <c r="C204" s="838" t="s">
        <v>688</v>
      </c>
      <c r="D204" s="954"/>
      <c r="E204" s="1070"/>
      <c r="F204" s="965"/>
      <c r="G204" s="966"/>
      <c r="H204" s="966"/>
      <c r="I204" s="966"/>
      <c r="J204" s="966"/>
      <c r="K204" s="966"/>
      <c r="L204" s="831"/>
      <c r="M204" s="830"/>
      <c r="N204" s="830"/>
      <c r="O204" s="831"/>
      <c r="P204" s="830"/>
      <c r="Q204" s="832"/>
      <c r="R204" s="982">
        <f t="shared" si="6"/>
        <v>0</v>
      </c>
      <c r="S204" s="833"/>
      <c r="T204" s="981">
        <f t="shared" si="7"/>
        <v>0</v>
      </c>
      <c r="U204" s="830"/>
      <c r="V204" s="834"/>
    </row>
    <row r="205" spans="1:22">
      <c r="A205" s="836"/>
      <c r="B205" s="948" t="s">
        <v>915</v>
      </c>
      <c r="C205" s="838"/>
      <c r="D205" s="954"/>
      <c r="E205" s="1070"/>
      <c r="F205" s="965"/>
      <c r="G205" s="966"/>
      <c r="H205" s="966"/>
      <c r="I205" s="966"/>
      <c r="J205" s="966"/>
      <c r="K205" s="966"/>
      <c r="L205" s="831"/>
      <c r="M205" s="830"/>
      <c r="N205" s="830"/>
      <c r="O205" s="831"/>
      <c r="P205" s="830"/>
      <c r="Q205" s="832"/>
      <c r="R205" s="982">
        <f t="shared" si="6"/>
        <v>0</v>
      </c>
      <c r="S205" s="833"/>
      <c r="T205" s="981">
        <f t="shared" si="7"/>
        <v>0</v>
      </c>
      <c r="U205" s="830"/>
      <c r="V205" s="834"/>
    </row>
    <row r="206" spans="1:22">
      <c r="A206" s="836"/>
      <c r="B206" s="948" t="s">
        <v>916</v>
      </c>
      <c r="C206" s="838"/>
      <c r="D206" s="954"/>
      <c r="E206" s="1070"/>
      <c r="F206" s="965"/>
      <c r="G206" s="966"/>
      <c r="H206" s="966"/>
      <c r="I206" s="966"/>
      <c r="J206" s="966"/>
      <c r="K206" s="966"/>
      <c r="L206" s="831"/>
      <c r="M206" s="830"/>
      <c r="N206" s="830"/>
      <c r="O206" s="831"/>
      <c r="P206" s="830"/>
      <c r="Q206" s="832"/>
      <c r="R206" s="982">
        <f t="shared" si="6"/>
        <v>0</v>
      </c>
      <c r="S206" s="833"/>
      <c r="T206" s="981">
        <f t="shared" si="7"/>
        <v>0</v>
      </c>
      <c r="U206" s="830"/>
      <c r="V206" s="834"/>
    </row>
    <row r="207" spans="1:22">
      <c r="A207" s="836">
        <v>41</v>
      </c>
      <c r="B207" s="973" t="s">
        <v>919</v>
      </c>
      <c r="C207" s="970" t="s">
        <v>917</v>
      </c>
      <c r="D207" s="947" t="s">
        <v>663</v>
      </c>
      <c r="E207" s="1070"/>
      <c r="F207" s="965"/>
      <c r="G207" s="966"/>
      <c r="H207" s="966"/>
      <c r="I207" s="966"/>
      <c r="J207" s="966"/>
      <c r="K207" s="966"/>
      <c r="L207" s="831"/>
      <c r="M207" s="830"/>
      <c r="N207" s="830"/>
      <c r="O207" s="831"/>
      <c r="P207" s="830"/>
      <c r="Q207" s="832"/>
      <c r="R207" s="982">
        <f t="shared" si="6"/>
        <v>0</v>
      </c>
      <c r="S207" s="833"/>
      <c r="T207" s="981">
        <f t="shared" si="7"/>
        <v>0</v>
      </c>
      <c r="U207" s="830"/>
      <c r="V207" s="834"/>
    </row>
    <row r="208" spans="1:22">
      <c r="A208" s="836"/>
      <c r="B208" s="1036" t="s">
        <v>918</v>
      </c>
      <c r="C208" s="838" t="s">
        <v>615</v>
      </c>
      <c r="D208" s="954"/>
      <c r="E208" s="1070"/>
      <c r="F208" s="965"/>
      <c r="G208" s="966"/>
      <c r="H208" s="966"/>
      <c r="I208" s="966"/>
      <c r="J208" s="966"/>
      <c r="K208" s="966"/>
      <c r="L208" s="831"/>
      <c r="M208" s="830"/>
      <c r="N208" s="830"/>
      <c r="O208" s="831"/>
      <c r="P208" s="830"/>
      <c r="Q208" s="832"/>
      <c r="R208" s="982">
        <f t="shared" si="6"/>
        <v>0</v>
      </c>
      <c r="S208" s="833"/>
      <c r="T208" s="981">
        <f t="shared" si="7"/>
        <v>0</v>
      </c>
      <c r="U208" s="830"/>
      <c r="V208" s="834"/>
    </row>
    <row r="209" spans="1:22">
      <c r="A209" s="836"/>
      <c r="B209" s="1036"/>
      <c r="C209" s="838" t="s">
        <v>688</v>
      </c>
      <c r="D209" s="954"/>
      <c r="E209" s="1070"/>
      <c r="F209" s="965"/>
      <c r="G209" s="966"/>
      <c r="H209" s="966"/>
      <c r="I209" s="966"/>
      <c r="J209" s="966"/>
      <c r="K209" s="966"/>
      <c r="L209" s="831"/>
      <c r="M209" s="830"/>
      <c r="N209" s="830"/>
      <c r="O209" s="831"/>
      <c r="P209" s="830"/>
      <c r="Q209" s="832"/>
      <c r="R209" s="982">
        <f t="shared" si="6"/>
        <v>0</v>
      </c>
      <c r="S209" s="833"/>
      <c r="T209" s="981">
        <f t="shared" si="7"/>
        <v>0</v>
      </c>
      <c r="U209" s="830"/>
      <c r="V209" s="834"/>
    </row>
    <row r="210" spans="1:22">
      <c r="A210" s="836"/>
      <c r="B210" s="948"/>
      <c r="C210" s="838"/>
      <c r="D210" s="954"/>
      <c r="E210" s="1070"/>
      <c r="F210" s="965"/>
      <c r="G210" s="966"/>
      <c r="H210" s="966"/>
      <c r="I210" s="966"/>
      <c r="J210" s="966"/>
      <c r="K210" s="966"/>
      <c r="L210" s="831"/>
      <c r="M210" s="830"/>
      <c r="N210" s="830"/>
      <c r="O210" s="831"/>
      <c r="P210" s="830"/>
      <c r="Q210" s="832"/>
      <c r="R210" s="982">
        <f t="shared" si="6"/>
        <v>0</v>
      </c>
      <c r="S210" s="833"/>
      <c r="T210" s="981">
        <f t="shared" si="7"/>
        <v>0</v>
      </c>
      <c r="U210" s="830"/>
      <c r="V210" s="834"/>
    </row>
    <row r="211" spans="1:22">
      <c r="A211" s="836">
        <v>42</v>
      </c>
      <c r="B211" s="973" t="s">
        <v>922</v>
      </c>
      <c r="C211" s="970" t="s">
        <v>923</v>
      </c>
      <c r="D211" s="947" t="s">
        <v>663</v>
      </c>
      <c r="E211" s="1070"/>
      <c r="F211" s="965"/>
      <c r="G211" s="966"/>
      <c r="H211" s="966"/>
      <c r="I211" s="966"/>
      <c r="J211" s="966"/>
      <c r="K211" s="966"/>
      <c r="L211" s="831"/>
      <c r="M211" s="830"/>
      <c r="N211" s="830"/>
      <c r="O211" s="831"/>
      <c r="P211" s="830"/>
      <c r="Q211" s="832"/>
      <c r="R211" s="982">
        <f t="shared" si="6"/>
        <v>0</v>
      </c>
      <c r="S211" s="833"/>
      <c r="T211" s="981">
        <f t="shared" si="7"/>
        <v>0</v>
      </c>
      <c r="U211" s="830"/>
      <c r="V211" s="834"/>
    </row>
    <row r="212" spans="1:22">
      <c r="A212" s="836"/>
      <c r="B212" s="948"/>
      <c r="C212" s="838" t="s">
        <v>615</v>
      </c>
      <c r="D212" s="954"/>
      <c r="E212" s="1070"/>
      <c r="F212" s="965"/>
      <c r="G212" s="966"/>
      <c r="H212" s="966"/>
      <c r="I212" s="966"/>
      <c r="J212" s="966"/>
      <c r="K212" s="966"/>
      <c r="L212" s="831"/>
      <c r="M212" s="830"/>
      <c r="N212" s="830"/>
      <c r="O212" s="831"/>
      <c r="P212" s="830"/>
      <c r="Q212" s="832"/>
      <c r="R212" s="982"/>
      <c r="S212" s="833"/>
      <c r="T212" s="981">
        <f t="shared" si="7"/>
        <v>0</v>
      </c>
      <c r="U212" s="830">
        <v>0.47</v>
      </c>
      <c r="V212" s="834"/>
    </row>
    <row r="213" spans="1:22">
      <c r="A213" s="836"/>
      <c r="B213" s="948"/>
      <c r="C213" s="838" t="s">
        <v>925</v>
      </c>
      <c r="D213" s="954"/>
      <c r="E213" s="1070"/>
      <c r="F213" s="965"/>
      <c r="G213" s="966"/>
      <c r="H213" s="966"/>
      <c r="I213" s="966"/>
      <c r="J213" s="966"/>
      <c r="K213" s="966"/>
      <c r="L213" s="831"/>
      <c r="M213" s="830"/>
      <c r="N213" s="830"/>
      <c r="O213" s="831"/>
      <c r="P213" s="830"/>
      <c r="Q213" s="832"/>
      <c r="R213" s="982"/>
      <c r="S213" s="833"/>
      <c r="T213" s="981">
        <f t="shared" si="7"/>
        <v>0</v>
      </c>
      <c r="U213" s="830">
        <v>0.12</v>
      </c>
      <c r="V213" s="834"/>
    </row>
    <row r="214" spans="1:22">
      <c r="A214" s="836">
        <v>43</v>
      </c>
      <c r="B214" s="973" t="s">
        <v>924</v>
      </c>
      <c r="C214" s="970" t="s">
        <v>926</v>
      </c>
      <c r="D214" s="947" t="s">
        <v>663</v>
      </c>
      <c r="E214" s="1070"/>
      <c r="F214" s="965"/>
      <c r="G214" s="966"/>
      <c r="H214" s="966"/>
      <c r="I214" s="966"/>
      <c r="J214" s="966"/>
      <c r="K214" s="966"/>
      <c r="L214" s="831"/>
      <c r="M214" s="830"/>
      <c r="N214" s="830"/>
      <c r="O214" s="831"/>
      <c r="P214" s="830"/>
      <c r="Q214" s="832"/>
      <c r="R214" s="982"/>
      <c r="S214" s="833"/>
      <c r="T214" s="981">
        <f t="shared" si="7"/>
        <v>0</v>
      </c>
      <c r="U214" s="830"/>
      <c r="V214" s="834"/>
    </row>
    <row r="215" spans="1:22" ht="22.2">
      <c r="A215" s="836"/>
      <c r="B215" s="948"/>
      <c r="C215" s="838" t="s">
        <v>615</v>
      </c>
      <c r="D215" s="954"/>
      <c r="E215" s="1070"/>
      <c r="F215" s="965"/>
      <c r="G215" s="966"/>
      <c r="H215" s="966">
        <v>0.01</v>
      </c>
      <c r="I215" s="966"/>
      <c r="J215" s="966"/>
      <c r="K215" s="966"/>
      <c r="L215" s="831"/>
      <c r="M215" s="830"/>
      <c r="N215" s="830"/>
      <c r="O215" s="831"/>
      <c r="P215" s="830"/>
      <c r="Q215" s="832"/>
      <c r="R215" s="982">
        <f t="shared" si="6"/>
        <v>0.01</v>
      </c>
      <c r="S215" s="833">
        <v>1</v>
      </c>
      <c r="T215" s="1067">
        <f t="shared" si="7"/>
        <v>0.01</v>
      </c>
      <c r="U215" s="830"/>
      <c r="V215" s="834"/>
    </row>
    <row r="216" spans="1:22">
      <c r="A216" s="836"/>
      <c r="B216" s="948"/>
      <c r="C216" s="838"/>
      <c r="D216" s="954"/>
      <c r="E216" s="1070"/>
      <c r="F216" s="965"/>
      <c r="G216" s="966"/>
      <c r="H216" s="966"/>
      <c r="I216" s="966"/>
      <c r="J216" s="966"/>
      <c r="K216" s="966"/>
      <c r="L216" s="831"/>
      <c r="M216" s="830"/>
      <c r="N216" s="830"/>
      <c r="O216" s="831"/>
      <c r="P216" s="830"/>
      <c r="Q216" s="832"/>
      <c r="R216" s="982"/>
      <c r="S216" s="833"/>
      <c r="T216" s="981">
        <f t="shared" si="7"/>
        <v>0</v>
      </c>
      <c r="U216" s="830"/>
      <c r="V216" s="834"/>
    </row>
    <row r="217" spans="1:22">
      <c r="A217" s="836">
        <v>44</v>
      </c>
      <c r="B217" s="973" t="s">
        <v>930</v>
      </c>
      <c r="C217" s="970" t="s">
        <v>929</v>
      </c>
      <c r="D217" s="947" t="s">
        <v>663</v>
      </c>
      <c r="E217" s="1070"/>
      <c r="F217" s="965"/>
      <c r="G217" s="966"/>
      <c r="H217" s="966"/>
      <c r="I217" s="966"/>
      <c r="J217" s="966"/>
      <c r="K217" s="966"/>
      <c r="L217" s="831"/>
      <c r="M217" s="830"/>
      <c r="N217" s="830"/>
      <c r="O217" s="831"/>
      <c r="P217" s="830"/>
      <c r="Q217" s="832"/>
      <c r="R217" s="982"/>
      <c r="S217" s="833"/>
      <c r="T217" s="981">
        <f t="shared" si="7"/>
        <v>0</v>
      </c>
      <c r="U217" s="830"/>
      <c r="V217" s="834"/>
    </row>
    <row r="218" spans="1:22" ht="22.2">
      <c r="A218" s="836"/>
      <c r="B218" s="948"/>
      <c r="C218" s="838" t="s">
        <v>931</v>
      </c>
      <c r="D218" s="954"/>
      <c r="E218" s="1070"/>
      <c r="F218" s="965"/>
      <c r="G218" s="966"/>
      <c r="H218" s="966"/>
      <c r="I218" s="966">
        <v>3.9E-2</v>
      </c>
      <c r="J218" s="966"/>
      <c r="K218" s="966"/>
      <c r="L218" s="831"/>
      <c r="M218" s="830"/>
      <c r="N218" s="830"/>
      <c r="O218" s="831"/>
      <c r="P218" s="830"/>
      <c r="Q218" s="832"/>
      <c r="R218" s="982">
        <v>0.04</v>
      </c>
      <c r="S218" s="833">
        <v>0.5</v>
      </c>
      <c r="T218" s="1067">
        <f t="shared" si="7"/>
        <v>0.02</v>
      </c>
      <c r="U218" s="830"/>
      <c r="V218" s="834"/>
    </row>
    <row r="219" spans="1:22">
      <c r="A219" s="836"/>
      <c r="B219" s="948"/>
      <c r="C219" s="838"/>
      <c r="D219" s="954"/>
      <c r="E219" s="1070"/>
      <c r="F219" s="965"/>
      <c r="G219" s="966"/>
      <c r="H219" s="966"/>
      <c r="I219" s="966"/>
      <c r="J219" s="966"/>
      <c r="K219" s="966"/>
      <c r="L219" s="831"/>
      <c r="M219" s="830"/>
      <c r="N219" s="830"/>
      <c r="O219" s="831"/>
      <c r="P219" s="830"/>
      <c r="Q219" s="832"/>
      <c r="R219" s="982"/>
      <c r="S219" s="833"/>
      <c r="T219" s="981">
        <f t="shared" si="7"/>
        <v>0</v>
      </c>
      <c r="U219" s="830"/>
      <c r="V219" s="834"/>
    </row>
    <row r="220" spans="1:22">
      <c r="A220" s="836">
        <v>45</v>
      </c>
      <c r="B220" s="973" t="s">
        <v>932</v>
      </c>
      <c r="C220" s="970" t="s">
        <v>934</v>
      </c>
      <c r="D220" s="947" t="s">
        <v>663</v>
      </c>
      <c r="E220" s="1070"/>
      <c r="F220" s="965"/>
      <c r="G220" s="966"/>
      <c r="H220" s="966"/>
      <c r="I220" s="966"/>
      <c r="J220" s="966"/>
      <c r="K220" s="966"/>
      <c r="L220" s="831"/>
      <c r="M220" s="830"/>
      <c r="N220" s="830"/>
      <c r="O220" s="831"/>
      <c r="P220" s="830"/>
      <c r="Q220" s="832"/>
      <c r="R220" s="982"/>
      <c r="S220" s="833"/>
      <c r="T220" s="981">
        <f t="shared" si="7"/>
        <v>0</v>
      </c>
      <c r="U220" s="830"/>
      <c r="V220" s="834"/>
    </row>
    <row r="221" spans="1:22">
      <c r="A221" s="836"/>
      <c r="B221" s="837" t="s">
        <v>933</v>
      </c>
      <c r="C221" s="838" t="s">
        <v>615</v>
      </c>
      <c r="D221" s="954"/>
      <c r="E221" s="1070"/>
      <c r="F221" s="965"/>
      <c r="G221" s="966"/>
      <c r="H221" s="966"/>
      <c r="I221" s="966"/>
      <c r="J221" s="966"/>
      <c r="K221" s="966"/>
      <c r="L221" s="831"/>
      <c r="M221" s="830"/>
      <c r="N221" s="830"/>
      <c r="O221" s="831"/>
      <c r="P221" s="830"/>
      <c r="Q221" s="832"/>
      <c r="R221" s="982"/>
      <c r="S221" s="833"/>
      <c r="T221" s="981">
        <f t="shared" si="7"/>
        <v>0</v>
      </c>
      <c r="U221" s="830"/>
      <c r="V221" s="834"/>
    </row>
    <row r="222" spans="1:22">
      <c r="A222" s="836"/>
      <c r="B222" s="948"/>
      <c r="C222" s="838"/>
      <c r="D222" s="954"/>
      <c r="E222" s="1070"/>
      <c r="F222" s="965"/>
      <c r="G222" s="966"/>
      <c r="H222" s="966"/>
      <c r="I222" s="966"/>
      <c r="J222" s="966"/>
      <c r="K222" s="966"/>
      <c r="L222" s="831"/>
      <c r="M222" s="830"/>
      <c r="N222" s="830"/>
      <c r="O222" s="831"/>
      <c r="P222" s="830"/>
      <c r="Q222" s="832"/>
      <c r="R222" s="982"/>
      <c r="S222" s="833"/>
      <c r="T222" s="981">
        <f t="shared" si="7"/>
        <v>0</v>
      </c>
      <c r="U222" s="830"/>
      <c r="V222" s="834"/>
    </row>
    <row r="223" spans="1:22">
      <c r="A223" s="836">
        <v>46</v>
      </c>
      <c r="B223" s="973" t="s">
        <v>932</v>
      </c>
      <c r="C223" s="970" t="s">
        <v>935</v>
      </c>
      <c r="D223" s="947" t="s">
        <v>663</v>
      </c>
      <c r="E223" s="1070"/>
      <c r="F223" s="965"/>
      <c r="G223" s="966"/>
      <c r="H223" s="966"/>
      <c r="I223" s="966"/>
      <c r="J223" s="966"/>
      <c r="K223" s="966"/>
      <c r="L223" s="831"/>
      <c r="M223" s="830"/>
      <c r="N223" s="830"/>
      <c r="O223" s="831"/>
      <c r="P223" s="830"/>
      <c r="Q223" s="832"/>
      <c r="R223" s="982"/>
      <c r="S223" s="833"/>
      <c r="T223" s="981">
        <f t="shared" si="7"/>
        <v>0</v>
      </c>
      <c r="U223" s="830"/>
      <c r="V223" s="834"/>
    </row>
    <row r="224" spans="1:22">
      <c r="A224" s="836"/>
      <c r="B224" s="837" t="s">
        <v>933</v>
      </c>
      <c r="C224" s="838" t="s">
        <v>615</v>
      </c>
      <c r="D224" s="954"/>
      <c r="E224" s="1070"/>
      <c r="F224" s="965"/>
      <c r="G224" s="966"/>
      <c r="H224" s="966"/>
      <c r="I224" s="966"/>
      <c r="J224" s="966"/>
      <c r="K224" s="966"/>
      <c r="L224" s="831"/>
      <c r="M224" s="830"/>
      <c r="N224" s="830"/>
      <c r="O224" s="831"/>
      <c r="P224" s="830"/>
      <c r="Q224" s="832"/>
      <c r="R224" s="982"/>
      <c r="S224" s="833"/>
      <c r="T224" s="981">
        <f t="shared" si="7"/>
        <v>0</v>
      </c>
      <c r="U224" s="830"/>
      <c r="V224" s="834"/>
    </row>
    <row r="225" spans="1:22">
      <c r="A225" s="836"/>
      <c r="B225" s="837"/>
      <c r="C225" s="838"/>
      <c r="D225" s="954"/>
      <c r="E225" s="1070"/>
      <c r="F225" s="965"/>
      <c r="G225" s="966"/>
      <c r="H225" s="966"/>
      <c r="I225" s="966"/>
      <c r="J225" s="966"/>
      <c r="K225" s="966"/>
      <c r="L225" s="831"/>
      <c r="M225" s="830"/>
      <c r="N225" s="830"/>
      <c r="O225" s="831"/>
      <c r="P225" s="830"/>
      <c r="Q225" s="832"/>
      <c r="R225" s="982"/>
      <c r="S225" s="833"/>
      <c r="T225" s="981"/>
      <c r="U225" s="830"/>
      <c r="V225" s="834"/>
    </row>
    <row r="226" spans="1:22">
      <c r="A226" s="1066">
        <v>47</v>
      </c>
      <c r="B226" s="973"/>
      <c r="C226" s="970" t="s">
        <v>948</v>
      </c>
      <c r="D226" s="947" t="s">
        <v>663</v>
      </c>
      <c r="E226" s="1070"/>
      <c r="F226" s="965"/>
      <c r="G226" s="966"/>
      <c r="H226" s="966"/>
      <c r="I226" s="966"/>
      <c r="J226" s="966"/>
      <c r="K226" s="966"/>
      <c r="L226" s="831"/>
      <c r="M226" s="830"/>
      <c r="N226" s="830"/>
      <c r="O226" s="831"/>
      <c r="P226" s="830"/>
      <c r="Q226" s="832"/>
      <c r="R226" s="982"/>
      <c r="S226" s="833"/>
      <c r="T226" s="981"/>
      <c r="U226" s="830"/>
      <c r="V226" s="834"/>
    </row>
    <row r="227" spans="1:22">
      <c r="A227" s="836"/>
      <c r="B227" s="837" t="s">
        <v>942</v>
      </c>
      <c r="C227" s="838" t="s">
        <v>615</v>
      </c>
      <c r="D227" s="954"/>
      <c r="E227" s="1070"/>
      <c r="F227" s="965"/>
      <c r="G227" s="966"/>
      <c r="H227" s="966"/>
      <c r="I227" s="966"/>
      <c r="J227" s="966"/>
      <c r="K227" s="966"/>
      <c r="L227" s="831"/>
      <c r="M227" s="830"/>
      <c r="N227" s="830"/>
      <c r="O227" s="831"/>
      <c r="P227" s="830"/>
      <c r="Q227" s="832"/>
      <c r="R227" s="982"/>
      <c r="S227" s="833"/>
      <c r="T227" s="981"/>
      <c r="U227" s="830"/>
      <c r="V227" s="834"/>
    </row>
    <row r="228" spans="1:22">
      <c r="A228" s="836"/>
      <c r="B228" s="837" t="s">
        <v>943</v>
      </c>
      <c r="C228" s="838"/>
      <c r="D228" s="954"/>
      <c r="E228" s="1070"/>
      <c r="F228" s="965"/>
      <c r="G228" s="966"/>
      <c r="H228" s="966"/>
      <c r="I228" s="966"/>
      <c r="J228" s="966"/>
      <c r="K228" s="966"/>
      <c r="L228" s="831"/>
      <c r="M228" s="830"/>
      <c r="N228" s="830"/>
      <c r="O228" s="831"/>
      <c r="P228" s="830"/>
      <c r="Q228" s="832"/>
      <c r="R228" s="982">
        <f t="shared" si="6"/>
        <v>0</v>
      </c>
      <c r="S228" s="833"/>
      <c r="T228" s="981">
        <f t="shared" si="7"/>
        <v>0</v>
      </c>
      <c r="U228" s="830"/>
      <c r="V228" s="834"/>
    </row>
    <row r="229" spans="1:22">
      <c r="A229" s="836"/>
      <c r="B229" s="837" t="s">
        <v>944</v>
      </c>
      <c r="C229" s="838"/>
      <c r="D229" s="954"/>
      <c r="E229" s="1070"/>
      <c r="F229" s="965"/>
      <c r="G229" s="966"/>
      <c r="H229" s="966"/>
      <c r="I229" s="966"/>
      <c r="J229" s="966"/>
      <c r="K229" s="966"/>
      <c r="L229" s="831"/>
      <c r="M229" s="830"/>
      <c r="N229" s="830"/>
      <c r="O229" s="831"/>
      <c r="P229" s="830"/>
      <c r="Q229" s="832"/>
      <c r="R229" s="982">
        <f t="shared" si="6"/>
        <v>0</v>
      </c>
      <c r="S229" s="833"/>
      <c r="T229" s="981">
        <f t="shared" si="7"/>
        <v>0</v>
      </c>
      <c r="U229" s="830"/>
      <c r="V229" s="834"/>
    </row>
    <row r="230" spans="1:22">
      <c r="A230" s="836"/>
      <c r="B230" s="948" t="s">
        <v>945</v>
      </c>
      <c r="C230" s="838"/>
      <c r="D230" s="954"/>
      <c r="E230" s="1070"/>
      <c r="F230" s="965"/>
      <c r="G230" s="966"/>
      <c r="H230" s="966"/>
      <c r="I230" s="966"/>
      <c r="J230" s="966"/>
      <c r="K230" s="966"/>
      <c r="L230" s="831"/>
      <c r="M230" s="830"/>
      <c r="N230" s="830"/>
      <c r="O230" s="831"/>
      <c r="P230" s="830"/>
      <c r="Q230" s="832"/>
      <c r="R230" s="982">
        <f t="shared" si="6"/>
        <v>0</v>
      </c>
      <c r="S230" s="833"/>
      <c r="T230" s="981">
        <f t="shared" si="7"/>
        <v>0</v>
      </c>
      <c r="U230" s="830"/>
      <c r="V230" s="834"/>
    </row>
    <row r="231" spans="1:22" ht="21.6" thickBot="1">
      <c r="A231" s="836"/>
      <c r="B231" s="948"/>
      <c r="C231" s="838"/>
      <c r="D231" s="954"/>
      <c r="E231" s="1070"/>
      <c r="F231" s="848"/>
      <c r="G231" s="849"/>
      <c r="H231" s="849"/>
      <c r="I231" s="849"/>
      <c r="J231" s="849"/>
      <c r="K231" s="849"/>
      <c r="L231" s="849"/>
      <c r="M231" s="849"/>
      <c r="N231" s="849"/>
      <c r="O231" s="831"/>
      <c r="P231" s="830"/>
      <c r="Q231" s="832"/>
      <c r="R231" s="982">
        <f t="shared" si="6"/>
        <v>0</v>
      </c>
      <c r="S231" s="833"/>
      <c r="T231" s="981">
        <f t="shared" si="7"/>
        <v>0</v>
      </c>
      <c r="U231" s="830"/>
      <c r="V231" s="834"/>
    </row>
    <row r="232" spans="1:22" ht="24" customHeight="1" thickTop="1" thickBot="1">
      <c r="A232" s="850"/>
      <c r="B232" s="1255" t="s">
        <v>608</v>
      </c>
      <c r="C232" s="1256"/>
      <c r="D232" s="955"/>
      <c r="E232" s="1071"/>
      <c r="F232" s="851"/>
      <c r="G232" s="851">
        <f>SUM(G5:G231)</f>
        <v>0</v>
      </c>
      <c r="H232" s="851">
        <f>SUM(H5:H231)</f>
        <v>0.01</v>
      </c>
      <c r="I232" s="851">
        <v>0.04</v>
      </c>
      <c r="J232" s="851" t="s">
        <v>927</v>
      </c>
      <c r="K232" s="851">
        <f>SUM(K5:K231)</f>
        <v>0</v>
      </c>
      <c r="L232" s="851" t="s">
        <v>927</v>
      </c>
      <c r="M232" s="851" t="s">
        <v>927</v>
      </c>
      <c r="N232" s="853">
        <f>SUM(N5:N231)</f>
        <v>0</v>
      </c>
      <c r="O232" s="852">
        <f>SUM(O5:O231)</f>
        <v>0</v>
      </c>
      <c r="P232" s="853">
        <f>SUM(P5:P231)</f>
        <v>0</v>
      </c>
      <c r="Q232" s="853">
        <f>SUM(Q5:Q231)</f>
        <v>0.43</v>
      </c>
      <c r="R232" s="854">
        <f>SUM(R5:R231)</f>
        <v>8.0519999999999996</v>
      </c>
      <c r="S232" s="855">
        <f>AVERAGE(S5:S231)</f>
        <v>0.52</v>
      </c>
      <c r="T232" s="852">
        <f>SUM(T5:T231)</f>
        <v>3.141</v>
      </c>
      <c r="U232" s="961">
        <f>SUM(U5:U231)</f>
        <v>53.95</v>
      </c>
      <c r="V232" s="856"/>
    </row>
    <row r="233" spans="1:22" ht="24" customHeight="1" thickBot="1"/>
    <row r="234" spans="1:22" ht="24" customHeight="1">
      <c r="Q234" s="859"/>
      <c r="R234" s="860" t="s">
        <v>637</v>
      </c>
      <c r="S234" s="861">
        <v>25</v>
      </c>
    </row>
    <row r="235" spans="1:22" ht="24" customHeight="1">
      <c r="Q235" s="859"/>
      <c r="R235" s="862" t="s">
        <v>638</v>
      </c>
      <c r="S235" s="863">
        <f>T232</f>
        <v>3.141</v>
      </c>
    </row>
    <row r="236" spans="1:22" ht="24" customHeight="1">
      <c r="Q236" s="859"/>
      <c r="R236" s="862" t="s">
        <v>639</v>
      </c>
      <c r="S236" s="864">
        <v>0.01</v>
      </c>
    </row>
    <row r="237" spans="1:22" ht="24" customHeight="1" thickBot="1">
      <c r="B237" s="1065"/>
      <c r="Q237" s="865"/>
      <c r="R237" s="866" t="s">
        <v>640</v>
      </c>
      <c r="S237" s="867">
        <f>S236/S234</f>
        <v>4.0000000000000002E-4</v>
      </c>
    </row>
    <row r="238" spans="1:22" ht="24" customHeight="1"/>
    <row r="239" spans="1:22" ht="24" customHeight="1">
      <c r="C239" s="868"/>
    </row>
    <row r="240" spans="1:22" ht="24" customHeight="1">
      <c r="C240" s="868"/>
    </row>
    <row r="241" spans="3:3" ht="24" customHeight="1">
      <c r="C241" s="868"/>
    </row>
    <row r="242" spans="3:3" ht="24" customHeight="1">
      <c r="C242" s="868"/>
    </row>
  </sheetData>
  <mergeCells count="10">
    <mergeCell ref="B232:C232"/>
    <mergeCell ref="V3:V4"/>
    <mergeCell ref="A1:C1"/>
    <mergeCell ref="A3:A4"/>
    <mergeCell ref="B3:B4"/>
    <mergeCell ref="C3:C4"/>
    <mergeCell ref="D3:D4"/>
    <mergeCell ref="F3:T3"/>
    <mergeCell ref="U3:U4"/>
    <mergeCell ref="E3:E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AEC71-4301-4536-BDD4-4F6E01208769}">
  <sheetPr>
    <tabColor rgb="FFFFFF00"/>
  </sheetPr>
  <dimension ref="A1:AJ317"/>
  <sheetViews>
    <sheetView tabSelected="1" zoomScale="85" zoomScaleNormal="85" workbookViewId="0">
      <pane xSplit="5" ySplit="4" topLeftCell="F251" activePane="bottomRight" state="frozen"/>
      <selection pane="topRight" activeCell="F1" sqref="F1"/>
      <selection pane="bottomLeft" activeCell="A5" sqref="A5"/>
      <selection pane="bottomRight" activeCell="I256" sqref="I256"/>
    </sheetView>
  </sheetViews>
  <sheetFormatPr defaultColWidth="9.109375" defaultRowHeight="21"/>
  <cols>
    <col min="1" max="1" width="5.109375" style="980" customWidth="1"/>
    <col min="2" max="2" width="30.6640625" style="803" customWidth="1"/>
    <col min="3" max="3" width="52.88671875" style="835" customWidth="1"/>
    <col min="4" max="4" width="8.21875" style="1174" customWidth="1"/>
    <col min="5" max="5" width="7.88671875" style="958" customWidth="1"/>
    <col min="6" max="6" width="8.6640625" style="835" hidden="1" customWidth="1"/>
    <col min="7" max="7" width="6.77734375" style="835" hidden="1" customWidth="1"/>
    <col min="8" max="11" width="6.77734375" style="835" customWidth="1"/>
    <col min="12" max="12" width="6.6640625" style="835" customWidth="1"/>
    <col min="13" max="17" width="6.77734375" style="835" customWidth="1"/>
    <col min="18" max="18" width="11" style="835" customWidth="1"/>
    <col min="19" max="19" width="8.6640625" style="858" customWidth="1"/>
    <col min="20" max="20" width="8.6640625" style="835" customWidth="1"/>
    <col min="21" max="21" width="14.77734375" style="857" customWidth="1"/>
    <col min="22" max="22" width="31.88671875" style="835" customWidth="1"/>
    <col min="23" max="257" width="9.109375" style="835"/>
    <col min="258" max="258" width="8.5546875" style="835" customWidth="1"/>
    <col min="259" max="259" width="45.21875" style="835" customWidth="1"/>
    <col min="260" max="260" width="61.6640625" style="835" customWidth="1"/>
    <col min="261" max="261" width="10.33203125" style="835" customWidth="1"/>
    <col min="262" max="273" width="8.6640625" style="835" customWidth="1"/>
    <col min="274" max="274" width="11" style="835" customWidth="1"/>
    <col min="275" max="276" width="8.6640625" style="835" customWidth="1"/>
    <col min="277" max="277" width="21" style="835" customWidth="1"/>
    <col min="278" max="278" width="31.88671875" style="835" customWidth="1"/>
    <col min="279" max="513" width="9.109375" style="835"/>
    <col min="514" max="514" width="8.5546875" style="835" customWidth="1"/>
    <col min="515" max="515" width="45.21875" style="835" customWidth="1"/>
    <col min="516" max="516" width="61.6640625" style="835" customWidth="1"/>
    <col min="517" max="517" width="10.33203125" style="835" customWidth="1"/>
    <col min="518" max="529" width="8.6640625" style="835" customWidth="1"/>
    <col min="530" max="530" width="11" style="835" customWidth="1"/>
    <col min="531" max="532" width="8.6640625" style="835" customWidth="1"/>
    <col min="533" max="533" width="21" style="835" customWidth="1"/>
    <col min="534" max="534" width="31.88671875" style="835" customWidth="1"/>
    <col min="535" max="769" width="9.109375" style="835"/>
    <col min="770" max="770" width="8.5546875" style="835" customWidth="1"/>
    <col min="771" max="771" width="45.21875" style="835" customWidth="1"/>
    <col min="772" max="772" width="61.6640625" style="835" customWidth="1"/>
    <col min="773" max="773" width="10.33203125" style="835" customWidth="1"/>
    <col min="774" max="785" width="8.6640625" style="835" customWidth="1"/>
    <col min="786" max="786" width="11" style="835" customWidth="1"/>
    <col min="787" max="788" width="8.6640625" style="835" customWidth="1"/>
    <col min="789" max="789" width="21" style="835" customWidth="1"/>
    <col min="790" max="790" width="31.88671875" style="835" customWidth="1"/>
    <col min="791" max="1025" width="9.109375" style="835"/>
    <col min="1026" max="1026" width="8.5546875" style="835" customWidth="1"/>
    <col min="1027" max="1027" width="45.21875" style="835" customWidth="1"/>
    <col min="1028" max="1028" width="61.6640625" style="835" customWidth="1"/>
    <col min="1029" max="1029" width="10.33203125" style="835" customWidth="1"/>
    <col min="1030" max="1041" width="8.6640625" style="835" customWidth="1"/>
    <col min="1042" max="1042" width="11" style="835" customWidth="1"/>
    <col min="1043" max="1044" width="8.6640625" style="835" customWidth="1"/>
    <col min="1045" max="1045" width="21" style="835" customWidth="1"/>
    <col min="1046" max="1046" width="31.88671875" style="835" customWidth="1"/>
    <col min="1047" max="1281" width="9.109375" style="835"/>
    <col min="1282" max="1282" width="8.5546875" style="835" customWidth="1"/>
    <col min="1283" max="1283" width="45.21875" style="835" customWidth="1"/>
    <col min="1284" max="1284" width="61.6640625" style="835" customWidth="1"/>
    <col min="1285" max="1285" width="10.33203125" style="835" customWidth="1"/>
    <col min="1286" max="1297" width="8.6640625" style="835" customWidth="1"/>
    <col min="1298" max="1298" width="11" style="835" customWidth="1"/>
    <col min="1299" max="1300" width="8.6640625" style="835" customWidth="1"/>
    <col min="1301" max="1301" width="21" style="835" customWidth="1"/>
    <col min="1302" max="1302" width="31.88671875" style="835" customWidth="1"/>
    <col min="1303" max="1537" width="9.109375" style="835"/>
    <col min="1538" max="1538" width="8.5546875" style="835" customWidth="1"/>
    <col min="1539" max="1539" width="45.21875" style="835" customWidth="1"/>
    <col min="1540" max="1540" width="61.6640625" style="835" customWidth="1"/>
    <col min="1541" max="1541" width="10.33203125" style="835" customWidth="1"/>
    <col min="1542" max="1553" width="8.6640625" style="835" customWidth="1"/>
    <col min="1554" max="1554" width="11" style="835" customWidth="1"/>
    <col min="1555" max="1556" width="8.6640625" style="835" customWidth="1"/>
    <col min="1557" max="1557" width="21" style="835" customWidth="1"/>
    <col min="1558" max="1558" width="31.88671875" style="835" customWidth="1"/>
    <col min="1559" max="1793" width="9.109375" style="835"/>
    <col min="1794" max="1794" width="8.5546875" style="835" customWidth="1"/>
    <col min="1795" max="1795" width="45.21875" style="835" customWidth="1"/>
    <col min="1796" max="1796" width="61.6640625" style="835" customWidth="1"/>
    <col min="1797" max="1797" width="10.33203125" style="835" customWidth="1"/>
    <col min="1798" max="1809" width="8.6640625" style="835" customWidth="1"/>
    <col min="1810" max="1810" width="11" style="835" customWidth="1"/>
    <col min="1811" max="1812" width="8.6640625" style="835" customWidth="1"/>
    <col min="1813" max="1813" width="21" style="835" customWidth="1"/>
    <col min="1814" max="1814" width="31.88671875" style="835" customWidth="1"/>
    <col min="1815" max="2049" width="9.109375" style="835"/>
    <col min="2050" max="2050" width="8.5546875" style="835" customWidth="1"/>
    <col min="2051" max="2051" width="45.21875" style="835" customWidth="1"/>
    <col min="2052" max="2052" width="61.6640625" style="835" customWidth="1"/>
    <col min="2053" max="2053" width="10.33203125" style="835" customWidth="1"/>
    <col min="2054" max="2065" width="8.6640625" style="835" customWidth="1"/>
    <col min="2066" max="2066" width="11" style="835" customWidth="1"/>
    <col min="2067" max="2068" width="8.6640625" style="835" customWidth="1"/>
    <col min="2069" max="2069" width="21" style="835" customWidth="1"/>
    <col min="2070" max="2070" width="31.88671875" style="835" customWidth="1"/>
    <col min="2071" max="2305" width="9.109375" style="835"/>
    <col min="2306" max="2306" width="8.5546875" style="835" customWidth="1"/>
    <col min="2307" max="2307" width="45.21875" style="835" customWidth="1"/>
    <col min="2308" max="2308" width="61.6640625" style="835" customWidth="1"/>
    <col min="2309" max="2309" width="10.33203125" style="835" customWidth="1"/>
    <col min="2310" max="2321" width="8.6640625" style="835" customWidth="1"/>
    <col min="2322" max="2322" width="11" style="835" customWidth="1"/>
    <col min="2323" max="2324" width="8.6640625" style="835" customWidth="1"/>
    <col min="2325" max="2325" width="21" style="835" customWidth="1"/>
    <col min="2326" max="2326" width="31.88671875" style="835" customWidth="1"/>
    <col min="2327" max="2561" width="9.109375" style="835"/>
    <col min="2562" max="2562" width="8.5546875" style="835" customWidth="1"/>
    <col min="2563" max="2563" width="45.21875" style="835" customWidth="1"/>
    <col min="2564" max="2564" width="61.6640625" style="835" customWidth="1"/>
    <col min="2565" max="2565" width="10.33203125" style="835" customWidth="1"/>
    <col min="2566" max="2577" width="8.6640625" style="835" customWidth="1"/>
    <col min="2578" max="2578" width="11" style="835" customWidth="1"/>
    <col min="2579" max="2580" width="8.6640625" style="835" customWidth="1"/>
    <col min="2581" max="2581" width="21" style="835" customWidth="1"/>
    <col min="2582" max="2582" width="31.88671875" style="835" customWidth="1"/>
    <col min="2583" max="2817" width="9.109375" style="835"/>
    <col min="2818" max="2818" width="8.5546875" style="835" customWidth="1"/>
    <col min="2819" max="2819" width="45.21875" style="835" customWidth="1"/>
    <col min="2820" max="2820" width="61.6640625" style="835" customWidth="1"/>
    <col min="2821" max="2821" width="10.33203125" style="835" customWidth="1"/>
    <col min="2822" max="2833" width="8.6640625" style="835" customWidth="1"/>
    <col min="2834" max="2834" width="11" style="835" customWidth="1"/>
    <col min="2835" max="2836" width="8.6640625" style="835" customWidth="1"/>
    <col min="2837" max="2837" width="21" style="835" customWidth="1"/>
    <col min="2838" max="2838" width="31.88671875" style="835" customWidth="1"/>
    <col min="2839" max="3073" width="9.109375" style="835"/>
    <col min="3074" max="3074" width="8.5546875" style="835" customWidth="1"/>
    <col min="3075" max="3075" width="45.21875" style="835" customWidth="1"/>
    <col min="3076" max="3076" width="61.6640625" style="835" customWidth="1"/>
    <col min="3077" max="3077" width="10.33203125" style="835" customWidth="1"/>
    <col min="3078" max="3089" width="8.6640625" style="835" customWidth="1"/>
    <col min="3090" max="3090" width="11" style="835" customWidth="1"/>
    <col min="3091" max="3092" width="8.6640625" style="835" customWidth="1"/>
    <col min="3093" max="3093" width="21" style="835" customWidth="1"/>
    <col min="3094" max="3094" width="31.88671875" style="835" customWidth="1"/>
    <col min="3095" max="3329" width="9.109375" style="835"/>
    <col min="3330" max="3330" width="8.5546875" style="835" customWidth="1"/>
    <col min="3331" max="3331" width="45.21875" style="835" customWidth="1"/>
    <col min="3332" max="3332" width="61.6640625" style="835" customWidth="1"/>
    <col min="3333" max="3333" width="10.33203125" style="835" customWidth="1"/>
    <col min="3334" max="3345" width="8.6640625" style="835" customWidth="1"/>
    <col min="3346" max="3346" width="11" style="835" customWidth="1"/>
    <col min="3347" max="3348" width="8.6640625" style="835" customWidth="1"/>
    <col min="3349" max="3349" width="21" style="835" customWidth="1"/>
    <col min="3350" max="3350" width="31.88671875" style="835" customWidth="1"/>
    <col min="3351" max="3585" width="9.109375" style="835"/>
    <col min="3586" max="3586" width="8.5546875" style="835" customWidth="1"/>
    <col min="3587" max="3587" width="45.21875" style="835" customWidth="1"/>
    <col min="3588" max="3588" width="61.6640625" style="835" customWidth="1"/>
    <col min="3589" max="3589" width="10.33203125" style="835" customWidth="1"/>
    <col min="3590" max="3601" width="8.6640625" style="835" customWidth="1"/>
    <col min="3602" max="3602" width="11" style="835" customWidth="1"/>
    <col min="3603" max="3604" width="8.6640625" style="835" customWidth="1"/>
    <col min="3605" max="3605" width="21" style="835" customWidth="1"/>
    <col min="3606" max="3606" width="31.88671875" style="835" customWidth="1"/>
    <col min="3607" max="3841" width="9.109375" style="835"/>
    <col min="3842" max="3842" width="8.5546875" style="835" customWidth="1"/>
    <col min="3843" max="3843" width="45.21875" style="835" customWidth="1"/>
    <col min="3844" max="3844" width="61.6640625" style="835" customWidth="1"/>
    <col min="3845" max="3845" width="10.33203125" style="835" customWidth="1"/>
    <col min="3846" max="3857" width="8.6640625" style="835" customWidth="1"/>
    <col min="3858" max="3858" width="11" style="835" customWidth="1"/>
    <col min="3859" max="3860" width="8.6640625" style="835" customWidth="1"/>
    <col min="3861" max="3861" width="21" style="835" customWidth="1"/>
    <col min="3862" max="3862" width="31.88671875" style="835" customWidth="1"/>
    <col min="3863" max="4097" width="9.109375" style="835"/>
    <col min="4098" max="4098" width="8.5546875" style="835" customWidth="1"/>
    <col min="4099" max="4099" width="45.21875" style="835" customWidth="1"/>
    <col min="4100" max="4100" width="61.6640625" style="835" customWidth="1"/>
    <col min="4101" max="4101" width="10.33203125" style="835" customWidth="1"/>
    <col min="4102" max="4113" width="8.6640625" style="835" customWidth="1"/>
    <col min="4114" max="4114" width="11" style="835" customWidth="1"/>
    <col min="4115" max="4116" width="8.6640625" style="835" customWidth="1"/>
    <col min="4117" max="4117" width="21" style="835" customWidth="1"/>
    <col min="4118" max="4118" width="31.88671875" style="835" customWidth="1"/>
    <col min="4119" max="4353" width="9.109375" style="835"/>
    <col min="4354" max="4354" width="8.5546875" style="835" customWidth="1"/>
    <col min="4355" max="4355" width="45.21875" style="835" customWidth="1"/>
    <col min="4356" max="4356" width="61.6640625" style="835" customWidth="1"/>
    <col min="4357" max="4357" width="10.33203125" style="835" customWidth="1"/>
    <col min="4358" max="4369" width="8.6640625" style="835" customWidth="1"/>
    <col min="4370" max="4370" width="11" style="835" customWidth="1"/>
    <col min="4371" max="4372" width="8.6640625" style="835" customWidth="1"/>
    <col min="4373" max="4373" width="21" style="835" customWidth="1"/>
    <col min="4374" max="4374" width="31.88671875" style="835" customWidth="1"/>
    <col min="4375" max="4609" width="9.109375" style="835"/>
    <col min="4610" max="4610" width="8.5546875" style="835" customWidth="1"/>
    <col min="4611" max="4611" width="45.21875" style="835" customWidth="1"/>
    <col min="4612" max="4612" width="61.6640625" style="835" customWidth="1"/>
    <col min="4613" max="4613" width="10.33203125" style="835" customWidth="1"/>
    <col min="4614" max="4625" width="8.6640625" style="835" customWidth="1"/>
    <col min="4626" max="4626" width="11" style="835" customWidth="1"/>
    <col min="4627" max="4628" width="8.6640625" style="835" customWidth="1"/>
    <col min="4629" max="4629" width="21" style="835" customWidth="1"/>
    <col min="4630" max="4630" width="31.88671875" style="835" customWidth="1"/>
    <col min="4631" max="4865" width="9.109375" style="835"/>
    <col min="4866" max="4866" width="8.5546875" style="835" customWidth="1"/>
    <col min="4867" max="4867" width="45.21875" style="835" customWidth="1"/>
    <col min="4868" max="4868" width="61.6640625" style="835" customWidth="1"/>
    <col min="4869" max="4869" width="10.33203125" style="835" customWidth="1"/>
    <col min="4870" max="4881" width="8.6640625" style="835" customWidth="1"/>
    <col min="4882" max="4882" width="11" style="835" customWidth="1"/>
    <col min="4883" max="4884" width="8.6640625" style="835" customWidth="1"/>
    <col min="4885" max="4885" width="21" style="835" customWidth="1"/>
    <col min="4886" max="4886" width="31.88671875" style="835" customWidth="1"/>
    <col min="4887" max="5121" width="9.109375" style="835"/>
    <col min="5122" max="5122" width="8.5546875" style="835" customWidth="1"/>
    <col min="5123" max="5123" width="45.21875" style="835" customWidth="1"/>
    <col min="5124" max="5124" width="61.6640625" style="835" customWidth="1"/>
    <col min="5125" max="5125" width="10.33203125" style="835" customWidth="1"/>
    <col min="5126" max="5137" width="8.6640625" style="835" customWidth="1"/>
    <col min="5138" max="5138" width="11" style="835" customWidth="1"/>
    <col min="5139" max="5140" width="8.6640625" style="835" customWidth="1"/>
    <col min="5141" max="5141" width="21" style="835" customWidth="1"/>
    <col min="5142" max="5142" width="31.88671875" style="835" customWidth="1"/>
    <col min="5143" max="5377" width="9.109375" style="835"/>
    <col min="5378" max="5378" width="8.5546875" style="835" customWidth="1"/>
    <col min="5379" max="5379" width="45.21875" style="835" customWidth="1"/>
    <col min="5380" max="5380" width="61.6640625" style="835" customWidth="1"/>
    <col min="5381" max="5381" width="10.33203125" style="835" customWidth="1"/>
    <col min="5382" max="5393" width="8.6640625" style="835" customWidth="1"/>
    <col min="5394" max="5394" width="11" style="835" customWidth="1"/>
    <col min="5395" max="5396" width="8.6640625" style="835" customWidth="1"/>
    <col min="5397" max="5397" width="21" style="835" customWidth="1"/>
    <col min="5398" max="5398" width="31.88671875" style="835" customWidth="1"/>
    <col min="5399" max="5633" width="9.109375" style="835"/>
    <col min="5634" max="5634" width="8.5546875" style="835" customWidth="1"/>
    <col min="5635" max="5635" width="45.21875" style="835" customWidth="1"/>
    <col min="5636" max="5636" width="61.6640625" style="835" customWidth="1"/>
    <col min="5637" max="5637" width="10.33203125" style="835" customWidth="1"/>
    <col min="5638" max="5649" width="8.6640625" style="835" customWidth="1"/>
    <col min="5650" max="5650" width="11" style="835" customWidth="1"/>
    <col min="5651" max="5652" width="8.6640625" style="835" customWidth="1"/>
    <col min="5653" max="5653" width="21" style="835" customWidth="1"/>
    <col min="5654" max="5654" width="31.88671875" style="835" customWidth="1"/>
    <col min="5655" max="5889" width="9.109375" style="835"/>
    <col min="5890" max="5890" width="8.5546875" style="835" customWidth="1"/>
    <col min="5891" max="5891" width="45.21875" style="835" customWidth="1"/>
    <col min="5892" max="5892" width="61.6640625" style="835" customWidth="1"/>
    <col min="5893" max="5893" width="10.33203125" style="835" customWidth="1"/>
    <col min="5894" max="5905" width="8.6640625" style="835" customWidth="1"/>
    <col min="5906" max="5906" width="11" style="835" customWidth="1"/>
    <col min="5907" max="5908" width="8.6640625" style="835" customWidth="1"/>
    <col min="5909" max="5909" width="21" style="835" customWidth="1"/>
    <col min="5910" max="5910" width="31.88671875" style="835" customWidth="1"/>
    <col min="5911" max="6145" width="9.109375" style="835"/>
    <col min="6146" max="6146" width="8.5546875" style="835" customWidth="1"/>
    <col min="6147" max="6147" width="45.21875" style="835" customWidth="1"/>
    <col min="6148" max="6148" width="61.6640625" style="835" customWidth="1"/>
    <col min="6149" max="6149" width="10.33203125" style="835" customWidth="1"/>
    <col min="6150" max="6161" width="8.6640625" style="835" customWidth="1"/>
    <col min="6162" max="6162" width="11" style="835" customWidth="1"/>
    <col min="6163" max="6164" width="8.6640625" style="835" customWidth="1"/>
    <col min="6165" max="6165" width="21" style="835" customWidth="1"/>
    <col min="6166" max="6166" width="31.88671875" style="835" customWidth="1"/>
    <col min="6167" max="6401" width="9.109375" style="835"/>
    <col min="6402" max="6402" width="8.5546875" style="835" customWidth="1"/>
    <col min="6403" max="6403" width="45.21875" style="835" customWidth="1"/>
    <col min="6404" max="6404" width="61.6640625" style="835" customWidth="1"/>
    <col min="6405" max="6405" width="10.33203125" style="835" customWidth="1"/>
    <col min="6406" max="6417" width="8.6640625" style="835" customWidth="1"/>
    <col min="6418" max="6418" width="11" style="835" customWidth="1"/>
    <col min="6419" max="6420" width="8.6640625" style="835" customWidth="1"/>
    <col min="6421" max="6421" width="21" style="835" customWidth="1"/>
    <col min="6422" max="6422" width="31.88671875" style="835" customWidth="1"/>
    <col min="6423" max="6657" width="9.109375" style="835"/>
    <col min="6658" max="6658" width="8.5546875" style="835" customWidth="1"/>
    <col min="6659" max="6659" width="45.21875" style="835" customWidth="1"/>
    <col min="6660" max="6660" width="61.6640625" style="835" customWidth="1"/>
    <col min="6661" max="6661" width="10.33203125" style="835" customWidth="1"/>
    <col min="6662" max="6673" width="8.6640625" style="835" customWidth="1"/>
    <col min="6674" max="6674" width="11" style="835" customWidth="1"/>
    <col min="6675" max="6676" width="8.6640625" style="835" customWidth="1"/>
    <col min="6677" max="6677" width="21" style="835" customWidth="1"/>
    <col min="6678" max="6678" width="31.88671875" style="835" customWidth="1"/>
    <col min="6679" max="6913" width="9.109375" style="835"/>
    <col min="6914" max="6914" width="8.5546875" style="835" customWidth="1"/>
    <col min="6915" max="6915" width="45.21875" style="835" customWidth="1"/>
    <col min="6916" max="6916" width="61.6640625" style="835" customWidth="1"/>
    <col min="6917" max="6917" width="10.33203125" style="835" customWidth="1"/>
    <col min="6918" max="6929" width="8.6640625" style="835" customWidth="1"/>
    <col min="6930" max="6930" width="11" style="835" customWidth="1"/>
    <col min="6931" max="6932" width="8.6640625" style="835" customWidth="1"/>
    <col min="6933" max="6933" width="21" style="835" customWidth="1"/>
    <col min="6934" max="6934" width="31.88671875" style="835" customWidth="1"/>
    <col min="6935" max="7169" width="9.109375" style="835"/>
    <col min="7170" max="7170" width="8.5546875" style="835" customWidth="1"/>
    <col min="7171" max="7171" width="45.21875" style="835" customWidth="1"/>
    <col min="7172" max="7172" width="61.6640625" style="835" customWidth="1"/>
    <col min="7173" max="7173" width="10.33203125" style="835" customWidth="1"/>
    <col min="7174" max="7185" width="8.6640625" style="835" customWidth="1"/>
    <col min="7186" max="7186" width="11" style="835" customWidth="1"/>
    <col min="7187" max="7188" width="8.6640625" style="835" customWidth="1"/>
    <col min="7189" max="7189" width="21" style="835" customWidth="1"/>
    <col min="7190" max="7190" width="31.88671875" style="835" customWidth="1"/>
    <col min="7191" max="7425" width="9.109375" style="835"/>
    <col min="7426" max="7426" width="8.5546875" style="835" customWidth="1"/>
    <col min="7427" max="7427" width="45.21875" style="835" customWidth="1"/>
    <col min="7428" max="7428" width="61.6640625" style="835" customWidth="1"/>
    <col min="7429" max="7429" width="10.33203125" style="835" customWidth="1"/>
    <col min="7430" max="7441" width="8.6640625" style="835" customWidth="1"/>
    <col min="7442" max="7442" width="11" style="835" customWidth="1"/>
    <col min="7443" max="7444" width="8.6640625" style="835" customWidth="1"/>
    <col min="7445" max="7445" width="21" style="835" customWidth="1"/>
    <col min="7446" max="7446" width="31.88671875" style="835" customWidth="1"/>
    <col min="7447" max="7681" width="9.109375" style="835"/>
    <col min="7682" max="7682" width="8.5546875" style="835" customWidth="1"/>
    <col min="7683" max="7683" width="45.21875" style="835" customWidth="1"/>
    <col min="7684" max="7684" width="61.6640625" style="835" customWidth="1"/>
    <col min="7685" max="7685" width="10.33203125" style="835" customWidth="1"/>
    <col min="7686" max="7697" width="8.6640625" style="835" customWidth="1"/>
    <col min="7698" max="7698" width="11" style="835" customWidth="1"/>
    <col min="7699" max="7700" width="8.6640625" style="835" customWidth="1"/>
    <col min="7701" max="7701" width="21" style="835" customWidth="1"/>
    <col min="7702" max="7702" width="31.88671875" style="835" customWidth="1"/>
    <col min="7703" max="7937" width="9.109375" style="835"/>
    <col min="7938" max="7938" width="8.5546875" style="835" customWidth="1"/>
    <col min="7939" max="7939" width="45.21875" style="835" customWidth="1"/>
    <col min="7940" max="7940" width="61.6640625" style="835" customWidth="1"/>
    <col min="7941" max="7941" width="10.33203125" style="835" customWidth="1"/>
    <col min="7942" max="7953" width="8.6640625" style="835" customWidth="1"/>
    <col min="7954" max="7954" width="11" style="835" customWidth="1"/>
    <col min="7955" max="7956" width="8.6640625" style="835" customWidth="1"/>
    <col min="7957" max="7957" width="21" style="835" customWidth="1"/>
    <col min="7958" max="7958" width="31.88671875" style="835" customWidth="1"/>
    <col min="7959" max="8193" width="9.109375" style="835"/>
    <col min="8194" max="8194" width="8.5546875" style="835" customWidth="1"/>
    <col min="8195" max="8195" width="45.21875" style="835" customWidth="1"/>
    <col min="8196" max="8196" width="61.6640625" style="835" customWidth="1"/>
    <col min="8197" max="8197" width="10.33203125" style="835" customWidth="1"/>
    <col min="8198" max="8209" width="8.6640625" style="835" customWidth="1"/>
    <col min="8210" max="8210" width="11" style="835" customWidth="1"/>
    <col min="8211" max="8212" width="8.6640625" style="835" customWidth="1"/>
    <col min="8213" max="8213" width="21" style="835" customWidth="1"/>
    <col min="8214" max="8214" width="31.88671875" style="835" customWidth="1"/>
    <col min="8215" max="8449" width="9.109375" style="835"/>
    <col min="8450" max="8450" width="8.5546875" style="835" customWidth="1"/>
    <col min="8451" max="8451" width="45.21875" style="835" customWidth="1"/>
    <col min="8452" max="8452" width="61.6640625" style="835" customWidth="1"/>
    <col min="8453" max="8453" width="10.33203125" style="835" customWidth="1"/>
    <col min="8454" max="8465" width="8.6640625" style="835" customWidth="1"/>
    <col min="8466" max="8466" width="11" style="835" customWidth="1"/>
    <col min="8467" max="8468" width="8.6640625" style="835" customWidth="1"/>
    <col min="8469" max="8469" width="21" style="835" customWidth="1"/>
    <col min="8470" max="8470" width="31.88671875" style="835" customWidth="1"/>
    <col min="8471" max="8705" width="9.109375" style="835"/>
    <col min="8706" max="8706" width="8.5546875" style="835" customWidth="1"/>
    <col min="8707" max="8707" width="45.21875" style="835" customWidth="1"/>
    <col min="8708" max="8708" width="61.6640625" style="835" customWidth="1"/>
    <col min="8709" max="8709" width="10.33203125" style="835" customWidth="1"/>
    <col min="8710" max="8721" width="8.6640625" style="835" customWidth="1"/>
    <col min="8722" max="8722" width="11" style="835" customWidth="1"/>
    <col min="8723" max="8724" width="8.6640625" style="835" customWidth="1"/>
    <col min="8725" max="8725" width="21" style="835" customWidth="1"/>
    <col min="8726" max="8726" width="31.88671875" style="835" customWidth="1"/>
    <col min="8727" max="8961" width="9.109375" style="835"/>
    <col min="8962" max="8962" width="8.5546875" style="835" customWidth="1"/>
    <col min="8963" max="8963" width="45.21875" style="835" customWidth="1"/>
    <col min="8964" max="8964" width="61.6640625" style="835" customWidth="1"/>
    <col min="8965" max="8965" width="10.33203125" style="835" customWidth="1"/>
    <col min="8966" max="8977" width="8.6640625" style="835" customWidth="1"/>
    <col min="8978" max="8978" width="11" style="835" customWidth="1"/>
    <col min="8979" max="8980" width="8.6640625" style="835" customWidth="1"/>
    <col min="8981" max="8981" width="21" style="835" customWidth="1"/>
    <col min="8982" max="8982" width="31.88671875" style="835" customWidth="1"/>
    <col min="8983" max="9217" width="9.109375" style="835"/>
    <col min="9218" max="9218" width="8.5546875" style="835" customWidth="1"/>
    <col min="9219" max="9219" width="45.21875" style="835" customWidth="1"/>
    <col min="9220" max="9220" width="61.6640625" style="835" customWidth="1"/>
    <col min="9221" max="9221" width="10.33203125" style="835" customWidth="1"/>
    <col min="9222" max="9233" width="8.6640625" style="835" customWidth="1"/>
    <col min="9234" max="9234" width="11" style="835" customWidth="1"/>
    <col min="9235" max="9236" width="8.6640625" style="835" customWidth="1"/>
    <col min="9237" max="9237" width="21" style="835" customWidth="1"/>
    <col min="9238" max="9238" width="31.88671875" style="835" customWidth="1"/>
    <col min="9239" max="9473" width="9.109375" style="835"/>
    <col min="9474" max="9474" width="8.5546875" style="835" customWidth="1"/>
    <col min="9475" max="9475" width="45.21875" style="835" customWidth="1"/>
    <col min="9476" max="9476" width="61.6640625" style="835" customWidth="1"/>
    <col min="9477" max="9477" width="10.33203125" style="835" customWidth="1"/>
    <col min="9478" max="9489" width="8.6640625" style="835" customWidth="1"/>
    <col min="9490" max="9490" width="11" style="835" customWidth="1"/>
    <col min="9491" max="9492" width="8.6640625" style="835" customWidth="1"/>
    <col min="9493" max="9493" width="21" style="835" customWidth="1"/>
    <col min="9494" max="9494" width="31.88671875" style="835" customWidth="1"/>
    <col min="9495" max="9729" width="9.109375" style="835"/>
    <col min="9730" max="9730" width="8.5546875" style="835" customWidth="1"/>
    <col min="9731" max="9731" width="45.21875" style="835" customWidth="1"/>
    <col min="9732" max="9732" width="61.6640625" style="835" customWidth="1"/>
    <col min="9733" max="9733" width="10.33203125" style="835" customWidth="1"/>
    <col min="9734" max="9745" width="8.6640625" style="835" customWidth="1"/>
    <col min="9746" max="9746" width="11" style="835" customWidth="1"/>
    <col min="9747" max="9748" width="8.6640625" style="835" customWidth="1"/>
    <col min="9749" max="9749" width="21" style="835" customWidth="1"/>
    <col min="9750" max="9750" width="31.88671875" style="835" customWidth="1"/>
    <col min="9751" max="9985" width="9.109375" style="835"/>
    <col min="9986" max="9986" width="8.5546875" style="835" customWidth="1"/>
    <col min="9987" max="9987" width="45.21875" style="835" customWidth="1"/>
    <col min="9988" max="9988" width="61.6640625" style="835" customWidth="1"/>
    <col min="9989" max="9989" width="10.33203125" style="835" customWidth="1"/>
    <col min="9990" max="10001" width="8.6640625" style="835" customWidth="1"/>
    <col min="10002" max="10002" width="11" style="835" customWidth="1"/>
    <col min="10003" max="10004" width="8.6640625" style="835" customWidth="1"/>
    <col min="10005" max="10005" width="21" style="835" customWidth="1"/>
    <col min="10006" max="10006" width="31.88671875" style="835" customWidth="1"/>
    <col min="10007" max="10241" width="9.109375" style="835"/>
    <col min="10242" max="10242" width="8.5546875" style="835" customWidth="1"/>
    <col min="10243" max="10243" width="45.21875" style="835" customWidth="1"/>
    <col min="10244" max="10244" width="61.6640625" style="835" customWidth="1"/>
    <col min="10245" max="10245" width="10.33203125" style="835" customWidth="1"/>
    <col min="10246" max="10257" width="8.6640625" style="835" customWidth="1"/>
    <col min="10258" max="10258" width="11" style="835" customWidth="1"/>
    <col min="10259" max="10260" width="8.6640625" style="835" customWidth="1"/>
    <col min="10261" max="10261" width="21" style="835" customWidth="1"/>
    <col min="10262" max="10262" width="31.88671875" style="835" customWidth="1"/>
    <col min="10263" max="10497" width="9.109375" style="835"/>
    <col min="10498" max="10498" width="8.5546875" style="835" customWidth="1"/>
    <col min="10499" max="10499" width="45.21875" style="835" customWidth="1"/>
    <col min="10500" max="10500" width="61.6640625" style="835" customWidth="1"/>
    <col min="10501" max="10501" width="10.33203125" style="835" customWidth="1"/>
    <col min="10502" max="10513" width="8.6640625" style="835" customWidth="1"/>
    <col min="10514" max="10514" width="11" style="835" customWidth="1"/>
    <col min="10515" max="10516" width="8.6640625" style="835" customWidth="1"/>
    <col min="10517" max="10517" width="21" style="835" customWidth="1"/>
    <col min="10518" max="10518" width="31.88671875" style="835" customWidth="1"/>
    <col min="10519" max="10753" width="9.109375" style="835"/>
    <col min="10754" max="10754" width="8.5546875" style="835" customWidth="1"/>
    <col min="10755" max="10755" width="45.21875" style="835" customWidth="1"/>
    <col min="10756" max="10756" width="61.6640625" style="835" customWidth="1"/>
    <col min="10757" max="10757" width="10.33203125" style="835" customWidth="1"/>
    <col min="10758" max="10769" width="8.6640625" style="835" customWidth="1"/>
    <col min="10770" max="10770" width="11" style="835" customWidth="1"/>
    <col min="10771" max="10772" width="8.6640625" style="835" customWidth="1"/>
    <col min="10773" max="10773" width="21" style="835" customWidth="1"/>
    <col min="10774" max="10774" width="31.88671875" style="835" customWidth="1"/>
    <col min="10775" max="11009" width="9.109375" style="835"/>
    <col min="11010" max="11010" width="8.5546875" style="835" customWidth="1"/>
    <col min="11011" max="11011" width="45.21875" style="835" customWidth="1"/>
    <col min="11012" max="11012" width="61.6640625" style="835" customWidth="1"/>
    <col min="11013" max="11013" width="10.33203125" style="835" customWidth="1"/>
    <col min="11014" max="11025" width="8.6640625" style="835" customWidth="1"/>
    <col min="11026" max="11026" width="11" style="835" customWidth="1"/>
    <col min="11027" max="11028" width="8.6640625" style="835" customWidth="1"/>
    <col min="11029" max="11029" width="21" style="835" customWidth="1"/>
    <col min="11030" max="11030" width="31.88671875" style="835" customWidth="1"/>
    <col min="11031" max="11265" width="9.109375" style="835"/>
    <col min="11266" max="11266" width="8.5546875" style="835" customWidth="1"/>
    <col min="11267" max="11267" width="45.21875" style="835" customWidth="1"/>
    <col min="11268" max="11268" width="61.6640625" style="835" customWidth="1"/>
    <col min="11269" max="11269" width="10.33203125" style="835" customWidth="1"/>
    <col min="11270" max="11281" width="8.6640625" style="835" customWidth="1"/>
    <col min="11282" max="11282" width="11" style="835" customWidth="1"/>
    <col min="11283" max="11284" width="8.6640625" style="835" customWidth="1"/>
    <col min="11285" max="11285" width="21" style="835" customWidth="1"/>
    <col min="11286" max="11286" width="31.88671875" style="835" customWidth="1"/>
    <col min="11287" max="11521" width="9.109375" style="835"/>
    <col min="11522" max="11522" width="8.5546875" style="835" customWidth="1"/>
    <col min="11523" max="11523" width="45.21875" style="835" customWidth="1"/>
    <col min="11524" max="11524" width="61.6640625" style="835" customWidth="1"/>
    <col min="11525" max="11525" width="10.33203125" style="835" customWidth="1"/>
    <col min="11526" max="11537" width="8.6640625" style="835" customWidth="1"/>
    <col min="11538" max="11538" width="11" style="835" customWidth="1"/>
    <col min="11539" max="11540" width="8.6640625" style="835" customWidth="1"/>
    <col min="11541" max="11541" width="21" style="835" customWidth="1"/>
    <col min="11542" max="11542" width="31.88671875" style="835" customWidth="1"/>
    <col min="11543" max="11777" width="9.109375" style="835"/>
    <col min="11778" max="11778" width="8.5546875" style="835" customWidth="1"/>
    <col min="11779" max="11779" width="45.21875" style="835" customWidth="1"/>
    <col min="11780" max="11780" width="61.6640625" style="835" customWidth="1"/>
    <col min="11781" max="11781" width="10.33203125" style="835" customWidth="1"/>
    <col min="11782" max="11793" width="8.6640625" style="835" customWidth="1"/>
    <col min="11794" max="11794" width="11" style="835" customWidth="1"/>
    <col min="11795" max="11796" width="8.6640625" style="835" customWidth="1"/>
    <col min="11797" max="11797" width="21" style="835" customWidth="1"/>
    <col min="11798" max="11798" width="31.88671875" style="835" customWidth="1"/>
    <col min="11799" max="12033" width="9.109375" style="835"/>
    <col min="12034" max="12034" width="8.5546875" style="835" customWidth="1"/>
    <col min="12035" max="12035" width="45.21875" style="835" customWidth="1"/>
    <col min="12036" max="12036" width="61.6640625" style="835" customWidth="1"/>
    <col min="12037" max="12037" width="10.33203125" style="835" customWidth="1"/>
    <col min="12038" max="12049" width="8.6640625" style="835" customWidth="1"/>
    <col min="12050" max="12050" width="11" style="835" customWidth="1"/>
    <col min="12051" max="12052" width="8.6640625" style="835" customWidth="1"/>
    <col min="12053" max="12053" width="21" style="835" customWidth="1"/>
    <col min="12054" max="12054" width="31.88671875" style="835" customWidth="1"/>
    <col min="12055" max="12289" width="9.109375" style="835"/>
    <col min="12290" max="12290" width="8.5546875" style="835" customWidth="1"/>
    <col min="12291" max="12291" width="45.21875" style="835" customWidth="1"/>
    <col min="12292" max="12292" width="61.6640625" style="835" customWidth="1"/>
    <col min="12293" max="12293" width="10.33203125" style="835" customWidth="1"/>
    <col min="12294" max="12305" width="8.6640625" style="835" customWidth="1"/>
    <col min="12306" max="12306" width="11" style="835" customWidth="1"/>
    <col min="12307" max="12308" width="8.6640625" style="835" customWidth="1"/>
    <col min="12309" max="12309" width="21" style="835" customWidth="1"/>
    <col min="12310" max="12310" width="31.88671875" style="835" customWidth="1"/>
    <col min="12311" max="12545" width="9.109375" style="835"/>
    <col min="12546" max="12546" width="8.5546875" style="835" customWidth="1"/>
    <col min="12547" max="12547" width="45.21875" style="835" customWidth="1"/>
    <col min="12548" max="12548" width="61.6640625" style="835" customWidth="1"/>
    <col min="12549" max="12549" width="10.33203125" style="835" customWidth="1"/>
    <col min="12550" max="12561" width="8.6640625" style="835" customWidth="1"/>
    <col min="12562" max="12562" width="11" style="835" customWidth="1"/>
    <col min="12563" max="12564" width="8.6640625" style="835" customWidth="1"/>
    <col min="12565" max="12565" width="21" style="835" customWidth="1"/>
    <col min="12566" max="12566" width="31.88671875" style="835" customWidth="1"/>
    <col min="12567" max="12801" width="9.109375" style="835"/>
    <col min="12802" max="12802" width="8.5546875" style="835" customWidth="1"/>
    <col min="12803" max="12803" width="45.21875" style="835" customWidth="1"/>
    <col min="12804" max="12804" width="61.6640625" style="835" customWidth="1"/>
    <col min="12805" max="12805" width="10.33203125" style="835" customWidth="1"/>
    <col min="12806" max="12817" width="8.6640625" style="835" customWidth="1"/>
    <col min="12818" max="12818" width="11" style="835" customWidth="1"/>
    <col min="12819" max="12820" width="8.6640625" style="835" customWidth="1"/>
    <col min="12821" max="12821" width="21" style="835" customWidth="1"/>
    <col min="12822" max="12822" width="31.88671875" style="835" customWidth="1"/>
    <col min="12823" max="13057" width="9.109375" style="835"/>
    <col min="13058" max="13058" width="8.5546875" style="835" customWidth="1"/>
    <col min="13059" max="13059" width="45.21875" style="835" customWidth="1"/>
    <col min="13060" max="13060" width="61.6640625" style="835" customWidth="1"/>
    <col min="13061" max="13061" width="10.33203125" style="835" customWidth="1"/>
    <col min="13062" max="13073" width="8.6640625" style="835" customWidth="1"/>
    <col min="13074" max="13074" width="11" style="835" customWidth="1"/>
    <col min="13075" max="13076" width="8.6640625" style="835" customWidth="1"/>
    <col min="13077" max="13077" width="21" style="835" customWidth="1"/>
    <col min="13078" max="13078" width="31.88671875" style="835" customWidth="1"/>
    <col min="13079" max="13313" width="9.109375" style="835"/>
    <col min="13314" max="13314" width="8.5546875" style="835" customWidth="1"/>
    <col min="13315" max="13315" width="45.21875" style="835" customWidth="1"/>
    <col min="13316" max="13316" width="61.6640625" style="835" customWidth="1"/>
    <col min="13317" max="13317" width="10.33203125" style="835" customWidth="1"/>
    <col min="13318" max="13329" width="8.6640625" style="835" customWidth="1"/>
    <col min="13330" max="13330" width="11" style="835" customWidth="1"/>
    <col min="13331" max="13332" width="8.6640625" style="835" customWidth="1"/>
    <col min="13333" max="13333" width="21" style="835" customWidth="1"/>
    <col min="13334" max="13334" width="31.88671875" style="835" customWidth="1"/>
    <col min="13335" max="13569" width="9.109375" style="835"/>
    <col min="13570" max="13570" width="8.5546875" style="835" customWidth="1"/>
    <col min="13571" max="13571" width="45.21875" style="835" customWidth="1"/>
    <col min="13572" max="13572" width="61.6640625" style="835" customWidth="1"/>
    <col min="13573" max="13573" width="10.33203125" style="835" customWidth="1"/>
    <col min="13574" max="13585" width="8.6640625" style="835" customWidth="1"/>
    <col min="13586" max="13586" width="11" style="835" customWidth="1"/>
    <col min="13587" max="13588" width="8.6640625" style="835" customWidth="1"/>
    <col min="13589" max="13589" width="21" style="835" customWidth="1"/>
    <col min="13590" max="13590" width="31.88671875" style="835" customWidth="1"/>
    <col min="13591" max="13825" width="9.109375" style="835"/>
    <col min="13826" max="13826" width="8.5546875" style="835" customWidth="1"/>
    <col min="13827" max="13827" width="45.21875" style="835" customWidth="1"/>
    <col min="13828" max="13828" width="61.6640625" style="835" customWidth="1"/>
    <col min="13829" max="13829" width="10.33203125" style="835" customWidth="1"/>
    <col min="13830" max="13841" width="8.6640625" style="835" customWidth="1"/>
    <col min="13842" max="13842" width="11" style="835" customWidth="1"/>
    <col min="13843" max="13844" width="8.6640625" style="835" customWidth="1"/>
    <col min="13845" max="13845" width="21" style="835" customWidth="1"/>
    <col min="13846" max="13846" width="31.88671875" style="835" customWidth="1"/>
    <col min="13847" max="14081" width="9.109375" style="835"/>
    <col min="14082" max="14082" width="8.5546875" style="835" customWidth="1"/>
    <col min="14083" max="14083" width="45.21875" style="835" customWidth="1"/>
    <col min="14084" max="14084" width="61.6640625" style="835" customWidth="1"/>
    <col min="14085" max="14085" width="10.33203125" style="835" customWidth="1"/>
    <col min="14086" max="14097" width="8.6640625" style="835" customWidth="1"/>
    <col min="14098" max="14098" width="11" style="835" customWidth="1"/>
    <col min="14099" max="14100" width="8.6640625" style="835" customWidth="1"/>
    <col min="14101" max="14101" width="21" style="835" customWidth="1"/>
    <col min="14102" max="14102" width="31.88671875" style="835" customWidth="1"/>
    <col min="14103" max="14337" width="9.109375" style="835"/>
    <col min="14338" max="14338" width="8.5546875" style="835" customWidth="1"/>
    <col min="14339" max="14339" width="45.21875" style="835" customWidth="1"/>
    <col min="14340" max="14340" width="61.6640625" style="835" customWidth="1"/>
    <col min="14341" max="14341" width="10.33203125" style="835" customWidth="1"/>
    <col min="14342" max="14353" width="8.6640625" style="835" customWidth="1"/>
    <col min="14354" max="14354" width="11" style="835" customWidth="1"/>
    <col min="14355" max="14356" width="8.6640625" style="835" customWidth="1"/>
    <col min="14357" max="14357" width="21" style="835" customWidth="1"/>
    <col min="14358" max="14358" width="31.88671875" style="835" customWidth="1"/>
    <col min="14359" max="14593" width="9.109375" style="835"/>
    <col min="14594" max="14594" width="8.5546875" style="835" customWidth="1"/>
    <col min="14595" max="14595" width="45.21875" style="835" customWidth="1"/>
    <col min="14596" max="14596" width="61.6640625" style="835" customWidth="1"/>
    <col min="14597" max="14597" width="10.33203125" style="835" customWidth="1"/>
    <col min="14598" max="14609" width="8.6640625" style="835" customWidth="1"/>
    <col min="14610" max="14610" width="11" style="835" customWidth="1"/>
    <col min="14611" max="14612" width="8.6640625" style="835" customWidth="1"/>
    <col min="14613" max="14613" width="21" style="835" customWidth="1"/>
    <col min="14614" max="14614" width="31.88671875" style="835" customWidth="1"/>
    <col min="14615" max="14849" width="9.109375" style="835"/>
    <col min="14850" max="14850" width="8.5546875" style="835" customWidth="1"/>
    <col min="14851" max="14851" width="45.21875" style="835" customWidth="1"/>
    <col min="14852" max="14852" width="61.6640625" style="835" customWidth="1"/>
    <col min="14853" max="14853" width="10.33203125" style="835" customWidth="1"/>
    <col min="14854" max="14865" width="8.6640625" style="835" customWidth="1"/>
    <col min="14866" max="14866" width="11" style="835" customWidth="1"/>
    <col min="14867" max="14868" width="8.6640625" style="835" customWidth="1"/>
    <col min="14869" max="14869" width="21" style="835" customWidth="1"/>
    <col min="14870" max="14870" width="31.88671875" style="835" customWidth="1"/>
    <col min="14871" max="15105" width="9.109375" style="835"/>
    <col min="15106" max="15106" width="8.5546875" style="835" customWidth="1"/>
    <col min="15107" max="15107" width="45.21875" style="835" customWidth="1"/>
    <col min="15108" max="15108" width="61.6640625" style="835" customWidth="1"/>
    <col min="15109" max="15109" width="10.33203125" style="835" customWidth="1"/>
    <col min="15110" max="15121" width="8.6640625" style="835" customWidth="1"/>
    <col min="15122" max="15122" width="11" style="835" customWidth="1"/>
    <col min="15123" max="15124" width="8.6640625" style="835" customWidth="1"/>
    <col min="15125" max="15125" width="21" style="835" customWidth="1"/>
    <col min="15126" max="15126" width="31.88671875" style="835" customWidth="1"/>
    <col min="15127" max="15361" width="9.109375" style="835"/>
    <col min="15362" max="15362" width="8.5546875" style="835" customWidth="1"/>
    <col min="15363" max="15363" width="45.21875" style="835" customWidth="1"/>
    <col min="15364" max="15364" width="61.6640625" style="835" customWidth="1"/>
    <col min="15365" max="15365" width="10.33203125" style="835" customWidth="1"/>
    <col min="15366" max="15377" width="8.6640625" style="835" customWidth="1"/>
    <col min="15378" max="15378" width="11" style="835" customWidth="1"/>
    <col min="15379" max="15380" width="8.6640625" style="835" customWidth="1"/>
    <col min="15381" max="15381" width="21" style="835" customWidth="1"/>
    <col min="15382" max="15382" width="31.88671875" style="835" customWidth="1"/>
    <col min="15383" max="15617" width="9.109375" style="835"/>
    <col min="15618" max="15618" width="8.5546875" style="835" customWidth="1"/>
    <col min="15619" max="15619" width="45.21875" style="835" customWidth="1"/>
    <col min="15620" max="15620" width="61.6640625" style="835" customWidth="1"/>
    <col min="15621" max="15621" width="10.33203125" style="835" customWidth="1"/>
    <col min="15622" max="15633" width="8.6640625" style="835" customWidth="1"/>
    <col min="15634" max="15634" width="11" style="835" customWidth="1"/>
    <col min="15635" max="15636" width="8.6640625" style="835" customWidth="1"/>
    <col min="15637" max="15637" width="21" style="835" customWidth="1"/>
    <col min="15638" max="15638" width="31.88671875" style="835" customWidth="1"/>
    <col min="15639" max="15873" width="9.109375" style="835"/>
    <col min="15874" max="15874" width="8.5546875" style="835" customWidth="1"/>
    <col min="15875" max="15875" width="45.21875" style="835" customWidth="1"/>
    <col min="15876" max="15876" width="61.6640625" style="835" customWidth="1"/>
    <col min="15877" max="15877" width="10.33203125" style="835" customWidth="1"/>
    <col min="15878" max="15889" width="8.6640625" style="835" customWidth="1"/>
    <col min="15890" max="15890" width="11" style="835" customWidth="1"/>
    <col min="15891" max="15892" width="8.6640625" style="835" customWidth="1"/>
    <col min="15893" max="15893" width="21" style="835" customWidth="1"/>
    <col min="15894" max="15894" width="31.88671875" style="835" customWidth="1"/>
    <col min="15895" max="16129" width="9.109375" style="835"/>
    <col min="16130" max="16130" width="8.5546875" style="835" customWidth="1"/>
    <col min="16131" max="16131" width="45.21875" style="835" customWidth="1"/>
    <col min="16132" max="16132" width="61.6640625" style="835" customWidth="1"/>
    <col min="16133" max="16133" width="10.33203125" style="835" customWidth="1"/>
    <col min="16134" max="16145" width="8.6640625" style="835" customWidth="1"/>
    <col min="16146" max="16146" width="11" style="835" customWidth="1"/>
    <col min="16147" max="16148" width="8.6640625" style="835" customWidth="1"/>
    <col min="16149" max="16149" width="21" style="835" customWidth="1"/>
    <col min="16150" max="16150" width="31.88671875" style="835" customWidth="1"/>
    <col min="16151" max="16384" width="9.109375" style="835"/>
  </cols>
  <sheetData>
    <row r="1" spans="1:36" s="803" customFormat="1" ht="24" customHeight="1">
      <c r="A1" s="1259" t="s">
        <v>591</v>
      </c>
      <c r="B1" s="1259"/>
      <c r="C1" s="1259"/>
      <c r="D1" s="1164"/>
      <c r="E1" s="958"/>
      <c r="S1" s="804"/>
      <c r="U1" s="958"/>
    </row>
    <row r="2" spans="1:36" s="803" customFormat="1" ht="24" customHeight="1" thickBot="1">
      <c r="A2" s="979" t="s">
        <v>592</v>
      </c>
      <c r="B2" s="805"/>
      <c r="C2" s="805"/>
      <c r="D2" s="1165"/>
      <c r="E2" s="958"/>
      <c r="S2" s="804"/>
      <c r="U2" s="958"/>
    </row>
    <row r="3" spans="1:36" s="803" customFormat="1" ht="24" customHeight="1" thickBot="1">
      <c r="A3" s="1260" t="s">
        <v>37</v>
      </c>
      <c r="B3" s="1262" t="s">
        <v>593</v>
      </c>
      <c r="C3" s="1264" t="s">
        <v>523</v>
      </c>
      <c r="D3" s="1275" t="s">
        <v>42</v>
      </c>
      <c r="E3" s="1273" t="s">
        <v>946</v>
      </c>
      <c r="F3" s="1268" t="s">
        <v>594</v>
      </c>
      <c r="G3" s="1269"/>
      <c r="H3" s="1269"/>
      <c r="I3" s="1269"/>
      <c r="J3" s="1269"/>
      <c r="K3" s="1269"/>
      <c r="L3" s="1269"/>
      <c r="M3" s="1269"/>
      <c r="N3" s="1269"/>
      <c r="O3" s="1269"/>
      <c r="P3" s="1269"/>
      <c r="Q3" s="1269"/>
      <c r="R3" s="1269"/>
      <c r="S3" s="1269"/>
      <c r="T3" s="1270"/>
      <c r="U3" s="1271" t="s">
        <v>677</v>
      </c>
      <c r="V3" s="1257" t="s">
        <v>595</v>
      </c>
    </row>
    <row r="4" spans="1:36" s="803" customFormat="1" ht="24" customHeight="1" thickBot="1">
      <c r="A4" s="1261"/>
      <c r="B4" s="1263"/>
      <c r="C4" s="1265"/>
      <c r="D4" s="1276"/>
      <c r="E4" s="1274"/>
      <c r="F4" s="806" t="s">
        <v>596</v>
      </c>
      <c r="G4" s="807" t="s">
        <v>597</v>
      </c>
      <c r="H4" s="807" t="s">
        <v>598</v>
      </c>
      <c r="I4" s="807" t="s">
        <v>599</v>
      </c>
      <c r="J4" s="808" t="s">
        <v>600</v>
      </c>
      <c r="K4" s="807" t="s">
        <v>601</v>
      </c>
      <c r="L4" s="809" t="s">
        <v>602</v>
      </c>
      <c r="M4" s="810" t="s">
        <v>603</v>
      </c>
      <c r="N4" s="810" t="s">
        <v>604</v>
      </c>
      <c r="O4" s="810" t="s">
        <v>605</v>
      </c>
      <c r="P4" s="810" t="s">
        <v>606</v>
      </c>
      <c r="Q4" s="811" t="s">
        <v>607</v>
      </c>
      <c r="R4" s="812" t="s">
        <v>608</v>
      </c>
      <c r="S4" s="813" t="s">
        <v>609</v>
      </c>
      <c r="T4" s="814" t="s">
        <v>610</v>
      </c>
      <c r="U4" s="1272"/>
      <c r="V4" s="1258"/>
    </row>
    <row r="5" spans="1:36" s="826" customFormat="1" ht="22.8">
      <c r="A5" s="1186">
        <v>1</v>
      </c>
      <c r="B5" s="1036" t="s">
        <v>924</v>
      </c>
      <c r="C5" s="1041" t="s">
        <v>926</v>
      </c>
      <c r="D5" s="1166" t="s">
        <v>663</v>
      </c>
      <c r="E5" s="1075">
        <v>2026</v>
      </c>
      <c r="F5" s="1069"/>
      <c r="G5" s="1060"/>
      <c r="H5" s="1060"/>
      <c r="I5" s="1060"/>
      <c r="J5" s="1060"/>
      <c r="K5" s="1060"/>
      <c r="L5" s="843"/>
      <c r="M5" s="842"/>
      <c r="N5" s="842"/>
      <c r="O5" s="843"/>
      <c r="P5" s="842"/>
      <c r="Q5" s="844"/>
      <c r="R5" s="1076">
        <f t="shared" ref="R5:R16" si="0">SUM(F5:Q5)</f>
        <v>0</v>
      </c>
      <c r="S5" s="825"/>
      <c r="T5" s="1062">
        <f>R5*S5</f>
        <v>0</v>
      </c>
      <c r="U5" s="842"/>
      <c r="V5" s="824"/>
      <c r="W5" s="803"/>
      <c r="X5" s="803"/>
      <c r="Y5" s="803"/>
      <c r="Z5" s="803"/>
      <c r="AA5" s="803"/>
      <c r="AB5" s="803"/>
      <c r="AC5" s="803"/>
      <c r="AD5" s="803"/>
      <c r="AE5" s="803"/>
      <c r="AF5" s="803"/>
      <c r="AG5" s="803"/>
      <c r="AH5" s="803"/>
      <c r="AI5" s="803"/>
      <c r="AJ5" s="803"/>
    </row>
    <row r="6" spans="1:36" s="826" customFormat="1" ht="22.8">
      <c r="A6" s="836"/>
      <c r="B6" s="1040"/>
      <c r="C6" s="1038" t="s">
        <v>615</v>
      </c>
      <c r="D6" s="1166"/>
      <c r="E6" s="1176"/>
      <c r="F6" s="1069"/>
      <c r="G6" s="1060"/>
      <c r="H6" s="1060">
        <v>0.01</v>
      </c>
      <c r="I6" s="1060"/>
      <c r="J6" s="1060"/>
      <c r="K6" s="1060"/>
      <c r="L6" s="843"/>
      <c r="M6" s="842"/>
      <c r="N6" s="842"/>
      <c r="O6" s="843"/>
      <c r="P6" s="842"/>
      <c r="Q6" s="844"/>
      <c r="R6" s="1076">
        <f t="shared" si="0"/>
        <v>0.01</v>
      </c>
      <c r="S6" s="825">
        <v>1</v>
      </c>
      <c r="T6" s="1062">
        <f t="shared" ref="T6:T10" si="1">R6*S6</f>
        <v>0.01</v>
      </c>
      <c r="U6" s="842"/>
      <c r="V6" s="824"/>
      <c r="W6" s="803"/>
      <c r="X6" s="803"/>
      <c r="Y6" s="803"/>
      <c r="Z6" s="803"/>
      <c r="AA6" s="803"/>
      <c r="AB6" s="803"/>
      <c r="AC6" s="803"/>
      <c r="AD6" s="803"/>
      <c r="AE6" s="803"/>
      <c r="AF6" s="803"/>
      <c r="AG6" s="803"/>
      <c r="AH6" s="803"/>
      <c r="AI6" s="803"/>
      <c r="AJ6" s="803"/>
    </row>
    <row r="7" spans="1:36" s="826" customFormat="1" ht="22.8">
      <c r="A7" s="836"/>
      <c r="B7" s="1040"/>
      <c r="C7" s="1038"/>
      <c r="D7" s="1166"/>
      <c r="E7" s="1176"/>
      <c r="F7" s="1069"/>
      <c r="G7" s="1060"/>
      <c r="H7" s="1060"/>
      <c r="I7" s="1060"/>
      <c r="J7" s="1060"/>
      <c r="K7" s="1060"/>
      <c r="L7" s="843"/>
      <c r="M7" s="842"/>
      <c r="N7" s="842"/>
      <c r="O7" s="843"/>
      <c r="P7" s="842"/>
      <c r="Q7" s="844"/>
      <c r="R7" s="1076">
        <f t="shared" si="0"/>
        <v>0</v>
      </c>
      <c r="S7" s="825"/>
      <c r="T7" s="1062">
        <f t="shared" si="1"/>
        <v>0</v>
      </c>
      <c r="U7" s="844"/>
      <c r="V7" s="824"/>
      <c r="W7" s="803"/>
      <c r="X7" s="803"/>
      <c r="Y7" s="803"/>
      <c r="Z7" s="803"/>
      <c r="AA7" s="803"/>
      <c r="AB7" s="803"/>
      <c r="AC7" s="803"/>
      <c r="AD7" s="803"/>
      <c r="AE7" s="803"/>
      <c r="AF7" s="803"/>
      <c r="AG7" s="803"/>
      <c r="AH7" s="803"/>
      <c r="AI7" s="803"/>
      <c r="AJ7" s="803"/>
    </row>
    <row r="8" spans="1:36" s="826" customFormat="1" ht="22.8">
      <c r="A8" s="1186"/>
      <c r="B8" s="1146" t="s">
        <v>1188</v>
      </c>
      <c r="C8" s="1146" t="s">
        <v>1190</v>
      </c>
      <c r="D8" s="1166" t="s">
        <v>663</v>
      </c>
      <c r="E8" s="1075">
        <v>2026</v>
      </c>
      <c r="F8" s="1069"/>
      <c r="G8" s="1060"/>
      <c r="H8" s="1060"/>
      <c r="I8" s="1060"/>
      <c r="J8" s="1060"/>
      <c r="K8" s="1060"/>
      <c r="L8" s="843"/>
      <c r="M8" s="842"/>
      <c r="N8" s="842"/>
      <c r="O8" s="843"/>
      <c r="P8" s="842"/>
      <c r="Q8" s="844"/>
      <c r="R8" s="1076"/>
      <c r="S8" s="825"/>
      <c r="T8" s="1062">
        <f t="shared" si="1"/>
        <v>0</v>
      </c>
      <c r="U8" s="844"/>
      <c r="V8" s="824" t="s">
        <v>1189</v>
      </c>
      <c r="W8" s="803"/>
      <c r="X8" s="803"/>
      <c r="Y8" s="803"/>
      <c r="Z8" s="803"/>
      <c r="AA8" s="803"/>
      <c r="AB8" s="803"/>
      <c r="AC8" s="803"/>
      <c r="AD8" s="803"/>
      <c r="AE8" s="803"/>
      <c r="AF8" s="803"/>
      <c r="AG8" s="803"/>
      <c r="AH8" s="803"/>
      <c r="AI8" s="803"/>
      <c r="AJ8" s="803"/>
    </row>
    <row r="9" spans="1:36" s="826" customFormat="1" ht="22.8">
      <c r="A9" s="836"/>
      <c r="B9" s="1040"/>
      <c r="C9" s="1038" t="s">
        <v>615</v>
      </c>
      <c r="D9" s="1166"/>
      <c r="E9" s="1176"/>
      <c r="F9" s="1069"/>
      <c r="G9" s="1060"/>
      <c r="H9" s="1060">
        <v>0.12</v>
      </c>
      <c r="I9" s="1060">
        <v>0.13</v>
      </c>
      <c r="J9" s="1060"/>
      <c r="K9" s="1060"/>
      <c r="L9" s="843"/>
      <c r="M9" s="842"/>
      <c r="N9" s="842"/>
      <c r="O9" s="843"/>
      <c r="P9" s="842"/>
      <c r="Q9" s="844"/>
      <c r="R9" s="1076">
        <f t="shared" ref="R9" si="2">SUM(F9:Q9)</f>
        <v>0.25</v>
      </c>
      <c r="S9" s="825">
        <v>1</v>
      </c>
      <c r="T9" s="1062">
        <f t="shared" si="1"/>
        <v>0.25</v>
      </c>
      <c r="U9" s="844"/>
      <c r="V9" s="824"/>
      <c r="W9" s="803"/>
      <c r="X9" s="803"/>
      <c r="Y9" s="803"/>
      <c r="Z9" s="803"/>
      <c r="AA9" s="803"/>
      <c r="AB9" s="803"/>
      <c r="AC9" s="803"/>
      <c r="AD9" s="803"/>
      <c r="AE9" s="803"/>
      <c r="AF9" s="803"/>
      <c r="AG9" s="803"/>
      <c r="AH9" s="803"/>
      <c r="AI9" s="803"/>
      <c r="AJ9" s="803"/>
    </row>
    <row r="10" spans="1:36" s="826" customFormat="1" ht="22.8">
      <c r="A10" s="836"/>
      <c r="B10" s="1040"/>
      <c r="C10" s="1038"/>
      <c r="D10" s="1166"/>
      <c r="E10" s="1176"/>
      <c r="F10" s="1069"/>
      <c r="G10" s="1060"/>
      <c r="H10" s="1060"/>
      <c r="I10" s="1060"/>
      <c r="J10" s="1060"/>
      <c r="K10" s="1060"/>
      <c r="L10" s="843"/>
      <c r="M10" s="842"/>
      <c r="N10" s="842"/>
      <c r="O10" s="843"/>
      <c r="P10" s="842"/>
      <c r="Q10" s="844"/>
      <c r="R10" s="1076"/>
      <c r="S10" s="825"/>
      <c r="T10" s="1062">
        <f t="shared" si="1"/>
        <v>0</v>
      </c>
      <c r="U10" s="844"/>
      <c r="V10" s="824"/>
      <c r="W10" s="803"/>
      <c r="X10" s="803"/>
      <c r="Y10" s="803"/>
      <c r="Z10" s="803"/>
      <c r="AA10" s="803"/>
      <c r="AB10" s="803"/>
      <c r="AC10" s="803"/>
      <c r="AD10" s="803"/>
      <c r="AE10" s="803"/>
      <c r="AF10" s="803"/>
      <c r="AG10" s="803"/>
      <c r="AH10" s="803"/>
      <c r="AI10" s="803"/>
      <c r="AJ10" s="803"/>
    </row>
    <row r="11" spans="1:36" s="826" customFormat="1" ht="22.8">
      <c r="A11" s="1186">
        <v>2</v>
      </c>
      <c r="B11" s="1121" t="s">
        <v>988</v>
      </c>
      <c r="C11" s="1122" t="s">
        <v>986</v>
      </c>
      <c r="D11" s="1166" t="s">
        <v>663</v>
      </c>
      <c r="E11" s="1176" t="s">
        <v>951</v>
      </c>
      <c r="F11" s="1069"/>
      <c r="G11" s="842"/>
      <c r="H11" s="842"/>
      <c r="I11" s="842"/>
      <c r="J11" s="842"/>
      <c r="K11" s="842"/>
      <c r="L11" s="843"/>
      <c r="M11" s="842"/>
      <c r="N11" s="842"/>
      <c r="O11" s="843"/>
      <c r="P11" s="842"/>
      <c r="Q11" s="844"/>
      <c r="R11" s="1076">
        <f t="shared" si="0"/>
        <v>0</v>
      </c>
      <c r="S11" s="825"/>
      <c r="T11" s="1062">
        <f>R11*S11</f>
        <v>0</v>
      </c>
      <c r="U11" s="960"/>
      <c r="V11" s="824"/>
      <c r="W11" s="803"/>
      <c r="X11" s="803"/>
      <c r="Y11" s="803"/>
      <c r="Z11" s="803"/>
      <c r="AA11" s="803"/>
      <c r="AB11" s="803"/>
      <c r="AC11" s="803"/>
      <c r="AD11" s="803"/>
      <c r="AE11" s="803"/>
      <c r="AF11" s="803"/>
      <c r="AG11" s="803"/>
      <c r="AH11" s="803"/>
      <c r="AI11" s="803"/>
      <c r="AJ11" s="803"/>
    </row>
    <row r="12" spans="1:36" s="826" customFormat="1" ht="22.8">
      <c r="A12" s="836"/>
      <c r="B12" s="1080" t="s">
        <v>989</v>
      </c>
      <c r="C12" s="1038" t="s">
        <v>960</v>
      </c>
      <c r="D12" s="1166"/>
      <c r="E12" s="1176"/>
      <c r="F12" s="1069"/>
      <c r="G12" s="842"/>
      <c r="H12" s="842"/>
      <c r="I12" s="842">
        <v>0.01</v>
      </c>
      <c r="J12" s="842"/>
      <c r="K12" s="842"/>
      <c r="L12" s="843">
        <v>1</v>
      </c>
      <c r="M12" s="842">
        <v>0.7</v>
      </c>
      <c r="N12" s="842"/>
      <c r="O12" s="843"/>
      <c r="P12" s="842"/>
      <c r="Q12" s="844"/>
      <c r="R12" s="1076">
        <f t="shared" si="0"/>
        <v>1.71</v>
      </c>
      <c r="S12" s="825">
        <v>0.5</v>
      </c>
      <c r="T12" s="1062">
        <f>R12*S12</f>
        <v>0.85499999999999998</v>
      </c>
      <c r="U12" s="960"/>
      <c r="V12" s="824" t="s">
        <v>990</v>
      </c>
      <c r="W12" s="803"/>
      <c r="X12" s="803"/>
      <c r="Y12" s="803"/>
      <c r="Z12" s="803"/>
      <c r="AA12" s="803"/>
      <c r="AB12" s="803"/>
      <c r="AC12" s="803"/>
      <c r="AD12" s="803"/>
      <c r="AE12" s="803"/>
      <c r="AF12" s="803"/>
      <c r="AG12" s="803"/>
      <c r="AH12" s="803"/>
      <c r="AI12" s="803"/>
      <c r="AJ12" s="803"/>
    </row>
    <row r="13" spans="1:36" s="826" customFormat="1" ht="22.8" customHeight="1">
      <c r="A13" s="836"/>
      <c r="B13" s="1040"/>
      <c r="C13" s="1038"/>
      <c r="D13" s="1166"/>
      <c r="E13" s="1179"/>
      <c r="F13" s="843"/>
      <c r="G13" s="842"/>
      <c r="H13" s="842"/>
      <c r="I13" s="842"/>
      <c r="J13" s="842"/>
      <c r="K13" s="842"/>
      <c r="L13" s="843"/>
      <c r="M13" s="842"/>
      <c r="N13" s="842"/>
      <c r="O13" s="843"/>
      <c r="P13" s="842"/>
      <c r="Q13" s="844"/>
      <c r="R13" s="1076">
        <f t="shared" si="0"/>
        <v>0</v>
      </c>
      <c r="S13" s="825"/>
      <c r="T13" s="1062">
        <f>R13*S13</f>
        <v>0</v>
      </c>
      <c r="U13" s="960"/>
      <c r="V13" s="824"/>
      <c r="W13" s="803"/>
      <c r="X13" s="803"/>
      <c r="Y13" s="803"/>
      <c r="Z13" s="803"/>
      <c r="AA13" s="803"/>
      <c r="AB13" s="803"/>
      <c r="AC13" s="803"/>
      <c r="AD13" s="803"/>
      <c r="AE13" s="803"/>
      <c r="AF13" s="803"/>
      <c r="AG13" s="803"/>
      <c r="AH13" s="803"/>
      <c r="AI13" s="803"/>
      <c r="AJ13" s="803"/>
    </row>
    <row r="14" spans="1:36" s="826" customFormat="1" ht="22.8">
      <c r="A14" s="1186">
        <v>3</v>
      </c>
      <c r="B14" s="823" t="s">
        <v>1011</v>
      </c>
      <c r="C14" s="1041" t="s">
        <v>1012</v>
      </c>
      <c r="D14" s="1167" t="s">
        <v>663</v>
      </c>
      <c r="E14" s="1177" t="s">
        <v>1013</v>
      </c>
      <c r="F14" s="1069"/>
      <c r="G14" s="1060"/>
      <c r="H14" s="1060"/>
      <c r="I14" s="1060"/>
      <c r="J14" s="1060"/>
      <c r="K14" s="1060"/>
      <c r="L14" s="1069"/>
      <c r="M14" s="1060"/>
      <c r="N14" s="1060"/>
      <c r="O14" s="843"/>
      <c r="P14" s="842"/>
      <c r="Q14" s="844"/>
      <c r="R14" s="1076">
        <f t="shared" si="0"/>
        <v>0</v>
      </c>
      <c r="S14" s="825"/>
      <c r="T14" s="1062">
        <f t="shared" ref="T14:T67" si="3">R14*S14</f>
        <v>0</v>
      </c>
      <c r="U14" s="960"/>
      <c r="V14" s="824"/>
      <c r="W14" s="803"/>
      <c r="X14" s="803"/>
      <c r="Y14" s="803"/>
      <c r="Z14" s="803"/>
      <c r="AA14" s="803"/>
      <c r="AB14" s="803"/>
      <c r="AC14" s="803"/>
      <c r="AD14" s="803"/>
      <c r="AE14" s="803"/>
      <c r="AF14" s="803"/>
      <c r="AG14" s="803"/>
      <c r="AH14" s="803"/>
      <c r="AI14" s="803"/>
      <c r="AJ14" s="803"/>
    </row>
    <row r="15" spans="1:36" s="826" customFormat="1" ht="22.8">
      <c r="A15" s="836"/>
      <c r="B15" s="1080"/>
      <c r="C15" s="1038" t="s">
        <v>1014</v>
      </c>
      <c r="D15" s="1167"/>
      <c r="E15" s="1177"/>
      <c r="F15" s="1069"/>
      <c r="G15" s="1060"/>
      <c r="H15" s="1060"/>
      <c r="I15" s="1060"/>
      <c r="J15" s="1060">
        <v>0.6</v>
      </c>
      <c r="K15" s="1060"/>
      <c r="L15" s="1069"/>
      <c r="M15" s="1060"/>
      <c r="N15" s="1060"/>
      <c r="O15" s="843"/>
      <c r="P15" s="842"/>
      <c r="Q15" s="844"/>
      <c r="R15" s="1076">
        <f t="shared" si="0"/>
        <v>0.6</v>
      </c>
      <c r="S15" s="825">
        <v>0.3</v>
      </c>
      <c r="T15" s="1062">
        <f t="shared" si="3"/>
        <v>0.18</v>
      </c>
      <c r="U15" s="960"/>
      <c r="V15" s="824"/>
      <c r="W15" s="803"/>
      <c r="X15" s="803"/>
      <c r="Y15" s="803"/>
      <c r="Z15" s="803"/>
      <c r="AA15" s="803"/>
      <c r="AB15" s="803"/>
      <c r="AC15" s="803"/>
      <c r="AD15" s="803"/>
      <c r="AE15" s="803"/>
      <c r="AF15" s="803"/>
      <c r="AG15" s="803"/>
      <c r="AH15" s="803"/>
      <c r="AI15" s="803"/>
      <c r="AJ15" s="803"/>
    </row>
    <row r="16" spans="1:36" s="826" customFormat="1" ht="22.8">
      <c r="A16" s="836"/>
      <c r="B16" s="1080"/>
      <c r="C16" s="1038" t="s">
        <v>1015</v>
      </c>
      <c r="D16" s="1167"/>
      <c r="E16" s="1177"/>
      <c r="F16" s="1069"/>
      <c r="G16" s="1060"/>
      <c r="H16" s="1060"/>
      <c r="I16" s="1060"/>
      <c r="J16" s="1060"/>
      <c r="K16" s="1060"/>
      <c r="L16" s="1069"/>
      <c r="M16" s="1060"/>
      <c r="N16" s="1060"/>
      <c r="O16" s="843"/>
      <c r="P16" s="842"/>
      <c r="Q16" s="844"/>
      <c r="R16" s="1076">
        <f t="shared" si="0"/>
        <v>0</v>
      </c>
      <c r="S16" s="825"/>
      <c r="T16" s="1062">
        <f t="shared" si="3"/>
        <v>0</v>
      </c>
      <c r="U16" s="960"/>
      <c r="V16" s="824"/>
      <c r="W16" s="803"/>
      <c r="X16" s="803"/>
      <c r="Y16" s="803"/>
      <c r="Z16" s="803"/>
      <c r="AA16" s="803"/>
      <c r="AB16" s="803"/>
      <c r="AC16" s="803"/>
      <c r="AD16" s="803"/>
      <c r="AE16" s="803"/>
      <c r="AF16" s="803"/>
      <c r="AG16" s="803"/>
      <c r="AH16" s="803"/>
      <c r="AI16" s="803"/>
      <c r="AJ16" s="803"/>
    </row>
    <row r="17" spans="1:36" s="826" customFormat="1" ht="41.4" hidden="1">
      <c r="A17" s="1063">
        <v>5</v>
      </c>
      <c r="B17" s="1073" t="s">
        <v>689</v>
      </c>
      <c r="C17" s="1074" t="s">
        <v>715</v>
      </c>
      <c r="D17" s="1166" t="s">
        <v>663</v>
      </c>
      <c r="E17" s="1075" t="s">
        <v>951</v>
      </c>
      <c r="F17" s="843"/>
      <c r="G17" s="842"/>
      <c r="H17" s="842"/>
      <c r="I17" s="842"/>
      <c r="J17" s="842"/>
      <c r="K17" s="842"/>
      <c r="L17" s="843"/>
      <c r="M17" s="842"/>
      <c r="N17" s="842"/>
      <c r="O17" s="843"/>
      <c r="P17" s="842"/>
      <c r="Q17" s="844"/>
      <c r="R17" s="1076">
        <f t="shared" ref="R17:R36" si="4">SUM(F17:Q17)</f>
        <v>0</v>
      </c>
      <c r="S17" s="825"/>
      <c r="T17" s="1140">
        <f t="shared" si="3"/>
        <v>0</v>
      </c>
      <c r="U17" s="1077"/>
      <c r="V17" s="824"/>
      <c r="W17" s="803"/>
      <c r="X17" s="803"/>
      <c r="Y17" s="803"/>
      <c r="Z17" s="803"/>
      <c r="AA17" s="803"/>
      <c r="AB17" s="803"/>
      <c r="AC17" s="803"/>
      <c r="AD17" s="803"/>
      <c r="AE17" s="803"/>
      <c r="AF17" s="803"/>
      <c r="AG17" s="803"/>
      <c r="AH17" s="803"/>
      <c r="AI17" s="803"/>
      <c r="AJ17" s="803"/>
    </row>
    <row r="18" spans="1:36" s="826" customFormat="1" ht="22.8" hidden="1">
      <c r="A18" s="836"/>
      <c r="B18" s="823" t="s">
        <v>940</v>
      </c>
      <c r="C18" s="1038" t="s">
        <v>615</v>
      </c>
      <c r="D18" s="1166"/>
      <c r="E18" s="1179"/>
      <c r="F18" s="843"/>
      <c r="G18" s="842"/>
      <c r="H18" s="842"/>
      <c r="I18" s="842"/>
      <c r="J18" s="842"/>
      <c r="K18" s="842"/>
      <c r="L18" s="843"/>
      <c r="M18" s="842"/>
      <c r="N18" s="842"/>
      <c r="O18" s="843"/>
      <c r="P18" s="842"/>
      <c r="Q18" s="844"/>
      <c r="R18" s="1076">
        <f t="shared" si="4"/>
        <v>0</v>
      </c>
      <c r="S18" s="825"/>
      <c r="T18" s="1062">
        <f t="shared" si="3"/>
        <v>0</v>
      </c>
      <c r="U18" s="1077">
        <v>9.8000000000000007</v>
      </c>
      <c r="V18" s="824" t="s">
        <v>921</v>
      </c>
      <c r="W18" s="803"/>
      <c r="X18" s="803"/>
      <c r="Y18" s="803"/>
      <c r="Z18" s="803"/>
      <c r="AA18" s="803"/>
      <c r="AB18" s="803"/>
      <c r="AC18" s="803"/>
      <c r="AD18" s="803"/>
      <c r="AE18" s="803"/>
      <c r="AF18" s="803"/>
      <c r="AG18" s="803"/>
      <c r="AH18" s="803"/>
      <c r="AI18" s="803"/>
      <c r="AJ18" s="803"/>
    </row>
    <row r="19" spans="1:36" s="826" customFormat="1" ht="22.8" hidden="1">
      <c r="A19" s="836"/>
      <c r="B19" s="1079" t="s">
        <v>939</v>
      </c>
      <c r="C19" s="1038" t="s">
        <v>688</v>
      </c>
      <c r="D19" s="1166"/>
      <c r="E19" s="1179"/>
      <c r="F19" s="843"/>
      <c r="G19" s="842"/>
      <c r="H19" s="842"/>
      <c r="I19" s="842"/>
      <c r="J19" s="842"/>
      <c r="K19" s="842"/>
      <c r="L19" s="843"/>
      <c r="M19" s="842"/>
      <c r="N19" s="842"/>
      <c r="O19" s="843"/>
      <c r="P19" s="842"/>
      <c r="Q19" s="844"/>
      <c r="R19" s="1076">
        <f t="shared" si="4"/>
        <v>0</v>
      </c>
      <c r="S19" s="825"/>
      <c r="T19" s="1062">
        <f t="shared" si="3"/>
        <v>0</v>
      </c>
      <c r="U19" s="960"/>
      <c r="V19" s="824"/>
      <c r="W19" s="803"/>
      <c r="X19" s="803"/>
      <c r="Y19" s="803"/>
      <c r="Z19" s="803"/>
      <c r="AA19" s="803"/>
      <c r="AB19" s="803"/>
      <c r="AC19" s="803"/>
      <c r="AD19" s="803"/>
      <c r="AE19" s="803"/>
      <c r="AF19" s="803"/>
      <c r="AG19" s="803"/>
      <c r="AH19" s="803"/>
      <c r="AI19" s="803"/>
      <c r="AJ19" s="803"/>
    </row>
    <row r="20" spans="1:36" s="826" customFormat="1" ht="22.8" hidden="1">
      <c r="A20" s="836"/>
      <c r="B20" s="1080" t="s">
        <v>710</v>
      </c>
      <c r="C20" s="1041"/>
      <c r="D20" s="1166"/>
      <c r="E20" s="1179"/>
      <c r="F20" s="843"/>
      <c r="G20" s="842"/>
      <c r="H20" s="842"/>
      <c r="I20" s="842"/>
      <c r="J20" s="842"/>
      <c r="K20" s="842"/>
      <c r="L20" s="843"/>
      <c r="M20" s="842"/>
      <c r="N20" s="842"/>
      <c r="O20" s="843"/>
      <c r="P20" s="842"/>
      <c r="Q20" s="844"/>
      <c r="R20" s="1076">
        <f t="shared" si="4"/>
        <v>0</v>
      </c>
      <c r="S20" s="825"/>
      <c r="T20" s="1062">
        <f t="shared" si="3"/>
        <v>0</v>
      </c>
      <c r="U20" s="960"/>
      <c r="V20" s="824"/>
      <c r="W20" s="803"/>
      <c r="X20" s="803"/>
      <c r="Y20" s="803"/>
      <c r="Z20" s="803"/>
      <c r="AA20" s="803"/>
      <c r="AB20" s="803"/>
      <c r="AC20" s="803"/>
      <c r="AD20" s="803"/>
      <c r="AE20" s="803"/>
      <c r="AF20" s="803"/>
      <c r="AG20" s="803"/>
      <c r="AH20" s="803"/>
      <c r="AI20" s="803"/>
      <c r="AJ20" s="803"/>
    </row>
    <row r="21" spans="1:36" s="826" customFormat="1" ht="24" customHeight="1">
      <c r="A21" s="1191">
        <v>6</v>
      </c>
      <c r="B21" s="1121" t="s">
        <v>620</v>
      </c>
      <c r="C21" s="1122" t="s">
        <v>621</v>
      </c>
      <c r="D21" s="1168" t="s">
        <v>663</v>
      </c>
      <c r="E21" s="1075" t="s">
        <v>951</v>
      </c>
      <c r="F21" s="843"/>
      <c r="G21" s="842"/>
      <c r="H21" s="842"/>
      <c r="I21" s="842"/>
      <c r="J21" s="842"/>
      <c r="K21" s="842"/>
      <c r="L21" s="843"/>
      <c r="M21" s="842"/>
      <c r="N21" s="842"/>
      <c r="O21" s="843"/>
      <c r="P21" s="842"/>
      <c r="Q21" s="844"/>
      <c r="R21" s="1076">
        <f t="shared" si="4"/>
        <v>0</v>
      </c>
      <c r="S21" s="825"/>
      <c r="T21" s="1062">
        <f t="shared" si="3"/>
        <v>0</v>
      </c>
      <c r="U21" s="960"/>
      <c r="V21" s="824"/>
      <c r="W21" s="803"/>
      <c r="X21" s="803"/>
      <c r="Y21" s="803"/>
      <c r="Z21" s="803"/>
      <c r="AA21" s="803"/>
      <c r="AB21" s="803"/>
      <c r="AC21" s="803"/>
      <c r="AD21" s="803"/>
      <c r="AE21" s="803"/>
      <c r="AF21" s="803"/>
      <c r="AG21" s="803"/>
      <c r="AH21" s="803"/>
      <c r="AI21" s="803"/>
      <c r="AJ21" s="803"/>
    </row>
    <row r="22" spans="1:36" s="826" customFormat="1" ht="22.8">
      <c r="A22" s="836"/>
      <c r="B22" s="1080" t="s">
        <v>954</v>
      </c>
      <c r="C22" s="1038" t="s">
        <v>687</v>
      </c>
      <c r="D22" s="1166"/>
      <c r="E22" s="1179"/>
      <c r="F22" s="843"/>
      <c r="G22" s="842"/>
      <c r="H22" s="842"/>
      <c r="I22" s="842"/>
      <c r="J22" s="842"/>
      <c r="K22" s="842"/>
      <c r="L22" s="843"/>
      <c r="M22" s="842"/>
      <c r="N22" s="842"/>
      <c r="O22" s="843"/>
      <c r="P22" s="842"/>
      <c r="Q22" s="844"/>
      <c r="R22" s="1076">
        <f t="shared" si="4"/>
        <v>0</v>
      </c>
      <c r="S22" s="825"/>
      <c r="T22" s="1062">
        <f t="shared" si="3"/>
        <v>0</v>
      </c>
      <c r="U22" s="960"/>
      <c r="V22" s="824"/>
      <c r="W22" s="803"/>
      <c r="X22" s="803"/>
      <c r="Y22" s="803"/>
      <c r="Z22" s="803"/>
      <c r="AA22" s="803"/>
      <c r="AB22" s="803"/>
      <c r="AC22" s="803"/>
      <c r="AD22" s="803"/>
      <c r="AE22" s="803"/>
      <c r="AF22" s="803"/>
      <c r="AG22" s="803"/>
      <c r="AH22" s="803"/>
      <c r="AI22" s="803"/>
      <c r="AJ22" s="803"/>
    </row>
    <row r="23" spans="1:36" s="826" customFormat="1" ht="22.8">
      <c r="A23" s="836"/>
      <c r="B23" s="1080" t="s">
        <v>624</v>
      </c>
      <c r="C23" s="1038"/>
      <c r="D23" s="1166"/>
      <c r="E23" s="1179"/>
      <c r="F23" s="843"/>
      <c r="G23" s="842"/>
      <c r="H23" s="842"/>
      <c r="I23" s="842"/>
      <c r="J23" s="842"/>
      <c r="K23" s="842"/>
      <c r="L23" s="843"/>
      <c r="M23" s="842"/>
      <c r="N23" s="842"/>
      <c r="O23" s="843"/>
      <c r="P23" s="842"/>
      <c r="Q23" s="844"/>
      <c r="R23" s="1076">
        <f t="shared" si="4"/>
        <v>0</v>
      </c>
      <c r="S23" s="825"/>
      <c r="T23" s="1062">
        <f t="shared" si="3"/>
        <v>0</v>
      </c>
      <c r="U23" s="960"/>
      <c r="V23" s="824"/>
      <c r="W23" s="803"/>
      <c r="X23" s="803"/>
      <c r="Y23" s="803"/>
      <c r="Z23" s="803"/>
      <c r="AA23" s="803"/>
      <c r="AB23" s="803"/>
      <c r="AC23" s="803"/>
      <c r="AD23" s="803"/>
      <c r="AE23" s="803"/>
      <c r="AF23" s="803"/>
      <c r="AG23" s="803"/>
      <c r="AH23" s="803"/>
      <c r="AI23" s="803"/>
      <c r="AJ23" s="803"/>
    </row>
    <row r="24" spans="1:36" s="826" customFormat="1" ht="22.8">
      <c r="A24" s="836"/>
      <c r="B24" s="1080" t="s">
        <v>884</v>
      </c>
      <c r="C24" s="1081" t="s">
        <v>900</v>
      </c>
      <c r="D24" s="1166"/>
      <c r="E24" s="1179"/>
      <c r="F24" s="843"/>
      <c r="G24" s="842"/>
      <c r="H24" s="842"/>
      <c r="I24" s="842"/>
      <c r="J24" s="842"/>
      <c r="K24" s="842"/>
      <c r="L24" s="843"/>
      <c r="M24" s="842"/>
      <c r="N24" s="842"/>
      <c r="O24" s="843"/>
      <c r="P24" s="842"/>
      <c r="Q24" s="844"/>
      <c r="R24" s="1076">
        <f t="shared" si="4"/>
        <v>0</v>
      </c>
      <c r="S24" s="825"/>
      <c r="T24" s="1062">
        <f t="shared" si="3"/>
        <v>0</v>
      </c>
      <c r="U24" s="960"/>
      <c r="V24" s="824"/>
      <c r="W24" s="803"/>
      <c r="X24" s="803"/>
      <c r="Y24" s="803"/>
      <c r="Z24" s="803"/>
      <c r="AA24" s="803"/>
      <c r="AB24" s="803"/>
      <c r="AC24" s="803"/>
      <c r="AD24" s="803"/>
      <c r="AE24" s="803"/>
      <c r="AF24" s="803"/>
      <c r="AG24" s="803"/>
      <c r="AH24" s="803"/>
      <c r="AI24" s="803"/>
      <c r="AJ24" s="803"/>
    </row>
    <row r="25" spans="1:36" s="826" customFormat="1" ht="22.8" hidden="1" customHeight="1">
      <c r="A25" s="1112"/>
      <c r="B25" s="823" t="s">
        <v>959</v>
      </c>
      <c r="C25" s="1041" t="s">
        <v>947</v>
      </c>
      <c r="D25" s="1166" t="s">
        <v>611</v>
      </c>
      <c r="E25" s="1075">
        <v>2027</v>
      </c>
      <c r="F25" s="843"/>
      <c r="G25" s="842"/>
      <c r="H25" s="842"/>
      <c r="I25" s="842"/>
      <c r="J25" s="842"/>
      <c r="K25" s="842"/>
      <c r="L25" s="843"/>
      <c r="M25" s="842"/>
      <c r="N25" s="842"/>
      <c r="O25" s="843"/>
      <c r="P25" s="842"/>
      <c r="Q25" s="844"/>
      <c r="R25" s="1076">
        <f t="shared" si="4"/>
        <v>0</v>
      </c>
      <c r="S25" s="825"/>
      <c r="T25" s="1062">
        <f t="shared" si="3"/>
        <v>0</v>
      </c>
      <c r="U25" s="960"/>
      <c r="V25" s="824" t="s">
        <v>675</v>
      </c>
      <c r="W25" s="803"/>
      <c r="X25" s="803"/>
      <c r="Y25" s="803"/>
      <c r="Z25" s="803"/>
      <c r="AA25" s="803"/>
      <c r="AB25" s="803"/>
      <c r="AC25" s="803"/>
      <c r="AD25" s="803"/>
      <c r="AE25" s="803"/>
      <c r="AF25" s="803"/>
      <c r="AG25" s="803"/>
      <c r="AH25" s="803"/>
      <c r="AI25" s="803"/>
      <c r="AJ25" s="803"/>
    </row>
    <row r="26" spans="1:36" s="826" customFormat="1" ht="22.8" hidden="1" customHeight="1">
      <c r="A26" s="836"/>
      <c r="B26" s="1040" t="s">
        <v>662</v>
      </c>
      <c r="C26" s="1038" t="s">
        <v>615</v>
      </c>
      <c r="D26" s="1166"/>
      <c r="E26" s="1179"/>
      <c r="F26" s="843"/>
      <c r="G26" s="842"/>
      <c r="H26" s="842"/>
      <c r="I26" s="842"/>
      <c r="J26" s="842"/>
      <c r="K26" s="842"/>
      <c r="L26" s="843"/>
      <c r="M26" s="842"/>
      <c r="N26" s="842"/>
      <c r="O26" s="843"/>
      <c r="P26" s="842"/>
      <c r="Q26" s="844"/>
      <c r="R26" s="1076">
        <f t="shared" si="4"/>
        <v>0</v>
      </c>
      <c r="S26" s="825"/>
      <c r="T26" s="1062">
        <f t="shared" si="3"/>
        <v>0</v>
      </c>
      <c r="U26" s="960"/>
      <c r="V26" s="824"/>
      <c r="W26" s="803"/>
      <c r="X26" s="803"/>
      <c r="Y26" s="803"/>
      <c r="Z26" s="803"/>
      <c r="AA26" s="803"/>
      <c r="AB26" s="803"/>
      <c r="AC26" s="803"/>
      <c r="AD26" s="803"/>
      <c r="AE26" s="803"/>
      <c r="AF26" s="803"/>
      <c r="AG26" s="803"/>
      <c r="AH26" s="803"/>
      <c r="AI26" s="803"/>
      <c r="AJ26" s="803"/>
    </row>
    <row r="27" spans="1:36" s="826" customFormat="1" ht="22.8" hidden="1" customHeight="1">
      <c r="A27" s="836"/>
      <c r="B27" s="823" t="s">
        <v>671</v>
      </c>
      <c r="C27" s="1038" t="s">
        <v>688</v>
      </c>
      <c r="D27" s="1166"/>
      <c r="E27" s="1179"/>
      <c r="F27" s="843"/>
      <c r="G27" s="842"/>
      <c r="H27" s="842"/>
      <c r="I27" s="842"/>
      <c r="J27" s="842"/>
      <c r="K27" s="842"/>
      <c r="L27" s="843"/>
      <c r="M27" s="842"/>
      <c r="N27" s="842"/>
      <c r="O27" s="843"/>
      <c r="P27" s="842"/>
      <c r="Q27" s="844"/>
      <c r="R27" s="1076">
        <f t="shared" si="4"/>
        <v>0</v>
      </c>
      <c r="S27" s="825"/>
      <c r="T27" s="1062">
        <f t="shared" si="3"/>
        <v>0</v>
      </c>
      <c r="U27" s="960"/>
      <c r="V27" s="824"/>
      <c r="W27" s="803"/>
      <c r="X27" s="803"/>
      <c r="Y27" s="803"/>
      <c r="Z27" s="803"/>
      <c r="AA27" s="803"/>
      <c r="AB27" s="803"/>
      <c r="AC27" s="803"/>
      <c r="AD27" s="803"/>
      <c r="AE27" s="803"/>
      <c r="AF27" s="803"/>
      <c r="AG27" s="803"/>
      <c r="AH27" s="803"/>
      <c r="AI27" s="803"/>
      <c r="AJ27" s="803"/>
    </row>
    <row r="28" spans="1:36" s="826" customFormat="1" ht="22.8" hidden="1" customHeight="1">
      <c r="A28" s="836"/>
      <c r="B28" s="823" t="s">
        <v>672</v>
      </c>
      <c r="C28" s="1041"/>
      <c r="D28" s="1166"/>
      <c r="E28" s="1179"/>
      <c r="F28" s="843"/>
      <c r="G28" s="842"/>
      <c r="H28" s="842"/>
      <c r="I28" s="842"/>
      <c r="J28" s="842"/>
      <c r="K28" s="842"/>
      <c r="L28" s="843"/>
      <c r="M28" s="842"/>
      <c r="N28" s="842"/>
      <c r="O28" s="843"/>
      <c r="P28" s="842"/>
      <c r="Q28" s="844"/>
      <c r="R28" s="1076">
        <f t="shared" si="4"/>
        <v>0</v>
      </c>
      <c r="S28" s="825"/>
      <c r="T28" s="1062">
        <f t="shared" si="3"/>
        <v>0</v>
      </c>
      <c r="U28" s="960"/>
      <c r="V28" s="824"/>
      <c r="W28" s="803"/>
      <c r="X28" s="803"/>
      <c r="Y28" s="803"/>
      <c r="Z28" s="803"/>
      <c r="AA28" s="803"/>
      <c r="AB28" s="803"/>
      <c r="AC28" s="803"/>
      <c r="AD28" s="803"/>
      <c r="AE28" s="803"/>
      <c r="AF28" s="803"/>
      <c r="AG28" s="803"/>
      <c r="AH28" s="803"/>
      <c r="AI28" s="803"/>
      <c r="AJ28" s="803"/>
    </row>
    <row r="29" spans="1:36" s="826" customFormat="1" ht="22.8" hidden="1" customHeight="1">
      <c r="A29" s="836"/>
      <c r="B29" s="823" t="s">
        <v>673</v>
      </c>
      <c r="C29" s="1041"/>
      <c r="D29" s="1166"/>
      <c r="E29" s="1179"/>
      <c r="F29" s="843"/>
      <c r="G29" s="842"/>
      <c r="H29" s="842"/>
      <c r="I29" s="842"/>
      <c r="J29" s="842"/>
      <c r="K29" s="842"/>
      <c r="L29" s="843"/>
      <c r="M29" s="842"/>
      <c r="N29" s="842"/>
      <c r="O29" s="843"/>
      <c r="P29" s="842"/>
      <c r="Q29" s="844"/>
      <c r="R29" s="1076">
        <f t="shared" si="4"/>
        <v>0</v>
      </c>
      <c r="S29" s="825"/>
      <c r="T29" s="1062">
        <f t="shared" si="3"/>
        <v>0</v>
      </c>
      <c r="U29" s="960"/>
      <c r="V29" s="824"/>
      <c r="W29" s="803"/>
      <c r="X29" s="803"/>
      <c r="Y29" s="803"/>
      <c r="Z29" s="803"/>
      <c r="AA29" s="803"/>
      <c r="AB29" s="803"/>
      <c r="AC29" s="803"/>
      <c r="AD29" s="803"/>
      <c r="AE29" s="803"/>
      <c r="AF29" s="803"/>
      <c r="AG29" s="803"/>
      <c r="AH29" s="803"/>
      <c r="AI29" s="803"/>
      <c r="AJ29" s="803"/>
    </row>
    <row r="30" spans="1:36" s="826" customFormat="1" ht="22.8" hidden="1" customHeight="1">
      <c r="A30" s="836"/>
      <c r="B30" s="823" t="s">
        <v>674</v>
      </c>
      <c r="C30" s="1041"/>
      <c r="D30" s="1166"/>
      <c r="E30" s="1179"/>
      <c r="F30" s="843"/>
      <c r="G30" s="842"/>
      <c r="H30" s="842"/>
      <c r="I30" s="842"/>
      <c r="J30" s="842"/>
      <c r="K30" s="842"/>
      <c r="L30" s="843"/>
      <c r="M30" s="842"/>
      <c r="N30" s="842"/>
      <c r="O30" s="843"/>
      <c r="P30" s="842"/>
      <c r="Q30" s="844"/>
      <c r="R30" s="1076">
        <f t="shared" si="4"/>
        <v>0</v>
      </c>
      <c r="S30" s="825"/>
      <c r="T30" s="1062">
        <f t="shared" si="3"/>
        <v>0</v>
      </c>
      <c r="U30" s="960"/>
      <c r="V30" s="824"/>
      <c r="W30" s="803"/>
      <c r="X30" s="803"/>
      <c r="Y30" s="803"/>
      <c r="Z30" s="803"/>
      <c r="AA30" s="803"/>
      <c r="AB30" s="803"/>
      <c r="AC30" s="803"/>
      <c r="AD30" s="803"/>
      <c r="AE30" s="803"/>
      <c r="AF30" s="803"/>
      <c r="AG30" s="803"/>
      <c r="AH30" s="803"/>
      <c r="AI30" s="803"/>
      <c r="AJ30" s="803"/>
    </row>
    <row r="31" spans="1:36" s="826" customFormat="1" ht="22.8">
      <c r="A31" s="836">
        <v>7</v>
      </c>
      <c r="B31" s="823" t="s">
        <v>961</v>
      </c>
      <c r="C31" s="1041" t="s">
        <v>692</v>
      </c>
      <c r="D31" s="1166" t="s">
        <v>663</v>
      </c>
      <c r="E31" s="1075">
        <v>2027</v>
      </c>
      <c r="F31" s="843"/>
      <c r="G31" s="842"/>
      <c r="H31" s="842"/>
      <c r="I31" s="842"/>
      <c r="J31" s="842"/>
      <c r="K31" s="842"/>
      <c r="L31" s="843"/>
      <c r="M31" s="842"/>
      <c r="N31" s="842"/>
      <c r="O31" s="843"/>
      <c r="P31" s="842"/>
      <c r="Q31" s="844"/>
      <c r="R31" s="1076">
        <f t="shared" si="4"/>
        <v>0</v>
      </c>
      <c r="S31" s="825"/>
      <c r="T31" s="1062">
        <f t="shared" si="3"/>
        <v>0</v>
      </c>
      <c r="U31" s="960"/>
      <c r="V31" s="824"/>
      <c r="W31" s="803"/>
      <c r="X31" s="803"/>
      <c r="Y31" s="803"/>
      <c r="Z31" s="803"/>
      <c r="AA31" s="803"/>
      <c r="AB31" s="803"/>
      <c r="AC31" s="803"/>
      <c r="AD31" s="803"/>
      <c r="AE31" s="803"/>
      <c r="AF31" s="803"/>
      <c r="AG31" s="803"/>
      <c r="AH31" s="803"/>
      <c r="AI31" s="803"/>
      <c r="AJ31" s="803"/>
    </row>
    <row r="32" spans="1:36" s="826" customFormat="1" ht="22.8">
      <c r="A32" s="836"/>
      <c r="B32" s="1080" t="s">
        <v>978</v>
      </c>
      <c r="C32" s="1038" t="s">
        <v>615</v>
      </c>
      <c r="D32" s="1166"/>
      <c r="E32" s="1179"/>
      <c r="F32" s="843"/>
      <c r="G32" s="842"/>
      <c r="H32" s="842"/>
      <c r="I32" s="842"/>
      <c r="J32" s="842"/>
      <c r="K32" s="842"/>
      <c r="L32" s="843"/>
      <c r="M32" s="842"/>
      <c r="N32" s="842"/>
      <c r="O32" s="843"/>
      <c r="P32" s="842"/>
      <c r="Q32" s="844"/>
      <c r="R32" s="1076">
        <f t="shared" si="4"/>
        <v>0</v>
      </c>
      <c r="S32" s="825"/>
      <c r="T32" s="1062">
        <f t="shared" si="3"/>
        <v>0</v>
      </c>
      <c r="U32" s="1076">
        <v>26</v>
      </c>
      <c r="V32" s="1027"/>
      <c r="W32" s="803"/>
      <c r="X32" s="803"/>
      <c r="Y32" s="803"/>
      <c r="Z32" s="803"/>
      <c r="AA32" s="803"/>
      <c r="AB32" s="803"/>
      <c r="AC32" s="803"/>
      <c r="AD32" s="803"/>
      <c r="AE32" s="803"/>
      <c r="AF32" s="803"/>
      <c r="AG32" s="803"/>
      <c r="AH32" s="803"/>
      <c r="AI32" s="803"/>
      <c r="AJ32" s="803"/>
    </row>
    <row r="33" spans="1:36" s="826" customFormat="1" ht="22.8">
      <c r="A33" s="836"/>
      <c r="B33" s="1080" t="s">
        <v>955</v>
      </c>
      <c r="C33" s="1038" t="s">
        <v>688</v>
      </c>
      <c r="D33" s="1166"/>
      <c r="E33" s="1179"/>
      <c r="F33" s="843"/>
      <c r="G33" s="842"/>
      <c r="H33" s="842"/>
      <c r="I33" s="842"/>
      <c r="J33" s="842"/>
      <c r="K33" s="842"/>
      <c r="L33" s="843"/>
      <c r="M33" s="842"/>
      <c r="N33" s="842"/>
      <c r="O33" s="843"/>
      <c r="P33" s="842"/>
      <c r="Q33" s="844"/>
      <c r="R33" s="1076">
        <f t="shared" si="4"/>
        <v>0</v>
      </c>
      <c r="S33" s="825"/>
      <c r="T33" s="1062">
        <f t="shared" si="3"/>
        <v>0</v>
      </c>
      <c r="U33" s="960"/>
      <c r="V33" s="824"/>
      <c r="W33" s="803"/>
      <c r="X33" s="803"/>
      <c r="Y33" s="803"/>
      <c r="Z33" s="803"/>
      <c r="AA33" s="803"/>
      <c r="AB33" s="803"/>
      <c r="AC33" s="803"/>
      <c r="AD33" s="803"/>
      <c r="AE33" s="803"/>
      <c r="AF33" s="803"/>
      <c r="AG33" s="803"/>
      <c r="AH33" s="803"/>
      <c r="AI33" s="803"/>
      <c r="AJ33" s="803"/>
    </row>
    <row r="34" spans="1:36" s="826" customFormat="1" ht="22.8">
      <c r="A34" s="836"/>
      <c r="B34" s="1080" t="s">
        <v>979</v>
      </c>
      <c r="C34" s="1038" t="s">
        <v>973</v>
      </c>
      <c r="D34" s="1166"/>
      <c r="E34" s="1179"/>
      <c r="F34" s="843"/>
      <c r="G34" s="842"/>
      <c r="H34" s="842"/>
      <c r="I34" s="842"/>
      <c r="J34" s="842"/>
      <c r="K34" s="842"/>
      <c r="L34" s="843"/>
      <c r="M34" s="842"/>
      <c r="N34" s="842"/>
      <c r="O34" s="843"/>
      <c r="P34" s="842"/>
      <c r="Q34" s="844"/>
      <c r="R34" s="1076">
        <f t="shared" si="4"/>
        <v>0</v>
      </c>
      <c r="S34" s="825"/>
      <c r="T34" s="1062">
        <f t="shared" si="3"/>
        <v>0</v>
      </c>
      <c r="U34" s="960"/>
      <c r="V34" s="824"/>
      <c r="W34" s="803"/>
      <c r="X34" s="803"/>
      <c r="Y34" s="803"/>
      <c r="Z34" s="803"/>
      <c r="AA34" s="803"/>
      <c r="AB34" s="803"/>
      <c r="AC34" s="803"/>
      <c r="AD34" s="803"/>
      <c r="AE34" s="803"/>
      <c r="AF34" s="803"/>
      <c r="AG34" s="803"/>
      <c r="AH34" s="803"/>
      <c r="AI34" s="803"/>
      <c r="AJ34" s="803"/>
    </row>
    <row r="35" spans="1:36" s="826" customFormat="1" ht="22.8">
      <c r="A35" s="836"/>
      <c r="B35" s="1080" t="s">
        <v>956</v>
      </c>
      <c r="C35" s="1038"/>
      <c r="D35" s="1166"/>
      <c r="E35" s="1179"/>
      <c r="F35" s="843"/>
      <c r="G35" s="842"/>
      <c r="H35" s="842"/>
      <c r="I35" s="842"/>
      <c r="J35" s="842"/>
      <c r="K35" s="842"/>
      <c r="L35" s="843"/>
      <c r="M35" s="842"/>
      <c r="N35" s="842"/>
      <c r="O35" s="843"/>
      <c r="P35" s="842"/>
      <c r="Q35" s="844"/>
      <c r="R35" s="1076">
        <f t="shared" si="4"/>
        <v>0</v>
      </c>
      <c r="S35" s="825"/>
      <c r="T35" s="1062">
        <f t="shared" si="3"/>
        <v>0</v>
      </c>
      <c r="U35" s="960"/>
      <c r="V35" s="824"/>
      <c r="W35" s="803"/>
      <c r="X35" s="803"/>
      <c r="Y35" s="803"/>
      <c r="Z35" s="803"/>
      <c r="AA35" s="803"/>
      <c r="AB35" s="803"/>
      <c r="AC35" s="803"/>
      <c r="AD35" s="803"/>
      <c r="AE35" s="803"/>
      <c r="AF35" s="803"/>
      <c r="AG35" s="803"/>
      <c r="AH35" s="803"/>
      <c r="AI35" s="803"/>
      <c r="AJ35" s="803"/>
    </row>
    <row r="36" spans="1:36" s="826" customFormat="1" ht="22.8">
      <c r="A36" s="836"/>
      <c r="B36" s="1040" t="s">
        <v>980</v>
      </c>
      <c r="C36" s="1038"/>
      <c r="D36" s="1166"/>
      <c r="E36" s="1179"/>
      <c r="F36" s="843"/>
      <c r="G36" s="842"/>
      <c r="H36" s="842"/>
      <c r="I36" s="842"/>
      <c r="J36" s="842"/>
      <c r="K36" s="842"/>
      <c r="L36" s="843"/>
      <c r="M36" s="842"/>
      <c r="N36" s="842"/>
      <c r="O36" s="843"/>
      <c r="P36" s="842"/>
      <c r="Q36" s="844"/>
      <c r="R36" s="1076">
        <f t="shared" si="4"/>
        <v>0</v>
      </c>
      <c r="S36" s="825"/>
      <c r="T36" s="1062">
        <f t="shared" si="3"/>
        <v>0</v>
      </c>
      <c r="U36" s="960"/>
      <c r="V36" s="824"/>
      <c r="W36" s="803"/>
      <c r="X36" s="803"/>
      <c r="Y36" s="803"/>
      <c r="Z36" s="803"/>
      <c r="AA36" s="803"/>
      <c r="AB36" s="803"/>
      <c r="AC36" s="803"/>
      <c r="AD36" s="803"/>
      <c r="AE36" s="803"/>
      <c r="AF36" s="803"/>
      <c r="AG36" s="803"/>
      <c r="AH36" s="803"/>
      <c r="AI36" s="803"/>
      <c r="AJ36" s="803"/>
    </row>
    <row r="37" spans="1:36" s="826" customFormat="1" ht="22.8" hidden="1" customHeight="1">
      <c r="A37" s="836"/>
      <c r="B37" s="823" t="s">
        <v>693</v>
      </c>
      <c r="C37" s="1041" t="s">
        <v>694</v>
      </c>
      <c r="D37" s="1166" t="s">
        <v>663</v>
      </c>
      <c r="E37" s="1075" t="s">
        <v>951</v>
      </c>
      <c r="F37" s="843"/>
      <c r="G37" s="842"/>
      <c r="H37" s="842"/>
      <c r="I37" s="842"/>
      <c r="J37" s="842"/>
      <c r="K37" s="842"/>
      <c r="L37" s="843"/>
      <c r="M37" s="842"/>
      <c r="N37" s="842"/>
      <c r="O37" s="843"/>
      <c r="P37" s="842"/>
      <c r="Q37" s="844"/>
      <c r="R37" s="1076">
        <f>SUM(F37:Q37)</f>
        <v>0</v>
      </c>
      <c r="S37" s="825"/>
      <c r="T37" s="1062">
        <f t="shared" si="3"/>
        <v>0</v>
      </c>
      <c r="U37" s="960"/>
      <c r="V37" s="824"/>
      <c r="W37" s="803"/>
      <c r="X37" s="803"/>
      <c r="Y37" s="803"/>
      <c r="Z37" s="803"/>
      <c r="AA37" s="803"/>
      <c r="AB37" s="803"/>
      <c r="AC37" s="803"/>
      <c r="AD37" s="803"/>
      <c r="AE37" s="803"/>
      <c r="AF37" s="803"/>
      <c r="AG37" s="803"/>
      <c r="AH37" s="803"/>
      <c r="AI37" s="803"/>
      <c r="AJ37" s="803"/>
    </row>
    <row r="38" spans="1:36" s="826" customFormat="1" ht="22.8" hidden="1" customHeight="1">
      <c r="A38" s="836"/>
      <c r="B38" s="823" t="s">
        <v>892</v>
      </c>
      <c r="C38" s="1038" t="s">
        <v>615</v>
      </c>
      <c r="D38" s="1166"/>
      <c r="E38" s="1179"/>
      <c r="F38" s="843"/>
      <c r="G38" s="842"/>
      <c r="H38" s="842"/>
      <c r="I38" s="842"/>
      <c r="J38" s="842"/>
      <c r="K38" s="842"/>
      <c r="L38" s="843"/>
      <c r="M38" s="842"/>
      <c r="N38" s="842"/>
      <c r="O38" s="843"/>
      <c r="P38" s="842"/>
      <c r="Q38" s="844"/>
      <c r="R38" s="1076"/>
      <c r="S38" s="825"/>
      <c r="T38" s="1062">
        <f t="shared" si="3"/>
        <v>0</v>
      </c>
      <c r="U38" s="842">
        <v>0.7</v>
      </c>
      <c r="V38" s="824" t="s">
        <v>898</v>
      </c>
      <c r="W38" s="803"/>
      <c r="X38" s="803"/>
      <c r="Y38" s="803"/>
      <c r="Z38" s="803"/>
      <c r="AA38" s="803"/>
      <c r="AB38" s="803"/>
      <c r="AC38" s="803"/>
      <c r="AD38" s="803"/>
      <c r="AE38" s="803"/>
      <c r="AF38" s="803"/>
      <c r="AG38" s="803"/>
      <c r="AH38" s="803"/>
      <c r="AI38" s="803"/>
      <c r="AJ38" s="803"/>
    </row>
    <row r="39" spans="1:36" s="826" customFormat="1" ht="22.8" hidden="1" customHeight="1">
      <c r="A39" s="836"/>
      <c r="B39" s="823" t="s">
        <v>893</v>
      </c>
      <c r="C39" s="1038"/>
      <c r="D39" s="1166"/>
      <c r="E39" s="1179"/>
      <c r="F39" s="843"/>
      <c r="G39" s="842"/>
      <c r="H39" s="842"/>
      <c r="I39" s="842"/>
      <c r="J39" s="842"/>
      <c r="K39" s="842"/>
      <c r="L39" s="843"/>
      <c r="M39" s="842"/>
      <c r="N39" s="842"/>
      <c r="O39" s="843"/>
      <c r="P39" s="842"/>
      <c r="Q39" s="844"/>
      <c r="R39" s="1076">
        <f t="shared" ref="R39:R111" si="5">SUM(F39:Q39)</f>
        <v>0</v>
      </c>
      <c r="S39" s="825"/>
      <c r="T39" s="1062">
        <f t="shared" si="3"/>
        <v>0</v>
      </c>
      <c r="U39" s="960"/>
      <c r="V39" s="824"/>
      <c r="W39" s="803"/>
      <c r="X39" s="803"/>
      <c r="Y39" s="803"/>
      <c r="Z39" s="803"/>
      <c r="AA39" s="803"/>
      <c r="AB39" s="803"/>
      <c r="AC39" s="803"/>
      <c r="AD39" s="803"/>
      <c r="AE39" s="803"/>
      <c r="AF39" s="803"/>
      <c r="AG39" s="803"/>
      <c r="AH39" s="803"/>
      <c r="AI39" s="803"/>
      <c r="AJ39" s="803"/>
    </row>
    <row r="40" spans="1:36" s="826" customFormat="1" ht="22.8" hidden="1" customHeight="1">
      <c r="A40" s="836"/>
      <c r="B40" s="823" t="s">
        <v>894</v>
      </c>
      <c r="C40" s="1038"/>
      <c r="D40" s="1166"/>
      <c r="E40" s="1179"/>
      <c r="F40" s="843"/>
      <c r="G40" s="842"/>
      <c r="H40" s="842"/>
      <c r="I40" s="842"/>
      <c r="J40" s="842"/>
      <c r="K40" s="842"/>
      <c r="L40" s="843"/>
      <c r="M40" s="842"/>
      <c r="N40" s="842"/>
      <c r="O40" s="843"/>
      <c r="P40" s="842"/>
      <c r="Q40" s="844"/>
      <c r="R40" s="1076">
        <f t="shared" si="5"/>
        <v>0</v>
      </c>
      <c r="S40" s="825"/>
      <c r="T40" s="1062">
        <f t="shared" si="3"/>
        <v>0</v>
      </c>
      <c r="U40" s="960"/>
      <c r="V40" s="824"/>
      <c r="W40" s="803"/>
      <c r="X40" s="803"/>
      <c r="Y40" s="803"/>
      <c r="Z40" s="803"/>
      <c r="AA40" s="803"/>
      <c r="AB40" s="803"/>
      <c r="AC40" s="803"/>
      <c r="AD40" s="803"/>
      <c r="AE40" s="803"/>
      <c r="AF40" s="803"/>
      <c r="AG40" s="803"/>
      <c r="AH40" s="803"/>
      <c r="AI40" s="803"/>
      <c r="AJ40" s="803"/>
    </row>
    <row r="41" spans="1:36" s="826" customFormat="1" ht="22.8" hidden="1" customHeight="1">
      <c r="A41" s="836"/>
      <c r="B41" s="823" t="s">
        <v>895</v>
      </c>
      <c r="C41" s="1038"/>
      <c r="D41" s="1166"/>
      <c r="E41" s="1179"/>
      <c r="F41" s="843"/>
      <c r="G41" s="842"/>
      <c r="H41" s="842"/>
      <c r="I41" s="842"/>
      <c r="J41" s="842"/>
      <c r="K41" s="842"/>
      <c r="L41" s="843"/>
      <c r="M41" s="842"/>
      <c r="N41" s="842"/>
      <c r="O41" s="843"/>
      <c r="P41" s="842"/>
      <c r="Q41" s="844"/>
      <c r="R41" s="1076">
        <f t="shared" si="5"/>
        <v>0</v>
      </c>
      <c r="S41" s="825"/>
      <c r="T41" s="1062">
        <f t="shared" si="3"/>
        <v>0</v>
      </c>
      <c r="U41" s="960"/>
      <c r="V41" s="824"/>
      <c r="W41" s="803"/>
      <c r="X41" s="803"/>
      <c r="Y41" s="803"/>
      <c r="Z41" s="803"/>
      <c r="AA41" s="803"/>
      <c r="AB41" s="803"/>
      <c r="AC41" s="803"/>
      <c r="AD41" s="803"/>
      <c r="AE41" s="803"/>
      <c r="AF41" s="803"/>
      <c r="AG41" s="803"/>
      <c r="AH41" s="803"/>
      <c r="AI41" s="803"/>
      <c r="AJ41" s="803"/>
    </row>
    <row r="42" spans="1:36" s="826" customFormat="1" ht="22.8" hidden="1" customHeight="1">
      <c r="A42" s="836"/>
      <c r="B42" s="823" t="s">
        <v>896</v>
      </c>
      <c r="C42" s="1038"/>
      <c r="D42" s="1166"/>
      <c r="E42" s="1179"/>
      <c r="F42" s="843"/>
      <c r="G42" s="842"/>
      <c r="H42" s="842"/>
      <c r="I42" s="842"/>
      <c r="J42" s="842"/>
      <c r="K42" s="842"/>
      <c r="L42" s="843"/>
      <c r="M42" s="842"/>
      <c r="N42" s="842"/>
      <c r="O42" s="843"/>
      <c r="P42" s="842"/>
      <c r="Q42" s="844"/>
      <c r="R42" s="1076">
        <f t="shared" si="5"/>
        <v>0</v>
      </c>
      <c r="S42" s="825"/>
      <c r="T42" s="1062">
        <f t="shared" si="3"/>
        <v>0</v>
      </c>
      <c r="U42" s="960"/>
      <c r="V42" s="824"/>
      <c r="W42" s="803"/>
      <c r="X42" s="803"/>
      <c r="Y42" s="803"/>
      <c r="Z42" s="803"/>
      <c r="AA42" s="803"/>
      <c r="AB42" s="803"/>
      <c r="AC42" s="803"/>
      <c r="AD42" s="803"/>
      <c r="AE42" s="803"/>
      <c r="AF42" s="803"/>
      <c r="AG42" s="803"/>
      <c r="AH42" s="803"/>
      <c r="AI42" s="803"/>
      <c r="AJ42" s="803"/>
    </row>
    <row r="43" spans="1:36" s="826" customFormat="1" ht="22.8" hidden="1" customHeight="1">
      <c r="A43" s="836"/>
      <c r="B43" s="1080" t="s">
        <v>897</v>
      </c>
      <c r="C43" s="1038"/>
      <c r="D43" s="1166"/>
      <c r="E43" s="1179"/>
      <c r="F43" s="843"/>
      <c r="G43" s="842"/>
      <c r="H43" s="842"/>
      <c r="I43" s="842"/>
      <c r="J43" s="842"/>
      <c r="K43" s="842"/>
      <c r="L43" s="843"/>
      <c r="M43" s="842"/>
      <c r="N43" s="842"/>
      <c r="O43" s="843"/>
      <c r="P43" s="842"/>
      <c r="Q43" s="844"/>
      <c r="R43" s="1076">
        <f t="shared" si="5"/>
        <v>0</v>
      </c>
      <c r="S43" s="825"/>
      <c r="T43" s="1062">
        <f t="shared" si="3"/>
        <v>0</v>
      </c>
      <c r="U43" s="960"/>
      <c r="V43" s="824"/>
      <c r="W43" s="803"/>
      <c r="X43" s="803"/>
      <c r="Y43" s="803"/>
      <c r="Z43" s="803"/>
      <c r="AA43" s="803"/>
      <c r="AB43" s="803"/>
      <c r="AC43" s="803"/>
      <c r="AD43" s="803"/>
      <c r="AE43" s="803"/>
      <c r="AF43" s="803"/>
      <c r="AG43" s="803"/>
      <c r="AH43" s="803"/>
      <c r="AI43" s="803"/>
      <c r="AJ43" s="803"/>
    </row>
    <row r="44" spans="1:36" s="826" customFormat="1" ht="22.8" hidden="1" customHeight="1">
      <c r="A44" s="836"/>
      <c r="B44" s="1042"/>
      <c r="C44" s="1038"/>
      <c r="D44" s="1166"/>
      <c r="E44" s="1179"/>
      <c r="F44" s="843"/>
      <c r="G44" s="842"/>
      <c r="H44" s="842"/>
      <c r="I44" s="842"/>
      <c r="J44" s="842"/>
      <c r="K44" s="842"/>
      <c r="L44" s="843"/>
      <c r="M44" s="842"/>
      <c r="N44" s="842"/>
      <c r="O44" s="843"/>
      <c r="P44" s="842"/>
      <c r="Q44" s="844"/>
      <c r="R44" s="1076">
        <f t="shared" si="5"/>
        <v>0</v>
      </c>
      <c r="S44" s="825"/>
      <c r="T44" s="1062">
        <f t="shared" si="3"/>
        <v>0</v>
      </c>
      <c r="U44" s="960"/>
      <c r="V44" s="824"/>
      <c r="W44" s="803"/>
      <c r="X44" s="803"/>
      <c r="Y44" s="803"/>
      <c r="Z44" s="803"/>
      <c r="AA44" s="803"/>
      <c r="AB44" s="803"/>
      <c r="AC44" s="803"/>
      <c r="AD44" s="803"/>
      <c r="AE44" s="803"/>
      <c r="AF44" s="803"/>
      <c r="AG44" s="803"/>
      <c r="AH44" s="803"/>
      <c r="AI44" s="803"/>
      <c r="AJ44" s="803"/>
    </row>
    <row r="45" spans="1:36" s="826" customFormat="1" ht="22.8" hidden="1" customHeight="1">
      <c r="A45" s="836"/>
      <c r="B45" s="823" t="s">
        <v>722</v>
      </c>
      <c r="C45" s="1041" t="s">
        <v>719</v>
      </c>
      <c r="D45" s="1168" t="s">
        <v>663</v>
      </c>
      <c r="E45" s="1075">
        <v>2027</v>
      </c>
      <c r="F45" s="1069"/>
      <c r="G45" s="1060"/>
      <c r="H45" s="1060"/>
      <c r="I45" s="1060"/>
      <c r="J45" s="1060"/>
      <c r="K45" s="1060"/>
      <c r="L45" s="843"/>
      <c r="M45" s="842"/>
      <c r="N45" s="842"/>
      <c r="O45" s="843"/>
      <c r="P45" s="842"/>
      <c r="Q45" s="844"/>
      <c r="R45" s="1076">
        <f t="shared" si="5"/>
        <v>0</v>
      </c>
      <c r="S45" s="825"/>
      <c r="T45" s="1062">
        <f t="shared" si="3"/>
        <v>0</v>
      </c>
      <c r="U45" s="842"/>
      <c r="V45" s="824"/>
      <c r="W45" s="803"/>
      <c r="X45" s="803"/>
      <c r="Y45" s="803"/>
      <c r="Z45" s="803"/>
      <c r="AA45" s="803"/>
      <c r="AB45" s="803"/>
      <c r="AC45" s="803"/>
      <c r="AD45" s="803"/>
      <c r="AE45" s="803"/>
      <c r="AF45" s="803"/>
      <c r="AG45" s="803"/>
      <c r="AH45" s="803"/>
      <c r="AI45" s="803"/>
      <c r="AJ45" s="803"/>
    </row>
    <row r="46" spans="1:36" s="826" customFormat="1" ht="22.8" hidden="1" customHeight="1">
      <c r="A46" s="836"/>
      <c r="B46" s="823" t="s">
        <v>721</v>
      </c>
      <c r="C46" s="1038" t="s">
        <v>615</v>
      </c>
      <c r="D46" s="1166"/>
      <c r="E46" s="1176"/>
      <c r="F46" s="1069"/>
      <c r="G46" s="1060"/>
      <c r="H46" s="1060"/>
      <c r="I46" s="1060"/>
      <c r="J46" s="1060"/>
      <c r="K46" s="1060"/>
      <c r="L46" s="843"/>
      <c r="M46" s="1060"/>
      <c r="N46" s="842"/>
      <c r="O46" s="843"/>
      <c r="P46" s="842"/>
      <c r="Q46" s="844"/>
      <c r="R46" s="1076">
        <f t="shared" si="5"/>
        <v>0</v>
      </c>
      <c r="S46" s="825"/>
      <c r="T46" s="1062">
        <f t="shared" si="3"/>
        <v>0</v>
      </c>
      <c r="U46" s="842">
        <v>1.7</v>
      </c>
      <c r="V46" s="824"/>
      <c r="W46" s="803"/>
      <c r="X46" s="803"/>
      <c r="Y46" s="803"/>
      <c r="Z46" s="803"/>
      <c r="AA46" s="803"/>
      <c r="AB46" s="803"/>
      <c r="AC46" s="803"/>
      <c r="AD46" s="803"/>
      <c r="AE46" s="803"/>
      <c r="AF46" s="803"/>
      <c r="AG46" s="803"/>
      <c r="AH46" s="803"/>
      <c r="AI46" s="803"/>
      <c r="AJ46" s="803"/>
    </row>
    <row r="47" spans="1:36" s="826" customFormat="1" ht="22.8" hidden="1" customHeight="1">
      <c r="A47" s="836"/>
      <c r="B47" s="823" t="s">
        <v>725</v>
      </c>
      <c r="C47" s="1038" t="s">
        <v>688</v>
      </c>
      <c r="D47" s="1166"/>
      <c r="E47" s="1176"/>
      <c r="F47" s="1069"/>
      <c r="G47" s="1060"/>
      <c r="H47" s="1060"/>
      <c r="I47" s="1060"/>
      <c r="J47" s="1060"/>
      <c r="K47" s="1060"/>
      <c r="L47" s="843"/>
      <c r="M47" s="842"/>
      <c r="N47" s="842"/>
      <c r="O47" s="843"/>
      <c r="P47" s="842"/>
      <c r="Q47" s="843"/>
      <c r="R47" s="1076">
        <f t="shared" si="5"/>
        <v>0</v>
      </c>
      <c r="S47" s="825"/>
      <c r="T47" s="1062">
        <f t="shared" si="3"/>
        <v>0</v>
      </c>
      <c r="U47" s="842"/>
      <c r="V47" s="824"/>
      <c r="W47" s="803"/>
      <c r="X47" s="803"/>
      <c r="Y47" s="803"/>
      <c r="Z47" s="803"/>
      <c r="AA47" s="803"/>
      <c r="AB47" s="803"/>
      <c r="AC47" s="803"/>
      <c r="AD47" s="803"/>
      <c r="AE47" s="803"/>
      <c r="AF47" s="803"/>
      <c r="AG47" s="803"/>
      <c r="AH47" s="803"/>
      <c r="AI47" s="803"/>
      <c r="AJ47" s="803"/>
    </row>
    <row r="48" spans="1:36" s="826" customFormat="1" ht="22.8" hidden="1" customHeight="1">
      <c r="A48" s="836"/>
      <c r="B48" s="823" t="s">
        <v>724</v>
      </c>
      <c r="C48" s="1038"/>
      <c r="D48" s="1166"/>
      <c r="E48" s="1176"/>
      <c r="F48" s="1069"/>
      <c r="G48" s="1060"/>
      <c r="H48" s="1060"/>
      <c r="I48" s="1060"/>
      <c r="J48" s="1060"/>
      <c r="K48" s="1060"/>
      <c r="L48" s="843"/>
      <c r="M48" s="842"/>
      <c r="N48" s="842"/>
      <c r="O48" s="843"/>
      <c r="P48" s="842"/>
      <c r="Q48" s="843"/>
      <c r="R48" s="1076">
        <f t="shared" si="5"/>
        <v>0</v>
      </c>
      <c r="S48" s="825"/>
      <c r="T48" s="1062">
        <f t="shared" si="3"/>
        <v>0</v>
      </c>
      <c r="U48" s="842"/>
      <c r="V48" s="824"/>
      <c r="W48" s="803"/>
      <c r="X48" s="803"/>
      <c r="Y48" s="803"/>
      <c r="Z48" s="803"/>
      <c r="AA48" s="803"/>
      <c r="AB48" s="803"/>
      <c r="AC48" s="803"/>
      <c r="AD48" s="803"/>
      <c r="AE48" s="803"/>
      <c r="AF48" s="803"/>
      <c r="AG48" s="803"/>
      <c r="AH48" s="803"/>
      <c r="AI48" s="803"/>
      <c r="AJ48" s="803"/>
    </row>
    <row r="49" spans="1:36" s="826" customFormat="1" ht="22.8" hidden="1" customHeight="1">
      <c r="A49" s="836"/>
      <c r="B49" s="823" t="s">
        <v>723</v>
      </c>
      <c r="C49" s="1038"/>
      <c r="D49" s="1166"/>
      <c r="E49" s="1176"/>
      <c r="F49" s="1069"/>
      <c r="G49" s="1060"/>
      <c r="H49" s="1060"/>
      <c r="I49" s="1060"/>
      <c r="J49" s="1060"/>
      <c r="K49" s="1060"/>
      <c r="L49" s="843"/>
      <c r="M49" s="842"/>
      <c r="N49" s="842"/>
      <c r="O49" s="843"/>
      <c r="P49" s="842"/>
      <c r="Q49" s="844"/>
      <c r="R49" s="1076">
        <f t="shared" si="5"/>
        <v>0</v>
      </c>
      <c r="S49" s="825"/>
      <c r="T49" s="1062">
        <f t="shared" si="3"/>
        <v>0</v>
      </c>
      <c r="U49" s="842"/>
      <c r="V49" s="824"/>
      <c r="W49" s="803"/>
      <c r="X49" s="803"/>
      <c r="Y49" s="803"/>
      <c r="Z49" s="803"/>
      <c r="AA49" s="803"/>
      <c r="AB49" s="803"/>
      <c r="AC49" s="803"/>
      <c r="AD49" s="803"/>
      <c r="AE49" s="803"/>
      <c r="AF49" s="803"/>
      <c r="AG49" s="803"/>
      <c r="AH49" s="803"/>
      <c r="AI49" s="803"/>
      <c r="AJ49" s="803"/>
    </row>
    <row r="50" spans="1:36" s="826" customFormat="1" ht="22.8" hidden="1" customHeight="1">
      <c r="A50" s="836"/>
      <c r="B50" s="1040" t="s">
        <v>720</v>
      </c>
      <c r="C50" s="1038"/>
      <c r="D50" s="1166"/>
      <c r="E50" s="1176"/>
      <c r="F50" s="1069"/>
      <c r="G50" s="1060"/>
      <c r="H50" s="1060"/>
      <c r="I50" s="1060"/>
      <c r="J50" s="1060"/>
      <c r="K50" s="1060"/>
      <c r="L50" s="843"/>
      <c r="M50" s="842"/>
      <c r="N50" s="842"/>
      <c r="O50" s="843"/>
      <c r="P50" s="842"/>
      <c r="Q50" s="844"/>
      <c r="R50" s="1076">
        <f t="shared" si="5"/>
        <v>0</v>
      </c>
      <c r="S50" s="825"/>
      <c r="T50" s="1062">
        <f t="shared" si="3"/>
        <v>0</v>
      </c>
      <c r="U50" s="842"/>
      <c r="V50" s="824"/>
      <c r="W50" s="803"/>
      <c r="X50" s="803"/>
      <c r="Y50" s="803"/>
      <c r="Z50" s="803"/>
      <c r="AA50" s="803"/>
      <c r="AB50" s="803"/>
      <c r="AC50" s="803"/>
      <c r="AD50" s="803"/>
      <c r="AE50" s="803"/>
      <c r="AF50" s="803"/>
      <c r="AG50" s="803"/>
      <c r="AH50" s="803"/>
      <c r="AI50" s="803"/>
      <c r="AJ50" s="803"/>
    </row>
    <row r="51" spans="1:36" s="826" customFormat="1" ht="22.8" hidden="1" customHeight="1">
      <c r="A51" s="1066"/>
      <c r="B51" s="823" t="s">
        <v>744</v>
      </c>
      <c r="C51" s="1041" t="s">
        <v>701</v>
      </c>
      <c r="D51" s="1166" t="s">
        <v>663</v>
      </c>
      <c r="E51" s="1075">
        <v>2027</v>
      </c>
      <c r="F51" s="843"/>
      <c r="G51" s="842"/>
      <c r="H51" s="842"/>
      <c r="I51" s="842"/>
      <c r="J51" s="842"/>
      <c r="K51" s="842"/>
      <c r="L51" s="843"/>
      <c r="M51" s="842"/>
      <c r="N51" s="842"/>
      <c r="O51" s="843"/>
      <c r="P51" s="842"/>
      <c r="Q51" s="844"/>
      <c r="R51" s="1076">
        <f t="shared" si="5"/>
        <v>0</v>
      </c>
      <c r="S51" s="825"/>
      <c r="T51" s="1062">
        <f t="shared" si="3"/>
        <v>0</v>
      </c>
      <c r="U51" s="960"/>
      <c r="V51" s="824"/>
      <c r="W51" s="803"/>
      <c r="X51" s="803"/>
      <c r="Y51" s="803"/>
      <c r="Z51" s="803"/>
      <c r="AA51" s="803"/>
      <c r="AB51" s="803"/>
      <c r="AC51" s="803"/>
      <c r="AD51" s="803"/>
      <c r="AE51" s="803"/>
      <c r="AF51" s="803"/>
      <c r="AG51" s="803"/>
      <c r="AH51" s="803"/>
      <c r="AI51" s="803"/>
      <c r="AJ51" s="803"/>
    </row>
    <row r="52" spans="1:36" s="826" customFormat="1" ht="22.8" hidden="1" customHeight="1">
      <c r="A52" s="836"/>
      <c r="B52" s="823" t="s">
        <v>745</v>
      </c>
      <c r="C52" s="1038" t="s">
        <v>615</v>
      </c>
      <c r="D52" s="1166"/>
      <c r="E52" s="1179"/>
      <c r="F52" s="843"/>
      <c r="G52" s="842"/>
      <c r="H52" s="841"/>
      <c r="I52" s="825"/>
      <c r="J52" s="844"/>
      <c r="K52" s="842"/>
      <c r="L52" s="843"/>
      <c r="M52" s="842"/>
      <c r="N52" s="842"/>
      <c r="O52" s="843"/>
      <c r="P52" s="842"/>
      <c r="Q52" s="842"/>
      <c r="R52" s="1076">
        <f t="shared" si="5"/>
        <v>0</v>
      </c>
      <c r="S52" s="825"/>
      <c r="T52" s="1062">
        <f t="shared" si="3"/>
        <v>0</v>
      </c>
      <c r="U52" s="842">
        <v>1.5</v>
      </c>
      <c r="V52" s="824"/>
      <c r="W52" s="803"/>
      <c r="X52" s="803"/>
      <c r="Y52" s="803"/>
      <c r="Z52" s="803"/>
      <c r="AA52" s="803"/>
      <c r="AB52" s="803"/>
      <c r="AC52" s="803"/>
      <c r="AD52" s="803"/>
      <c r="AE52" s="803"/>
      <c r="AF52" s="803"/>
      <c r="AG52" s="803"/>
      <c r="AH52" s="803"/>
      <c r="AI52" s="803"/>
      <c r="AJ52" s="803"/>
    </row>
    <row r="53" spans="1:36" s="826" customFormat="1" ht="22.8" hidden="1" customHeight="1">
      <c r="A53" s="836"/>
      <c r="B53" s="823" t="s">
        <v>787</v>
      </c>
      <c r="C53" s="1038"/>
      <c r="D53" s="1166"/>
      <c r="E53" s="1179"/>
      <c r="F53" s="843"/>
      <c r="G53" s="842"/>
      <c r="H53" s="841"/>
      <c r="I53" s="825"/>
      <c r="J53" s="844"/>
      <c r="K53" s="842"/>
      <c r="L53" s="843"/>
      <c r="M53" s="842"/>
      <c r="N53" s="842"/>
      <c r="O53" s="843"/>
      <c r="P53" s="842"/>
      <c r="Q53" s="844"/>
      <c r="R53" s="1076">
        <f t="shared" si="5"/>
        <v>0</v>
      </c>
      <c r="S53" s="825"/>
      <c r="T53" s="1062">
        <f t="shared" si="3"/>
        <v>0</v>
      </c>
      <c r="U53" s="842"/>
      <c r="V53" s="824"/>
      <c r="W53" s="803"/>
      <c r="X53" s="803"/>
      <c r="Y53" s="803"/>
      <c r="Z53" s="803"/>
      <c r="AA53" s="803"/>
      <c r="AB53" s="803"/>
      <c r="AC53" s="803"/>
      <c r="AD53" s="803"/>
      <c r="AE53" s="803"/>
      <c r="AF53" s="803"/>
      <c r="AG53" s="803"/>
      <c r="AH53" s="803"/>
      <c r="AI53" s="803"/>
      <c r="AJ53" s="803"/>
    </row>
    <row r="54" spans="1:36" s="826" customFormat="1" ht="84" hidden="1" customHeight="1">
      <c r="A54" s="836"/>
      <c r="B54" s="1082" t="s">
        <v>713</v>
      </c>
      <c r="C54" s="1083"/>
      <c r="D54" s="1166"/>
      <c r="E54" s="1179"/>
      <c r="F54" s="843"/>
      <c r="G54" s="842"/>
      <c r="H54" s="842"/>
      <c r="I54" s="842"/>
      <c r="J54" s="842"/>
      <c r="K54" s="842"/>
      <c r="L54" s="843"/>
      <c r="M54" s="842"/>
      <c r="N54" s="842"/>
      <c r="O54" s="843"/>
      <c r="P54" s="842"/>
      <c r="Q54" s="844"/>
      <c r="R54" s="1076">
        <f t="shared" si="5"/>
        <v>0</v>
      </c>
      <c r="S54" s="825"/>
      <c r="T54" s="1062">
        <f t="shared" si="3"/>
        <v>0</v>
      </c>
      <c r="U54" s="842"/>
      <c r="V54" s="824"/>
      <c r="W54" s="803"/>
      <c r="X54" s="803"/>
      <c r="Y54" s="803"/>
      <c r="Z54" s="803"/>
      <c r="AA54" s="803"/>
      <c r="AB54" s="803"/>
      <c r="AC54" s="803"/>
      <c r="AD54" s="803"/>
      <c r="AE54" s="803"/>
      <c r="AF54" s="803"/>
      <c r="AG54" s="803"/>
      <c r="AH54" s="803"/>
      <c r="AI54" s="803"/>
      <c r="AJ54" s="803"/>
    </row>
    <row r="55" spans="1:36" s="826" customFormat="1" ht="22.8" hidden="1" customHeight="1">
      <c r="A55" s="836"/>
      <c r="B55" s="1040" t="s">
        <v>746</v>
      </c>
      <c r="C55" s="1038"/>
      <c r="D55" s="1166"/>
      <c r="E55" s="1179"/>
      <c r="F55" s="843"/>
      <c r="G55" s="842"/>
      <c r="H55" s="842"/>
      <c r="I55" s="842"/>
      <c r="J55" s="842"/>
      <c r="K55" s="842"/>
      <c r="L55" s="843"/>
      <c r="M55" s="842"/>
      <c r="N55" s="842"/>
      <c r="O55" s="843"/>
      <c r="P55" s="842"/>
      <c r="Q55" s="844"/>
      <c r="R55" s="1076">
        <f t="shared" si="5"/>
        <v>0</v>
      </c>
      <c r="S55" s="825"/>
      <c r="T55" s="1062">
        <f t="shared" si="3"/>
        <v>0</v>
      </c>
      <c r="U55" s="842"/>
      <c r="V55" s="824"/>
      <c r="W55" s="803"/>
      <c r="X55" s="803"/>
      <c r="Y55" s="803"/>
      <c r="Z55" s="803"/>
      <c r="AA55" s="803"/>
      <c r="AB55" s="803"/>
      <c r="AC55" s="803"/>
      <c r="AD55" s="803"/>
      <c r="AE55" s="803"/>
      <c r="AF55" s="803"/>
      <c r="AG55" s="803"/>
      <c r="AH55" s="803"/>
      <c r="AI55" s="803"/>
      <c r="AJ55" s="803"/>
    </row>
    <row r="56" spans="1:36" s="826" customFormat="1" ht="22.8" hidden="1" customHeight="1">
      <c r="A56" s="1066"/>
      <c r="B56" s="823" t="s">
        <v>722</v>
      </c>
      <c r="C56" s="1041" t="s">
        <v>726</v>
      </c>
      <c r="D56" s="1168" t="s">
        <v>663</v>
      </c>
      <c r="E56" s="1075">
        <v>2026</v>
      </c>
      <c r="F56" s="1069"/>
      <c r="G56" s="1060"/>
      <c r="H56" s="1060"/>
      <c r="I56" s="1060"/>
      <c r="J56" s="1060"/>
      <c r="K56" s="1060"/>
      <c r="L56" s="843"/>
      <c r="M56" s="842"/>
      <c r="N56" s="842"/>
      <c r="O56" s="843"/>
      <c r="P56" s="842"/>
      <c r="Q56" s="844"/>
      <c r="R56" s="1076">
        <f t="shared" si="5"/>
        <v>0</v>
      </c>
      <c r="S56" s="825"/>
      <c r="T56" s="1062">
        <f t="shared" si="3"/>
        <v>0</v>
      </c>
      <c r="U56" s="842"/>
      <c r="V56" s="824"/>
      <c r="W56" s="803"/>
      <c r="X56" s="803"/>
      <c r="Y56" s="803"/>
      <c r="Z56" s="803"/>
      <c r="AA56" s="803"/>
      <c r="AB56" s="803"/>
      <c r="AC56" s="803"/>
      <c r="AD56" s="803"/>
      <c r="AE56" s="803"/>
      <c r="AF56" s="803"/>
      <c r="AG56" s="803"/>
      <c r="AH56" s="803"/>
      <c r="AI56" s="803"/>
      <c r="AJ56" s="803"/>
    </row>
    <row r="57" spans="1:36" s="826" customFormat="1" ht="22.8" hidden="1" customHeight="1">
      <c r="A57" s="836"/>
      <c r="B57" s="823" t="s">
        <v>721</v>
      </c>
      <c r="C57" s="1038" t="s">
        <v>615</v>
      </c>
      <c r="D57" s="1166"/>
      <c r="E57" s="1176"/>
      <c r="F57" s="1069"/>
      <c r="G57" s="1060"/>
      <c r="H57" s="1060"/>
      <c r="I57" s="1060"/>
      <c r="J57" s="1060"/>
      <c r="K57" s="1060"/>
      <c r="L57" s="843"/>
      <c r="M57" s="842"/>
      <c r="N57" s="842"/>
      <c r="O57" s="843"/>
      <c r="P57" s="842"/>
      <c r="Q57" s="844"/>
      <c r="R57" s="1076">
        <f t="shared" si="5"/>
        <v>0</v>
      </c>
      <c r="S57" s="825"/>
      <c r="T57" s="1062">
        <f t="shared" si="3"/>
        <v>0</v>
      </c>
      <c r="U57" s="842"/>
      <c r="V57" s="824"/>
      <c r="W57" s="803"/>
      <c r="X57" s="803"/>
      <c r="Y57" s="803"/>
      <c r="Z57" s="803"/>
      <c r="AA57" s="803"/>
      <c r="AB57" s="803"/>
      <c r="AC57" s="803"/>
      <c r="AD57" s="803"/>
      <c r="AE57" s="803"/>
      <c r="AF57" s="803"/>
      <c r="AG57" s="803"/>
      <c r="AH57" s="803"/>
      <c r="AI57" s="803"/>
      <c r="AJ57" s="803"/>
    </row>
    <row r="58" spans="1:36" s="826" customFormat="1" ht="22.8" hidden="1" customHeight="1">
      <c r="A58" s="836"/>
      <c r="B58" s="823" t="s">
        <v>725</v>
      </c>
      <c r="C58" s="1038"/>
      <c r="D58" s="1166"/>
      <c r="E58" s="1176"/>
      <c r="F58" s="1069"/>
      <c r="G58" s="1060"/>
      <c r="H58" s="1060"/>
      <c r="I58" s="1060"/>
      <c r="J58" s="1060"/>
      <c r="K58" s="1060"/>
      <c r="L58" s="843"/>
      <c r="M58" s="842"/>
      <c r="N58" s="842"/>
      <c r="O58" s="843"/>
      <c r="P58" s="842"/>
      <c r="Q58" s="844"/>
      <c r="R58" s="1076">
        <f t="shared" si="5"/>
        <v>0</v>
      </c>
      <c r="S58" s="825"/>
      <c r="T58" s="1062">
        <f t="shared" si="3"/>
        <v>0</v>
      </c>
      <c r="U58" s="842"/>
      <c r="V58" s="824"/>
      <c r="W58" s="803"/>
      <c r="X58" s="803"/>
      <c r="Y58" s="803"/>
      <c r="Z58" s="803"/>
      <c r="AA58" s="803"/>
      <c r="AB58" s="803"/>
      <c r="AC58" s="803"/>
      <c r="AD58" s="803"/>
      <c r="AE58" s="803"/>
      <c r="AF58" s="803"/>
      <c r="AG58" s="803"/>
      <c r="AH58" s="803"/>
      <c r="AI58" s="803"/>
      <c r="AJ58" s="803"/>
    </row>
    <row r="59" spans="1:36" s="826" customFormat="1" ht="22.8" hidden="1" customHeight="1">
      <c r="A59" s="836"/>
      <c r="B59" s="823" t="s">
        <v>724</v>
      </c>
      <c r="C59" s="1038"/>
      <c r="D59" s="1166"/>
      <c r="E59" s="1176"/>
      <c r="F59" s="1069"/>
      <c r="G59" s="1060"/>
      <c r="H59" s="1060"/>
      <c r="I59" s="1060"/>
      <c r="J59" s="1060"/>
      <c r="K59" s="1060"/>
      <c r="L59" s="843"/>
      <c r="M59" s="842"/>
      <c r="N59" s="842"/>
      <c r="O59" s="843"/>
      <c r="P59" s="842"/>
      <c r="Q59" s="844"/>
      <c r="R59" s="1076">
        <f t="shared" si="5"/>
        <v>0</v>
      </c>
      <c r="S59" s="825"/>
      <c r="T59" s="1062">
        <f t="shared" si="3"/>
        <v>0</v>
      </c>
      <c r="U59" s="842"/>
      <c r="V59" s="824"/>
      <c r="W59" s="803"/>
      <c r="X59" s="803"/>
      <c r="Y59" s="803"/>
      <c r="Z59" s="803"/>
      <c r="AA59" s="803"/>
      <c r="AB59" s="803"/>
      <c r="AC59" s="803"/>
      <c r="AD59" s="803"/>
      <c r="AE59" s="803"/>
      <c r="AF59" s="803"/>
      <c r="AG59" s="803"/>
      <c r="AH59" s="803"/>
      <c r="AI59" s="803"/>
      <c r="AJ59" s="803"/>
    </row>
    <row r="60" spans="1:36" s="826" customFormat="1" ht="22.8" hidden="1" customHeight="1">
      <c r="A60" s="836"/>
      <c r="B60" s="823" t="s">
        <v>723</v>
      </c>
      <c r="C60" s="1038"/>
      <c r="D60" s="1166"/>
      <c r="E60" s="1176"/>
      <c r="F60" s="1069"/>
      <c r="G60" s="1060"/>
      <c r="H60" s="1060"/>
      <c r="I60" s="1060"/>
      <c r="J60" s="1060"/>
      <c r="K60" s="1060"/>
      <c r="L60" s="843"/>
      <c r="M60" s="842"/>
      <c r="N60" s="842"/>
      <c r="O60" s="843"/>
      <c r="P60" s="842"/>
      <c r="Q60" s="844"/>
      <c r="R60" s="1076">
        <f t="shared" si="5"/>
        <v>0</v>
      </c>
      <c r="S60" s="825"/>
      <c r="T60" s="1062">
        <f t="shared" si="3"/>
        <v>0</v>
      </c>
      <c r="U60" s="842"/>
      <c r="V60" s="824"/>
      <c r="W60" s="803"/>
      <c r="X60" s="803"/>
      <c r="Y60" s="803"/>
      <c r="Z60" s="803"/>
      <c r="AA60" s="803"/>
      <c r="AB60" s="803"/>
      <c r="AC60" s="803"/>
      <c r="AD60" s="803"/>
      <c r="AE60" s="803"/>
      <c r="AF60" s="803"/>
      <c r="AG60" s="803"/>
      <c r="AH60" s="803"/>
      <c r="AI60" s="803"/>
      <c r="AJ60" s="803"/>
    </row>
    <row r="61" spans="1:36" s="826" customFormat="1" ht="22.8" hidden="1" customHeight="1">
      <c r="A61" s="836"/>
      <c r="B61" s="1040" t="s">
        <v>737</v>
      </c>
      <c r="C61" s="1038"/>
      <c r="D61" s="1166"/>
      <c r="E61" s="1176"/>
      <c r="F61" s="1069"/>
      <c r="G61" s="1060"/>
      <c r="H61" s="1060"/>
      <c r="I61" s="1060"/>
      <c r="J61" s="1060"/>
      <c r="K61" s="1060"/>
      <c r="L61" s="843"/>
      <c r="M61" s="842"/>
      <c r="N61" s="842"/>
      <c r="O61" s="843"/>
      <c r="P61" s="842"/>
      <c r="Q61" s="844"/>
      <c r="R61" s="1076">
        <f t="shared" si="5"/>
        <v>0</v>
      </c>
      <c r="S61" s="825"/>
      <c r="T61" s="1062">
        <f t="shared" si="3"/>
        <v>0</v>
      </c>
      <c r="U61" s="842"/>
      <c r="V61" s="824"/>
      <c r="W61" s="803"/>
      <c r="X61" s="803"/>
      <c r="Y61" s="803"/>
      <c r="Z61" s="803"/>
      <c r="AA61" s="803"/>
      <c r="AB61" s="803"/>
      <c r="AC61" s="803"/>
      <c r="AD61" s="803"/>
      <c r="AE61" s="803"/>
      <c r="AF61" s="803"/>
      <c r="AG61" s="803"/>
      <c r="AH61" s="803"/>
      <c r="AI61" s="803"/>
      <c r="AJ61" s="803"/>
    </row>
    <row r="62" spans="1:36" s="826" customFormat="1" ht="22.8" hidden="1" customHeight="1">
      <c r="A62" s="1066"/>
      <c r="B62" s="823" t="s">
        <v>747</v>
      </c>
      <c r="C62" s="1041" t="s">
        <v>729</v>
      </c>
      <c r="D62" s="1168" t="s">
        <v>663</v>
      </c>
      <c r="E62" s="1075">
        <v>2026</v>
      </c>
      <c r="F62" s="1069"/>
      <c r="G62" s="1060"/>
      <c r="H62" s="1060"/>
      <c r="I62" s="1060"/>
      <c r="J62" s="1060"/>
      <c r="K62" s="1060"/>
      <c r="L62" s="843"/>
      <c r="M62" s="842"/>
      <c r="N62" s="842"/>
      <c r="O62" s="843"/>
      <c r="P62" s="842"/>
      <c r="Q62" s="844"/>
      <c r="R62" s="1076">
        <f t="shared" si="5"/>
        <v>0</v>
      </c>
      <c r="S62" s="825"/>
      <c r="T62" s="1062">
        <f t="shared" si="3"/>
        <v>0</v>
      </c>
      <c r="U62" s="842"/>
      <c r="V62" s="824"/>
      <c r="W62" s="803"/>
      <c r="X62" s="803"/>
      <c r="Y62" s="803"/>
      <c r="Z62" s="803"/>
      <c r="AA62" s="803"/>
      <c r="AB62" s="803"/>
      <c r="AC62" s="803"/>
      <c r="AD62" s="803"/>
      <c r="AE62" s="803"/>
      <c r="AF62" s="803"/>
      <c r="AG62" s="803"/>
      <c r="AH62" s="803"/>
      <c r="AI62" s="803"/>
      <c r="AJ62" s="803"/>
    </row>
    <row r="63" spans="1:36" s="826" customFormat="1" ht="22.8" hidden="1" customHeight="1">
      <c r="A63" s="836"/>
      <c r="B63" s="823" t="s">
        <v>730</v>
      </c>
      <c r="C63" s="1038" t="s">
        <v>615</v>
      </c>
      <c r="D63" s="1166"/>
      <c r="E63" s="1176"/>
      <c r="F63" s="1069"/>
      <c r="G63" s="1060"/>
      <c r="H63" s="1060"/>
      <c r="I63" s="1060"/>
      <c r="J63" s="1060"/>
      <c r="K63" s="1060"/>
      <c r="L63" s="843"/>
      <c r="M63" s="842"/>
      <c r="N63" s="842"/>
      <c r="O63" s="843"/>
      <c r="P63" s="842"/>
      <c r="Q63" s="844"/>
      <c r="R63" s="1076">
        <f t="shared" si="5"/>
        <v>0</v>
      </c>
      <c r="S63" s="825"/>
      <c r="T63" s="1062">
        <f t="shared" si="3"/>
        <v>0</v>
      </c>
      <c r="U63" s="842"/>
      <c r="V63" s="824"/>
      <c r="W63" s="803"/>
      <c r="X63" s="803"/>
      <c r="Y63" s="803"/>
      <c r="Z63" s="803"/>
      <c r="AA63" s="803"/>
      <c r="AB63" s="803"/>
      <c r="AC63" s="803"/>
      <c r="AD63" s="803"/>
      <c r="AE63" s="803"/>
      <c r="AF63" s="803"/>
      <c r="AG63" s="803"/>
      <c r="AH63" s="803"/>
      <c r="AI63" s="803"/>
      <c r="AJ63" s="803"/>
    </row>
    <row r="64" spans="1:36" s="826" customFormat="1" ht="22.8" hidden="1" customHeight="1">
      <c r="A64" s="836"/>
      <c r="B64" s="823" t="s">
        <v>731</v>
      </c>
      <c r="C64" s="1038" t="s">
        <v>688</v>
      </c>
      <c r="D64" s="1166"/>
      <c r="E64" s="1176"/>
      <c r="F64" s="1069"/>
      <c r="G64" s="1060"/>
      <c r="H64" s="1060"/>
      <c r="I64" s="1060"/>
      <c r="J64" s="1060"/>
      <c r="K64" s="1060"/>
      <c r="L64" s="843"/>
      <c r="M64" s="842"/>
      <c r="N64" s="842"/>
      <c r="O64" s="843"/>
      <c r="P64" s="842"/>
      <c r="Q64" s="844"/>
      <c r="R64" s="1076">
        <f t="shared" si="5"/>
        <v>0</v>
      </c>
      <c r="S64" s="825"/>
      <c r="T64" s="1062">
        <f t="shared" si="3"/>
        <v>0</v>
      </c>
      <c r="U64" s="842"/>
      <c r="V64" s="824"/>
      <c r="W64" s="803"/>
      <c r="X64" s="803"/>
      <c r="Y64" s="803"/>
      <c r="Z64" s="803"/>
      <c r="AA64" s="803"/>
      <c r="AB64" s="803"/>
      <c r="AC64" s="803"/>
      <c r="AD64" s="803"/>
      <c r="AE64" s="803"/>
      <c r="AF64" s="803"/>
      <c r="AG64" s="803"/>
      <c r="AH64" s="803"/>
      <c r="AI64" s="803"/>
      <c r="AJ64" s="803"/>
    </row>
    <row r="65" spans="1:36" s="826" customFormat="1" ht="22.8" hidden="1" customHeight="1">
      <c r="A65" s="836"/>
      <c r="B65" s="1040" t="s">
        <v>759</v>
      </c>
      <c r="C65" s="1038"/>
      <c r="D65" s="1166"/>
      <c r="E65" s="1176"/>
      <c r="F65" s="1069"/>
      <c r="G65" s="1060"/>
      <c r="H65" s="1060"/>
      <c r="I65" s="1060"/>
      <c r="J65" s="1060"/>
      <c r="K65" s="1060"/>
      <c r="L65" s="843"/>
      <c r="M65" s="842"/>
      <c r="N65" s="842"/>
      <c r="O65" s="843"/>
      <c r="P65" s="842"/>
      <c r="Q65" s="844"/>
      <c r="R65" s="1076">
        <f t="shared" si="5"/>
        <v>0</v>
      </c>
      <c r="S65" s="825"/>
      <c r="T65" s="1062">
        <f t="shared" si="3"/>
        <v>0</v>
      </c>
      <c r="U65" s="842"/>
      <c r="V65" s="824"/>
      <c r="W65" s="803"/>
      <c r="X65" s="803"/>
      <c r="Y65" s="803"/>
      <c r="Z65" s="803"/>
      <c r="AA65" s="803"/>
      <c r="AB65" s="803"/>
      <c r="AC65" s="803"/>
      <c r="AD65" s="803"/>
      <c r="AE65" s="803"/>
      <c r="AF65" s="803"/>
      <c r="AG65" s="803"/>
      <c r="AH65" s="803"/>
      <c r="AI65" s="803"/>
      <c r="AJ65" s="803"/>
    </row>
    <row r="66" spans="1:36" s="826" customFormat="1" ht="22.8" hidden="1" customHeight="1">
      <c r="A66" s="836"/>
      <c r="B66" s="1040" t="s">
        <v>732</v>
      </c>
      <c r="C66" s="1038"/>
      <c r="D66" s="1166"/>
      <c r="E66" s="1176"/>
      <c r="F66" s="1069"/>
      <c r="G66" s="1060"/>
      <c r="H66" s="1060"/>
      <c r="I66" s="1060"/>
      <c r="J66" s="1060"/>
      <c r="K66" s="1060"/>
      <c r="L66" s="843"/>
      <c r="M66" s="842"/>
      <c r="N66" s="842"/>
      <c r="O66" s="843"/>
      <c r="P66" s="842"/>
      <c r="Q66" s="844"/>
      <c r="R66" s="1076">
        <f t="shared" si="5"/>
        <v>0</v>
      </c>
      <c r="S66" s="825"/>
      <c r="T66" s="1062">
        <f t="shared" si="3"/>
        <v>0</v>
      </c>
      <c r="U66" s="842"/>
      <c r="V66" s="824"/>
      <c r="W66" s="803"/>
      <c r="X66" s="803"/>
      <c r="Y66" s="803"/>
      <c r="Z66" s="803"/>
      <c r="AA66" s="803"/>
      <c r="AB66" s="803"/>
      <c r="AC66" s="803"/>
      <c r="AD66" s="803"/>
      <c r="AE66" s="803"/>
      <c r="AF66" s="803"/>
      <c r="AG66" s="803"/>
      <c r="AH66" s="803"/>
      <c r="AI66" s="803"/>
      <c r="AJ66" s="803"/>
    </row>
    <row r="67" spans="1:36" s="826" customFormat="1" ht="22.8" hidden="1">
      <c r="A67" s="836">
        <v>8</v>
      </c>
      <c r="B67" s="823" t="s">
        <v>727</v>
      </c>
      <c r="C67" s="1041" t="s">
        <v>755</v>
      </c>
      <c r="D67" s="1168" t="s">
        <v>663</v>
      </c>
      <c r="E67" s="1075">
        <v>2027</v>
      </c>
      <c r="F67" s="1069"/>
      <c r="G67" s="1060"/>
      <c r="H67" s="1060"/>
      <c r="I67" s="1060"/>
      <c r="J67" s="1060"/>
      <c r="K67" s="1060"/>
      <c r="L67" s="843"/>
      <c r="M67" s="842"/>
      <c r="N67" s="842"/>
      <c r="O67" s="843"/>
      <c r="P67" s="842"/>
      <c r="Q67" s="844"/>
      <c r="R67" s="1076">
        <f t="shared" si="5"/>
        <v>0</v>
      </c>
      <c r="S67" s="825"/>
      <c r="T67" s="1062">
        <f t="shared" si="3"/>
        <v>0</v>
      </c>
      <c r="U67" s="842"/>
      <c r="V67" s="824"/>
      <c r="W67" s="803"/>
      <c r="X67" s="803"/>
      <c r="Y67" s="803"/>
      <c r="Z67" s="803"/>
      <c r="AA67" s="803"/>
      <c r="AB67" s="803"/>
      <c r="AC67" s="803"/>
      <c r="AD67" s="803"/>
      <c r="AE67" s="803"/>
      <c r="AF67" s="803"/>
      <c r="AG67" s="803"/>
      <c r="AH67" s="803"/>
      <c r="AI67" s="803"/>
      <c r="AJ67" s="803"/>
    </row>
    <row r="68" spans="1:36" s="826" customFormat="1" ht="22.8" hidden="1">
      <c r="A68" s="836"/>
      <c r="B68" s="1080" t="s">
        <v>756</v>
      </c>
      <c r="C68" s="1038" t="s">
        <v>761</v>
      </c>
      <c r="D68" s="1166"/>
      <c r="E68" s="1176"/>
      <c r="F68" s="1069"/>
      <c r="G68" s="1060"/>
      <c r="H68" s="1060"/>
      <c r="I68" s="1060"/>
      <c r="J68" s="1060"/>
      <c r="K68" s="1060"/>
      <c r="L68" s="1060"/>
      <c r="M68" s="1060"/>
      <c r="N68" s="1060"/>
      <c r="O68" s="1060"/>
      <c r="P68" s="1060"/>
      <c r="Q68" s="1060"/>
      <c r="R68" s="1076">
        <f t="shared" si="5"/>
        <v>0</v>
      </c>
      <c r="S68" s="825"/>
      <c r="T68" s="1062">
        <f t="shared" ref="T68:T158" si="6">R68*S68</f>
        <v>0</v>
      </c>
      <c r="U68" s="842">
        <v>2.7</v>
      </c>
      <c r="V68" s="824" t="s">
        <v>921</v>
      </c>
      <c r="W68" s="803"/>
      <c r="X68" s="803"/>
      <c r="Y68" s="803"/>
      <c r="Z68" s="803"/>
      <c r="AA68" s="803"/>
      <c r="AB68" s="803"/>
      <c r="AC68" s="803"/>
      <c r="AD68" s="803"/>
      <c r="AE68" s="803"/>
      <c r="AF68" s="803"/>
      <c r="AG68" s="803"/>
      <c r="AH68" s="803"/>
      <c r="AI68" s="803"/>
      <c r="AJ68" s="803"/>
    </row>
    <row r="69" spans="1:36" s="826" customFormat="1" ht="22.8" hidden="1">
      <c r="A69" s="836"/>
      <c r="B69" s="1034" t="s">
        <v>1018</v>
      </c>
      <c r="C69" s="1038" t="s">
        <v>762</v>
      </c>
      <c r="D69" s="1166"/>
      <c r="E69" s="1176"/>
      <c r="F69" s="1069"/>
      <c r="G69" s="1060"/>
      <c r="H69" s="1060"/>
      <c r="I69" s="1060"/>
      <c r="J69" s="1060"/>
      <c r="K69" s="1060"/>
      <c r="L69" s="1060"/>
      <c r="M69" s="1060"/>
      <c r="N69" s="1060"/>
      <c r="O69" s="1060"/>
      <c r="P69" s="1060"/>
      <c r="Q69" s="1060"/>
      <c r="R69" s="1076">
        <f t="shared" si="5"/>
        <v>0</v>
      </c>
      <c r="S69" s="825"/>
      <c r="T69" s="1062">
        <f t="shared" si="6"/>
        <v>0</v>
      </c>
      <c r="U69" s="842">
        <v>2.5299999999999998</v>
      </c>
      <c r="V69" s="824" t="s">
        <v>957</v>
      </c>
      <c r="W69" s="803"/>
      <c r="X69" s="803"/>
      <c r="Y69" s="803"/>
      <c r="Z69" s="803"/>
      <c r="AA69" s="803"/>
      <c r="AB69" s="803"/>
      <c r="AC69" s="803"/>
      <c r="AD69" s="803"/>
      <c r="AE69" s="803"/>
      <c r="AF69" s="803"/>
      <c r="AG69" s="803"/>
      <c r="AH69" s="803"/>
      <c r="AI69" s="803"/>
      <c r="AJ69" s="803"/>
    </row>
    <row r="70" spans="1:36" s="826" customFormat="1" ht="22.8" hidden="1">
      <c r="A70" s="836"/>
      <c r="B70" s="1080" t="s">
        <v>890</v>
      </c>
      <c r="C70" s="1038" t="s">
        <v>687</v>
      </c>
      <c r="D70" s="1166"/>
      <c r="E70" s="1176"/>
      <c r="F70" s="1069"/>
      <c r="G70" s="1060"/>
      <c r="H70" s="1060"/>
      <c r="I70" s="1060"/>
      <c r="J70" s="1060"/>
      <c r="K70" s="1060"/>
      <c r="L70" s="1060"/>
      <c r="M70" s="1060"/>
      <c r="N70" s="1060"/>
      <c r="O70" s="1060"/>
      <c r="P70" s="1060"/>
      <c r="Q70" s="1060"/>
      <c r="R70" s="1076">
        <f t="shared" si="5"/>
        <v>0</v>
      </c>
      <c r="S70" s="825"/>
      <c r="T70" s="1062">
        <f t="shared" si="6"/>
        <v>0</v>
      </c>
      <c r="U70" s="842">
        <v>2.0299999999999998</v>
      </c>
      <c r="V70" s="824" t="s">
        <v>958</v>
      </c>
      <c r="W70" s="803"/>
      <c r="X70" s="803"/>
      <c r="Y70" s="803"/>
      <c r="Z70" s="803"/>
      <c r="AA70" s="803"/>
      <c r="AB70" s="803"/>
      <c r="AC70" s="803"/>
      <c r="AD70" s="803"/>
      <c r="AE70" s="803"/>
      <c r="AF70" s="803"/>
      <c r="AG70" s="803"/>
      <c r="AH70" s="803"/>
      <c r="AI70" s="803"/>
      <c r="AJ70" s="803"/>
    </row>
    <row r="71" spans="1:36" s="826" customFormat="1" ht="22.8" hidden="1">
      <c r="A71" s="836"/>
      <c r="B71" s="1080" t="s">
        <v>891</v>
      </c>
      <c r="C71" s="1038"/>
      <c r="D71" s="1166"/>
      <c r="E71" s="1176"/>
      <c r="F71" s="1069"/>
      <c r="G71" s="1060"/>
      <c r="H71" s="1060"/>
      <c r="I71" s="1060"/>
      <c r="J71" s="1060"/>
      <c r="K71" s="1060"/>
      <c r="L71" s="843"/>
      <c r="M71" s="842"/>
      <c r="N71" s="842"/>
      <c r="O71" s="843"/>
      <c r="P71" s="842"/>
      <c r="Q71" s="844"/>
      <c r="R71" s="1076">
        <f t="shared" si="5"/>
        <v>0</v>
      </c>
      <c r="S71" s="825"/>
      <c r="T71" s="1062">
        <f t="shared" si="6"/>
        <v>0</v>
      </c>
      <c r="U71" s="842"/>
      <c r="V71" s="824"/>
      <c r="W71" s="803"/>
      <c r="X71" s="803"/>
      <c r="Y71" s="803"/>
      <c r="Z71" s="803"/>
      <c r="AA71" s="803"/>
      <c r="AB71" s="803"/>
      <c r="AC71" s="803"/>
      <c r="AD71" s="803"/>
      <c r="AE71" s="803"/>
      <c r="AF71" s="803"/>
      <c r="AG71" s="803"/>
      <c r="AH71" s="803"/>
      <c r="AI71" s="803"/>
      <c r="AJ71" s="803"/>
    </row>
    <row r="72" spans="1:36" s="826" customFormat="1" ht="22.8" hidden="1">
      <c r="A72" s="836">
        <v>9</v>
      </c>
      <c r="B72" s="823" t="s">
        <v>794</v>
      </c>
      <c r="C72" s="1041" t="s">
        <v>788</v>
      </c>
      <c r="D72" s="1166" t="s">
        <v>663</v>
      </c>
      <c r="E72" s="1075" t="s">
        <v>949</v>
      </c>
      <c r="F72" s="1069"/>
      <c r="G72" s="1060"/>
      <c r="H72" s="1060"/>
      <c r="I72" s="1060"/>
      <c r="J72" s="1060"/>
      <c r="K72" s="1060"/>
      <c r="L72" s="843"/>
      <c r="M72" s="842"/>
      <c r="N72" s="842"/>
      <c r="O72" s="843"/>
      <c r="P72" s="842"/>
      <c r="Q72" s="844"/>
      <c r="R72" s="1076">
        <f t="shared" si="5"/>
        <v>0</v>
      </c>
      <c r="S72" s="825"/>
      <c r="T72" s="1062">
        <f t="shared" si="6"/>
        <v>0</v>
      </c>
      <c r="U72" s="842"/>
      <c r="V72" s="824" t="s">
        <v>786</v>
      </c>
      <c r="W72" s="803"/>
      <c r="X72" s="803"/>
      <c r="Y72" s="803"/>
      <c r="Z72" s="803"/>
      <c r="AA72" s="803"/>
      <c r="AB72" s="803"/>
      <c r="AC72" s="803"/>
      <c r="AD72" s="803"/>
      <c r="AE72" s="803"/>
      <c r="AF72" s="803"/>
      <c r="AG72" s="803"/>
      <c r="AH72" s="803"/>
      <c r="AI72" s="803"/>
      <c r="AJ72" s="803"/>
    </row>
    <row r="73" spans="1:36" s="826" customFormat="1" ht="22.8" hidden="1">
      <c r="A73" s="836"/>
      <c r="B73" s="823" t="s">
        <v>791</v>
      </c>
      <c r="C73" s="1038" t="s">
        <v>960</v>
      </c>
      <c r="D73" s="1166"/>
      <c r="E73" s="1176"/>
      <c r="F73" s="1069"/>
      <c r="G73" s="1060"/>
      <c r="H73" s="1060"/>
      <c r="I73" s="1060"/>
      <c r="J73" s="1060"/>
      <c r="K73" s="1060"/>
      <c r="L73" s="843"/>
      <c r="M73" s="842"/>
      <c r="N73" s="842"/>
      <c r="O73" s="843"/>
      <c r="P73" s="842"/>
      <c r="Q73" s="844"/>
      <c r="R73" s="1076">
        <f t="shared" si="5"/>
        <v>0</v>
      </c>
      <c r="S73" s="825"/>
      <c r="T73" s="1062">
        <f t="shared" si="6"/>
        <v>0</v>
      </c>
      <c r="U73" s="842"/>
      <c r="V73" s="824"/>
      <c r="W73" s="803"/>
      <c r="X73" s="803"/>
      <c r="Y73" s="803"/>
      <c r="Z73" s="803"/>
      <c r="AA73" s="803"/>
      <c r="AB73" s="803"/>
      <c r="AC73" s="803"/>
      <c r="AD73" s="803"/>
      <c r="AE73" s="803"/>
      <c r="AF73" s="803"/>
      <c r="AG73" s="803"/>
      <c r="AH73" s="803"/>
      <c r="AI73" s="803"/>
      <c r="AJ73" s="803"/>
    </row>
    <row r="74" spans="1:36" s="826" customFormat="1" ht="22.8" hidden="1">
      <c r="A74" s="836"/>
      <c r="B74" s="823" t="s">
        <v>792</v>
      </c>
      <c r="C74" s="1038" t="s">
        <v>889</v>
      </c>
      <c r="D74" s="1166"/>
      <c r="E74" s="1176"/>
      <c r="F74" s="1069"/>
      <c r="G74" s="1060"/>
      <c r="H74" s="1060"/>
      <c r="I74" s="1060"/>
      <c r="J74" s="1060"/>
      <c r="K74" s="1060"/>
      <c r="L74" s="843"/>
      <c r="M74" s="842"/>
      <c r="N74" s="842"/>
      <c r="O74" s="843"/>
      <c r="P74" s="842"/>
      <c r="Q74" s="844">
        <v>0.43</v>
      </c>
      <c r="R74" s="1076">
        <f t="shared" si="5"/>
        <v>0.43</v>
      </c>
      <c r="S74" s="825">
        <v>0.3</v>
      </c>
      <c r="T74" s="1062">
        <f t="shared" si="6"/>
        <v>0.129</v>
      </c>
      <c r="U74" s="842"/>
      <c r="V74" s="824" t="s">
        <v>1042</v>
      </c>
      <c r="W74" s="803"/>
      <c r="X74" s="803"/>
      <c r="Y74" s="803"/>
      <c r="Z74" s="803"/>
      <c r="AA74" s="803"/>
      <c r="AB74" s="803"/>
      <c r="AC74" s="803"/>
      <c r="AD74" s="803"/>
      <c r="AE74" s="803"/>
      <c r="AF74" s="803"/>
      <c r="AG74" s="803"/>
      <c r="AH74" s="803"/>
      <c r="AI74" s="803"/>
      <c r="AJ74" s="803"/>
    </row>
    <row r="75" spans="1:36" s="826" customFormat="1" ht="22.8" hidden="1">
      <c r="A75" s="836"/>
      <c r="B75" s="823" t="s">
        <v>793</v>
      </c>
      <c r="C75" s="1038"/>
      <c r="D75" s="1166"/>
      <c r="E75" s="1176"/>
      <c r="F75" s="1069"/>
      <c r="G75" s="1060"/>
      <c r="H75" s="1060"/>
      <c r="I75" s="1060"/>
      <c r="J75" s="1060"/>
      <c r="K75" s="1060"/>
      <c r="L75" s="843"/>
      <c r="M75" s="842"/>
      <c r="N75" s="842"/>
      <c r="O75" s="843"/>
      <c r="P75" s="842"/>
      <c r="Q75" s="844"/>
      <c r="R75" s="1076">
        <f t="shared" si="5"/>
        <v>0</v>
      </c>
      <c r="S75" s="825"/>
      <c r="T75" s="1062">
        <f t="shared" si="6"/>
        <v>0</v>
      </c>
      <c r="U75" s="842"/>
      <c r="V75" s="824"/>
      <c r="W75" s="803"/>
      <c r="X75" s="803"/>
      <c r="Y75" s="803"/>
      <c r="Z75" s="803"/>
      <c r="AA75" s="803"/>
      <c r="AB75" s="803"/>
      <c r="AC75" s="803"/>
      <c r="AD75" s="803"/>
      <c r="AE75" s="803"/>
      <c r="AF75" s="803"/>
      <c r="AG75" s="803"/>
      <c r="AH75" s="803"/>
      <c r="AI75" s="803"/>
      <c r="AJ75" s="803"/>
    </row>
    <row r="76" spans="1:36" s="826" customFormat="1" ht="22.8" hidden="1">
      <c r="A76" s="836"/>
      <c r="B76" s="823" t="s">
        <v>885</v>
      </c>
      <c r="C76" s="1038" t="s">
        <v>888</v>
      </c>
      <c r="D76" s="1166"/>
      <c r="E76" s="1176"/>
      <c r="F76" s="1069"/>
      <c r="G76" s="1060"/>
      <c r="H76" s="1060"/>
      <c r="I76" s="1060"/>
      <c r="J76" s="1060"/>
      <c r="K76" s="1060"/>
      <c r="L76" s="843"/>
      <c r="M76" s="842"/>
      <c r="N76" s="842"/>
      <c r="O76" s="843"/>
      <c r="P76" s="842"/>
      <c r="Q76" s="844"/>
      <c r="R76" s="1076">
        <f t="shared" si="5"/>
        <v>0</v>
      </c>
      <c r="S76" s="825"/>
      <c r="T76" s="1062">
        <f t="shared" si="6"/>
        <v>0</v>
      </c>
      <c r="U76" s="842"/>
      <c r="V76" s="824"/>
      <c r="W76" s="803"/>
      <c r="X76" s="803"/>
      <c r="Y76" s="803"/>
      <c r="Z76" s="803"/>
      <c r="AA76" s="803"/>
      <c r="AB76" s="803"/>
      <c r="AC76" s="803"/>
      <c r="AD76" s="803"/>
      <c r="AE76" s="803"/>
      <c r="AF76" s="803"/>
      <c r="AG76" s="803"/>
      <c r="AH76" s="803"/>
      <c r="AI76" s="803"/>
      <c r="AJ76" s="803"/>
    </row>
    <row r="77" spans="1:36" s="826" customFormat="1" ht="22.8" hidden="1">
      <c r="A77" s="836"/>
      <c r="B77" s="823" t="s">
        <v>886</v>
      </c>
      <c r="C77" s="1038"/>
      <c r="D77" s="1166"/>
      <c r="E77" s="1176"/>
      <c r="F77" s="1069"/>
      <c r="G77" s="1060"/>
      <c r="H77" s="1060"/>
      <c r="I77" s="1060"/>
      <c r="J77" s="1060"/>
      <c r="K77" s="1060"/>
      <c r="L77" s="843"/>
      <c r="M77" s="842"/>
      <c r="N77" s="842"/>
      <c r="O77" s="843"/>
      <c r="P77" s="842"/>
      <c r="Q77" s="844"/>
      <c r="R77" s="1076">
        <f t="shared" si="5"/>
        <v>0</v>
      </c>
      <c r="S77" s="825"/>
      <c r="T77" s="1062">
        <f t="shared" si="6"/>
        <v>0</v>
      </c>
      <c r="U77" s="842"/>
      <c r="V77" s="824"/>
      <c r="W77" s="803"/>
      <c r="X77" s="803"/>
      <c r="Y77" s="803"/>
      <c r="Z77" s="803"/>
      <c r="AA77" s="803"/>
      <c r="AB77" s="803"/>
      <c r="AC77" s="803"/>
      <c r="AD77" s="803"/>
      <c r="AE77" s="803"/>
      <c r="AF77" s="803"/>
      <c r="AG77" s="803"/>
      <c r="AH77" s="803"/>
      <c r="AI77" s="803"/>
      <c r="AJ77" s="803"/>
    </row>
    <row r="78" spans="1:36" s="826" customFormat="1" ht="22.8" hidden="1">
      <c r="A78" s="836"/>
      <c r="B78" s="823" t="s">
        <v>887</v>
      </c>
      <c r="C78" s="1038"/>
      <c r="D78" s="1166"/>
      <c r="E78" s="1176"/>
      <c r="F78" s="1069"/>
      <c r="G78" s="1060"/>
      <c r="H78" s="1060"/>
      <c r="I78" s="1060"/>
      <c r="J78" s="1060"/>
      <c r="K78" s="1060"/>
      <c r="L78" s="843"/>
      <c r="M78" s="842"/>
      <c r="N78" s="842"/>
      <c r="O78" s="843"/>
      <c r="P78" s="842"/>
      <c r="Q78" s="844"/>
      <c r="R78" s="1076">
        <f t="shared" si="5"/>
        <v>0</v>
      </c>
      <c r="S78" s="825"/>
      <c r="T78" s="1062">
        <f t="shared" si="6"/>
        <v>0</v>
      </c>
      <c r="U78" s="842"/>
      <c r="V78" s="824"/>
      <c r="W78" s="803"/>
      <c r="X78" s="803"/>
      <c r="Y78" s="803"/>
      <c r="Z78" s="803"/>
      <c r="AA78" s="803"/>
      <c r="AB78" s="803"/>
      <c r="AC78" s="803"/>
      <c r="AD78" s="803"/>
      <c r="AE78" s="803"/>
      <c r="AF78" s="803"/>
      <c r="AG78" s="803"/>
      <c r="AH78" s="803"/>
      <c r="AI78" s="803"/>
      <c r="AJ78" s="803"/>
    </row>
    <row r="79" spans="1:36" s="826" customFormat="1" ht="22.8" hidden="1">
      <c r="A79" s="836"/>
      <c r="B79" s="1040" t="s">
        <v>790</v>
      </c>
      <c r="C79" s="1038"/>
      <c r="D79" s="1166"/>
      <c r="E79" s="1176"/>
      <c r="F79" s="1069"/>
      <c r="G79" s="1060"/>
      <c r="H79" s="1060"/>
      <c r="I79" s="1060"/>
      <c r="J79" s="1060"/>
      <c r="K79" s="1060"/>
      <c r="L79" s="843"/>
      <c r="M79" s="842"/>
      <c r="N79" s="842"/>
      <c r="O79" s="843"/>
      <c r="P79" s="842"/>
      <c r="Q79" s="844"/>
      <c r="R79" s="1076">
        <f t="shared" si="5"/>
        <v>0</v>
      </c>
      <c r="S79" s="825"/>
      <c r="T79" s="1062">
        <f t="shared" si="6"/>
        <v>0</v>
      </c>
      <c r="U79" s="842"/>
      <c r="V79" s="824"/>
      <c r="W79" s="803"/>
      <c r="X79" s="803"/>
      <c r="Y79" s="803"/>
      <c r="Z79" s="803"/>
      <c r="AA79" s="803"/>
      <c r="AB79" s="803"/>
      <c r="AC79" s="803"/>
      <c r="AD79" s="803"/>
      <c r="AE79" s="803"/>
      <c r="AF79" s="803"/>
      <c r="AG79" s="803"/>
      <c r="AH79" s="803"/>
      <c r="AI79" s="803"/>
      <c r="AJ79" s="803"/>
    </row>
    <row r="80" spans="1:36" s="826" customFormat="1" ht="22.8" hidden="1">
      <c r="A80" s="836"/>
      <c r="B80" s="1040" t="s">
        <v>789</v>
      </c>
      <c r="C80" s="1038"/>
      <c r="D80" s="1166"/>
      <c r="E80" s="1176"/>
      <c r="F80" s="1069"/>
      <c r="G80" s="1060"/>
      <c r="H80" s="1060"/>
      <c r="I80" s="1060"/>
      <c r="J80" s="1060"/>
      <c r="K80" s="1060"/>
      <c r="L80" s="843"/>
      <c r="M80" s="842"/>
      <c r="N80" s="842"/>
      <c r="O80" s="843"/>
      <c r="P80" s="842"/>
      <c r="Q80" s="844"/>
      <c r="R80" s="1076">
        <f t="shared" si="5"/>
        <v>0</v>
      </c>
      <c r="S80" s="825"/>
      <c r="T80" s="1062">
        <f t="shared" si="6"/>
        <v>0</v>
      </c>
      <c r="U80" s="842"/>
      <c r="V80" s="824"/>
      <c r="W80" s="803"/>
      <c r="X80" s="803"/>
      <c r="Y80" s="803"/>
      <c r="Z80" s="803"/>
      <c r="AA80" s="803"/>
      <c r="AB80" s="803"/>
      <c r="AC80" s="803"/>
      <c r="AD80" s="803"/>
      <c r="AE80" s="803"/>
      <c r="AF80" s="803"/>
      <c r="AG80" s="803"/>
      <c r="AH80" s="803"/>
      <c r="AI80" s="803"/>
      <c r="AJ80" s="803"/>
    </row>
    <row r="81" spans="1:36" s="826" customFormat="1" ht="22.8">
      <c r="A81" s="836">
        <v>10</v>
      </c>
      <c r="B81" s="1036" t="s">
        <v>982</v>
      </c>
      <c r="C81" s="1041" t="s">
        <v>914</v>
      </c>
      <c r="D81" s="1166" t="s">
        <v>663</v>
      </c>
      <c r="E81" s="1075">
        <v>2027</v>
      </c>
      <c r="F81" s="1069"/>
      <c r="G81" s="1060"/>
      <c r="H81" s="1060"/>
      <c r="I81" s="1060"/>
      <c r="J81" s="1060"/>
      <c r="K81" s="1060"/>
      <c r="L81" s="843"/>
      <c r="M81" s="842"/>
      <c r="N81" s="842"/>
      <c r="O81" s="843"/>
      <c r="P81" s="842"/>
      <c r="Q81" s="844"/>
      <c r="R81" s="1076">
        <f t="shared" si="5"/>
        <v>0</v>
      </c>
      <c r="S81" s="825"/>
      <c r="T81" s="1062">
        <f t="shared" si="6"/>
        <v>0</v>
      </c>
      <c r="U81" s="842"/>
      <c r="V81" s="824"/>
      <c r="W81" s="803"/>
      <c r="X81" s="803"/>
      <c r="Y81" s="803"/>
      <c r="Z81" s="803"/>
      <c r="AA81" s="803"/>
      <c r="AB81" s="803"/>
      <c r="AC81" s="803"/>
      <c r="AD81" s="803"/>
      <c r="AE81" s="803"/>
      <c r="AF81" s="803"/>
      <c r="AG81" s="803"/>
      <c r="AH81" s="803"/>
      <c r="AI81" s="803"/>
      <c r="AJ81" s="803"/>
    </row>
    <row r="82" spans="1:36" s="826" customFormat="1" ht="22.8">
      <c r="A82" s="836"/>
      <c r="B82" s="823" t="s">
        <v>952</v>
      </c>
      <c r="C82" s="1038" t="s">
        <v>615</v>
      </c>
      <c r="D82" s="1166"/>
      <c r="E82" s="1176"/>
      <c r="F82" s="1069"/>
      <c r="G82" s="1060"/>
      <c r="H82" s="1060"/>
      <c r="I82" s="1060"/>
      <c r="J82" s="1060"/>
      <c r="K82" s="1060"/>
      <c r="L82" s="843"/>
      <c r="M82" s="842"/>
      <c r="N82" s="842"/>
      <c r="O82" s="843"/>
      <c r="P82" s="842"/>
      <c r="Q82" s="844"/>
      <c r="R82" s="1076">
        <f t="shared" si="5"/>
        <v>0</v>
      </c>
      <c r="S82" s="825"/>
      <c r="T82" s="1062">
        <f t="shared" si="6"/>
        <v>0</v>
      </c>
      <c r="U82" s="842"/>
      <c r="V82" s="824"/>
      <c r="W82" s="803"/>
      <c r="X82" s="803"/>
      <c r="Y82" s="803"/>
      <c r="Z82" s="803"/>
      <c r="AA82" s="803"/>
      <c r="AB82" s="803"/>
      <c r="AC82" s="803"/>
      <c r="AD82" s="803"/>
      <c r="AE82" s="803"/>
      <c r="AF82" s="803"/>
      <c r="AG82" s="803"/>
      <c r="AH82" s="803"/>
      <c r="AI82" s="803"/>
      <c r="AJ82" s="803"/>
    </row>
    <row r="83" spans="1:36" s="826" customFormat="1" ht="22.8">
      <c r="A83" s="836"/>
      <c r="B83" s="823" t="s">
        <v>953</v>
      </c>
      <c r="C83" s="1038" t="s">
        <v>688</v>
      </c>
      <c r="D83" s="1166"/>
      <c r="E83" s="1176"/>
      <c r="F83" s="1069"/>
      <c r="G83" s="1060"/>
      <c r="H83" s="1060"/>
      <c r="I83" s="1060"/>
      <c r="J83" s="1060"/>
      <c r="K83" s="1060"/>
      <c r="L83" s="843"/>
      <c r="M83" s="842"/>
      <c r="N83" s="842"/>
      <c r="O83" s="843"/>
      <c r="P83" s="842"/>
      <c r="Q83" s="844"/>
      <c r="R83" s="1076">
        <f t="shared" si="5"/>
        <v>0</v>
      </c>
      <c r="S83" s="825"/>
      <c r="T83" s="1062">
        <f t="shared" si="6"/>
        <v>0</v>
      </c>
      <c r="U83" s="842"/>
      <c r="V83" s="824"/>
      <c r="W83" s="803"/>
      <c r="X83" s="803"/>
      <c r="Y83" s="803"/>
      <c r="Z83" s="803"/>
      <c r="AA83" s="803"/>
      <c r="AB83" s="803"/>
      <c r="AC83" s="803"/>
      <c r="AD83" s="803"/>
      <c r="AE83" s="803"/>
      <c r="AF83" s="803"/>
      <c r="AG83" s="803"/>
      <c r="AH83" s="803"/>
      <c r="AI83" s="803"/>
      <c r="AJ83" s="803"/>
    </row>
    <row r="84" spans="1:36" s="826" customFormat="1" ht="22.8">
      <c r="A84" s="836"/>
      <c r="B84" s="1040" t="s">
        <v>983</v>
      </c>
      <c r="C84" s="1038"/>
      <c r="D84" s="1166"/>
      <c r="E84" s="1176"/>
      <c r="F84" s="1069"/>
      <c r="G84" s="1060"/>
      <c r="H84" s="1060"/>
      <c r="I84" s="1060"/>
      <c r="J84" s="1060"/>
      <c r="K84" s="1060"/>
      <c r="L84" s="843"/>
      <c r="M84" s="842"/>
      <c r="N84" s="842"/>
      <c r="O84" s="843"/>
      <c r="P84" s="842"/>
      <c r="Q84" s="844"/>
      <c r="R84" s="1076">
        <f t="shared" si="5"/>
        <v>0</v>
      </c>
      <c r="S84" s="825"/>
      <c r="T84" s="1062">
        <f t="shared" si="6"/>
        <v>0</v>
      </c>
      <c r="U84" s="842"/>
      <c r="V84" s="824"/>
      <c r="W84" s="803"/>
      <c r="X84" s="803"/>
      <c r="Y84" s="803"/>
      <c r="Z84" s="803"/>
      <c r="AA84" s="803"/>
      <c r="AB84" s="803"/>
      <c r="AC84" s="803"/>
      <c r="AD84" s="803"/>
      <c r="AE84" s="803"/>
      <c r="AF84" s="803"/>
      <c r="AG84" s="803"/>
      <c r="AH84" s="803"/>
      <c r="AI84" s="803"/>
      <c r="AJ84" s="803"/>
    </row>
    <row r="85" spans="1:36" s="826" customFormat="1" ht="22.8">
      <c r="A85" s="836"/>
      <c r="B85" s="1040" t="s">
        <v>916</v>
      </c>
      <c r="C85" s="1038"/>
      <c r="D85" s="1166"/>
      <c r="E85" s="1176"/>
      <c r="F85" s="1069"/>
      <c r="G85" s="1060"/>
      <c r="H85" s="1060"/>
      <c r="I85" s="1060"/>
      <c r="J85" s="1060"/>
      <c r="K85" s="1060"/>
      <c r="L85" s="843"/>
      <c r="M85" s="842"/>
      <c r="N85" s="842"/>
      <c r="O85" s="843"/>
      <c r="P85" s="842"/>
      <c r="Q85" s="844"/>
      <c r="R85" s="1076">
        <f t="shared" si="5"/>
        <v>0</v>
      </c>
      <c r="S85" s="825"/>
      <c r="T85" s="1062">
        <f t="shared" si="6"/>
        <v>0</v>
      </c>
      <c r="U85" s="842"/>
      <c r="V85" s="824"/>
      <c r="W85" s="803"/>
      <c r="X85" s="803"/>
      <c r="Y85" s="803"/>
      <c r="Z85" s="803"/>
      <c r="AA85" s="803"/>
      <c r="AB85" s="803"/>
      <c r="AC85" s="803"/>
      <c r="AD85" s="803"/>
      <c r="AE85" s="803"/>
      <c r="AF85" s="803"/>
      <c r="AG85" s="803"/>
      <c r="AH85" s="803"/>
      <c r="AI85" s="803"/>
      <c r="AJ85" s="803"/>
    </row>
    <row r="86" spans="1:36" s="826" customFormat="1" ht="22.8">
      <c r="A86" s="836">
        <v>11</v>
      </c>
      <c r="B86" s="1036" t="s">
        <v>919</v>
      </c>
      <c r="C86" s="1041" t="s">
        <v>917</v>
      </c>
      <c r="D86" s="1166" t="s">
        <v>663</v>
      </c>
      <c r="E86" s="1075">
        <v>2027</v>
      </c>
      <c r="F86" s="1069"/>
      <c r="G86" s="1060"/>
      <c r="H86" s="1060"/>
      <c r="I86" s="1060"/>
      <c r="J86" s="1060"/>
      <c r="K86" s="1060"/>
      <c r="L86" s="843"/>
      <c r="M86" s="842"/>
      <c r="N86" s="842"/>
      <c r="O86" s="843"/>
      <c r="P86" s="842"/>
      <c r="Q86" s="844"/>
      <c r="R86" s="1076">
        <f t="shared" si="5"/>
        <v>0</v>
      </c>
      <c r="S86" s="825"/>
      <c r="T86" s="1062">
        <f t="shared" si="6"/>
        <v>0</v>
      </c>
      <c r="U86" s="842"/>
      <c r="V86" s="824"/>
      <c r="W86" s="803"/>
      <c r="X86" s="803"/>
      <c r="Y86" s="803"/>
      <c r="Z86" s="803"/>
      <c r="AA86" s="803"/>
      <c r="AB86" s="803"/>
      <c r="AC86" s="803"/>
      <c r="AD86" s="803"/>
      <c r="AE86" s="803"/>
      <c r="AF86" s="803"/>
      <c r="AG86" s="803"/>
      <c r="AH86" s="803"/>
      <c r="AI86" s="803"/>
      <c r="AJ86" s="803"/>
    </row>
    <row r="87" spans="1:36" s="826" customFormat="1" ht="22.8">
      <c r="A87" s="836"/>
      <c r="B87" s="1036" t="s">
        <v>918</v>
      </c>
      <c r="C87" s="1038" t="s">
        <v>615</v>
      </c>
      <c r="D87" s="1166"/>
      <c r="E87" s="1176"/>
      <c r="F87" s="1069"/>
      <c r="G87" s="1060"/>
      <c r="H87" s="1060"/>
      <c r="I87" s="1060"/>
      <c r="J87" s="1060"/>
      <c r="K87" s="1060"/>
      <c r="L87" s="843"/>
      <c r="M87" s="842"/>
      <c r="N87" s="842"/>
      <c r="O87" s="843"/>
      <c r="P87" s="842"/>
      <c r="Q87" s="844"/>
      <c r="R87" s="1076">
        <f t="shared" si="5"/>
        <v>0</v>
      </c>
      <c r="S87" s="825"/>
      <c r="T87" s="1062">
        <f t="shared" si="6"/>
        <v>0</v>
      </c>
      <c r="U87" s="842"/>
      <c r="V87" s="824"/>
      <c r="W87" s="803"/>
      <c r="X87" s="803"/>
      <c r="Y87" s="803"/>
      <c r="Z87" s="803"/>
      <c r="AA87" s="803"/>
      <c r="AB87" s="803"/>
      <c r="AC87" s="803"/>
      <c r="AD87" s="803"/>
      <c r="AE87" s="803"/>
      <c r="AF87" s="803"/>
      <c r="AG87" s="803"/>
      <c r="AH87" s="803"/>
      <c r="AI87" s="803"/>
      <c r="AJ87" s="803"/>
    </row>
    <row r="88" spans="1:36" s="826" customFormat="1" ht="22.8">
      <c r="A88" s="836"/>
      <c r="B88" s="1036"/>
      <c r="C88" s="1038" t="s">
        <v>688</v>
      </c>
      <c r="D88" s="1166"/>
      <c r="E88" s="1176"/>
      <c r="F88" s="1069"/>
      <c r="G88" s="1060"/>
      <c r="H88" s="1060"/>
      <c r="I88" s="1060"/>
      <c r="J88" s="1060"/>
      <c r="K88" s="1060"/>
      <c r="L88" s="843"/>
      <c r="M88" s="842"/>
      <c r="N88" s="842"/>
      <c r="O88" s="843"/>
      <c r="P88" s="842"/>
      <c r="Q88" s="844"/>
      <c r="R88" s="1076">
        <f t="shared" si="5"/>
        <v>0</v>
      </c>
      <c r="S88" s="825"/>
      <c r="T88" s="1062">
        <f t="shared" si="6"/>
        <v>0</v>
      </c>
      <c r="U88" s="842"/>
      <c r="V88" s="824"/>
      <c r="W88" s="803"/>
      <c r="X88" s="803"/>
      <c r="Y88" s="803"/>
      <c r="Z88" s="803"/>
      <c r="AA88" s="803"/>
      <c r="AB88" s="803"/>
      <c r="AC88" s="803"/>
      <c r="AD88" s="803"/>
      <c r="AE88" s="803"/>
      <c r="AF88" s="803"/>
      <c r="AG88" s="803"/>
      <c r="AH88" s="803"/>
      <c r="AI88" s="803"/>
      <c r="AJ88" s="803"/>
    </row>
    <row r="89" spans="1:36" s="826" customFormat="1" ht="22.8" hidden="1">
      <c r="A89" s="836">
        <v>12</v>
      </c>
      <c r="B89" s="1036" t="s">
        <v>942</v>
      </c>
      <c r="C89" s="1041" t="s">
        <v>948</v>
      </c>
      <c r="D89" s="1166" t="s">
        <v>717</v>
      </c>
      <c r="E89" s="1075">
        <v>2027</v>
      </c>
      <c r="F89" s="1069"/>
      <c r="G89" s="1060"/>
      <c r="H89" s="1060"/>
      <c r="I89" s="1060"/>
      <c r="J89" s="1060"/>
      <c r="K89" s="1060"/>
      <c r="L89" s="843"/>
      <c r="M89" s="842"/>
      <c r="N89" s="842"/>
      <c r="O89" s="843"/>
      <c r="P89" s="842"/>
      <c r="Q89" s="844"/>
      <c r="R89" s="1076">
        <f t="shared" si="5"/>
        <v>0</v>
      </c>
      <c r="S89" s="825"/>
      <c r="T89" s="1062">
        <f t="shared" si="6"/>
        <v>0</v>
      </c>
      <c r="U89" s="842"/>
      <c r="V89" s="824"/>
      <c r="W89" s="803"/>
      <c r="X89" s="803"/>
      <c r="Y89" s="803"/>
      <c r="Z89" s="803"/>
      <c r="AA89" s="803"/>
      <c r="AB89" s="803"/>
      <c r="AC89" s="803"/>
      <c r="AD89" s="803"/>
      <c r="AE89" s="803"/>
      <c r="AF89" s="803"/>
      <c r="AG89" s="803"/>
      <c r="AH89" s="803"/>
      <c r="AI89" s="803"/>
      <c r="AJ89" s="803"/>
    </row>
    <row r="90" spans="1:36" s="826" customFormat="1" ht="22.8" hidden="1">
      <c r="A90" s="836"/>
      <c r="B90" s="823" t="s">
        <v>943</v>
      </c>
      <c r="C90" s="1038" t="s">
        <v>615</v>
      </c>
      <c r="D90" s="1166"/>
      <c r="E90" s="1176"/>
      <c r="F90" s="1069"/>
      <c r="G90" s="1060"/>
      <c r="H90" s="1060"/>
      <c r="I90" s="1060"/>
      <c r="J90" s="1060"/>
      <c r="K90" s="1060"/>
      <c r="L90" s="843"/>
      <c r="M90" s="842"/>
      <c r="N90" s="842"/>
      <c r="O90" s="843"/>
      <c r="P90" s="842"/>
      <c r="Q90" s="844"/>
      <c r="R90" s="1076">
        <f t="shared" si="5"/>
        <v>0</v>
      </c>
      <c r="S90" s="825"/>
      <c r="T90" s="1062">
        <f t="shared" si="6"/>
        <v>0</v>
      </c>
      <c r="U90" s="842"/>
      <c r="V90" s="824"/>
      <c r="W90" s="803"/>
      <c r="X90" s="803"/>
      <c r="Y90" s="803"/>
      <c r="Z90" s="803"/>
      <c r="AA90" s="803"/>
      <c r="AB90" s="803"/>
      <c r="AC90" s="803"/>
      <c r="AD90" s="803"/>
      <c r="AE90" s="803"/>
      <c r="AF90" s="803"/>
      <c r="AG90" s="803"/>
      <c r="AH90" s="803"/>
      <c r="AI90" s="803"/>
      <c r="AJ90" s="803"/>
    </row>
    <row r="91" spans="1:36" s="826" customFormat="1" ht="22.8" hidden="1">
      <c r="A91" s="836"/>
      <c r="B91" s="823" t="s">
        <v>944</v>
      </c>
      <c r="C91" s="1038"/>
      <c r="D91" s="1166"/>
      <c r="E91" s="1176"/>
      <c r="F91" s="1069"/>
      <c r="G91" s="1060"/>
      <c r="H91" s="1060"/>
      <c r="I91" s="1060"/>
      <c r="J91" s="1060"/>
      <c r="K91" s="1060"/>
      <c r="L91" s="843"/>
      <c r="M91" s="842"/>
      <c r="N91" s="842"/>
      <c r="O91" s="843"/>
      <c r="P91" s="842"/>
      <c r="Q91" s="844"/>
      <c r="R91" s="1076">
        <f t="shared" si="5"/>
        <v>0</v>
      </c>
      <c r="S91" s="825"/>
      <c r="T91" s="1062">
        <f t="shared" si="6"/>
        <v>0</v>
      </c>
      <c r="U91" s="842"/>
      <c r="V91" s="824"/>
      <c r="W91" s="803"/>
      <c r="X91" s="803"/>
      <c r="Y91" s="803"/>
      <c r="Z91" s="803"/>
      <c r="AA91" s="803"/>
      <c r="AB91" s="803"/>
      <c r="AC91" s="803"/>
      <c r="AD91" s="803"/>
      <c r="AE91" s="803"/>
      <c r="AF91" s="803"/>
      <c r="AG91" s="803"/>
      <c r="AH91" s="803"/>
      <c r="AI91" s="803"/>
      <c r="AJ91" s="803"/>
    </row>
    <row r="92" spans="1:36" s="826" customFormat="1" ht="22.8" hidden="1">
      <c r="A92" s="836"/>
      <c r="B92" s="1040" t="s">
        <v>945</v>
      </c>
      <c r="C92" s="1038"/>
      <c r="D92" s="1166"/>
      <c r="E92" s="1176"/>
      <c r="F92" s="1069"/>
      <c r="G92" s="1060"/>
      <c r="H92" s="1060"/>
      <c r="I92" s="1060"/>
      <c r="J92" s="1060"/>
      <c r="K92" s="1060"/>
      <c r="L92" s="843"/>
      <c r="M92" s="842"/>
      <c r="N92" s="842"/>
      <c r="O92" s="843"/>
      <c r="P92" s="842"/>
      <c r="Q92" s="844"/>
      <c r="R92" s="1076">
        <f t="shared" si="5"/>
        <v>0</v>
      </c>
      <c r="S92" s="825"/>
      <c r="T92" s="1062">
        <f t="shared" si="6"/>
        <v>0</v>
      </c>
      <c r="U92" s="842"/>
      <c r="V92" s="824"/>
      <c r="W92" s="803"/>
      <c r="X92" s="803"/>
      <c r="Y92" s="803"/>
      <c r="Z92" s="803"/>
      <c r="AA92" s="803"/>
      <c r="AB92" s="803"/>
      <c r="AC92" s="803"/>
      <c r="AD92" s="803"/>
      <c r="AE92" s="803"/>
      <c r="AF92" s="803"/>
      <c r="AG92" s="803"/>
      <c r="AH92" s="803"/>
      <c r="AI92" s="803"/>
      <c r="AJ92" s="803"/>
    </row>
    <row r="93" spans="1:36" s="826" customFormat="1" ht="23.4" hidden="1">
      <c r="A93" s="1066">
        <v>12</v>
      </c>
      <c r="B93" s="1182" t="s">
        <v>1019</v>
      </c>
      <c r="C93" s="1183" t="s">
        <v>1020</v>
      </c>
      <c r="D93" s="1171"/>
      <c r="E93" s="1180"/>
      <c r="F93" s="1069"/>
      <c r="G93" s="842"/>
      <c r="H93" s="842"/>
      <c r="I93" s="842"/>
      <c r="J93" s="842"/>
      <c r="K93" s="842"/>
      <c r="L93" s="843"/>
      <c r="M93" s="842"/>
      <c r="N93" s="842"/>
      <c r="O93" s="843"/>
      <c r="P93" s="842"/>
      <c r="Q93" s="844"/>
      <c r="R93" s="1076">
        <f>SUM(F93:Q93)</f>
        <v>0</v>
      </c>
      <c r="S93" s="825"/>
      <c r="T93" s="1062">
        <f t="shared" si="6"/>
        <v>0</v>
      </c>
      <c r="U93" s="960"/>
      <c r="V93" s="824"/>
      <c r="W93" s="803"/>
      <c r="X93" s="803"/>
      <c r="Y93" s="803"/>
      <c r="Z93" s="803"/>
      <c r="AA93" s="803"/>
      <c r="AB93" s="803"/>
      <c r="AC93" s="803"/>
      <c r="AD93" s="803"/>
      <c r="AE93" s="803"/>
      <c r="AF93" s="803"/>
      <c r="AG93" s="803"/>
      <c r="AH93" s="803"/>
      <c r="AI93" s="803"/>
      <c r="AJ93" s="803"/>
    </row>
    <row r="94" spans="1:36" s="826" customFormat="1" ht="22.8" hidden="1">
      <c r="A94" s="836"/>
      <c r="B94" s="1080" t="s">
        <v>1021</v>
      </c>
      <c r="C94" s="1080" t="s">
        <v>1121</v>
      </c>
      <c r="D94" s="1171"/>
      <c r="E94" s="1180"/>
      <c r="F94" s="1069"/>
      <c r="G94" s="842"/>
      <c r="H94" s="842"/>
      <c r="I94" s="842">
        <v>0.6</v>
      </c>
      <c r="J94" s="842"/>
      <c r="K94" s="842"/>
      <c r="L94" s="843">
        <v>0.6</v>
      </c>
      <c r="M94" s="842"/>
      <c r="N94" s="842"/>
      <c r="O94" s="843"/>
      <c r="P94" s="842"/>
      <c r="Q94" s="844"/>
      <c r="R94" s="1076">
        <f>SUM(F94:Q94)</f>
        <v>1.2</v>
      </c>
      <c r="S94" s="825">
        <v>0.1</v>
      </c>
      <c r="T94" s="1062">
        <f t="shared" si="6"/>
        <v>0.12</v>
      </c>
      <c r="U94" s="960"/>
      <c r="V94" s="824"/>
      <c r="W94" s="803"/>
      <c r="X94" s="803"/>
      <c r="Y94" s="803"/>
      <c r="Z94" s="803"/>
      <c r="AA94" s="803"/>
      <c r="AB94" s="803"/>
      <c r="AC94" s="803"/>
      <c r="AD94" s="803"/>
      <c r="AE94" s="803"/>
      <c r="AF94" s="803"/>
      <c r="AG94" s="803"/>
      <c r="AH94" s="803"/>
      <c r="AI94" s="803"/>
      <c r="AJ94" s="803"/>
    </row>
    <row r="95" spans="1:36" s="826" customFormat="1" ht="22.8" hidden="1">
      <c r="A95" s="836"/>
      <c r="B95" s="1080" t="s">
        <v>1022</v>
      </c>
      <c r="C95" s="1080" t="s">
        <v>1081</v>
      </c>
      <c r="D95" s="1171"/>
      <c r="E95" s="1180"/>
      <c r="F95" s="1069"/>
      <c r="G95" s="842"/>
      <c r="H95" s="842"/>
      <c r="I95" s="842"/>
      <c r="J95" s="842"/>
      <c r="K95" s="842"/>
      <c r="L95" s="843"/>
      <c r="M95" s="842"/>
      <c r="N95" s="842"/>
      <c r="O95" s="843"/>
      <c r="P95" s="842"/>
      <c r="Q95" s="844"/>
      <c r="R95" s="1076">
        <f>SUM(F95:Q95)</f>
        <v>0</v>
      </c>
      <c r="S95" s="825"/>
      <c r="T95" s="1062">
        <f t="shared" si="6"/>
        <v>0</v>
      </c>
      <c r="U95" s="960"/>
      <c r="V95" s="824"/>
      <c r="W95" s="803"/>
      <c r="X95" s="803"/>
      <c r="Y95" s="803"/>
      <c r="Z95" s="803"/>
      <c r="AA95" s="803"/>
      <c r="AB95" s="803"/>
      <c r="AC95" s="803"/>
      <c r="AD95" s="803"/>
      <c r="AE95" s="803"/>
      <c r="AF95" s="803"/>
      <c r="AG95" s="803"/>
      <c r="AH95" s="803"/>
      <c r="AI95" s="803"/>
      <c r="AJ95" s="803"/>
    </row>
    <row r="96" spans="1:36" s="826" customFormat="1" ht="22.8" hidden="1">
      <c r="A96" s="836"/>
      <c r="B96" s="1080" t="s">
        <v>1023</v>
      </c>
      <c r="C96" s="1184"/>
      <c r="D96" s="1171"/>
      <c r="E96" s="1180"/>
      <c r="F96" s="1069"/>
      <c r="G96" s="1060"/>
      <c r="H96" s="1060"/>
      <c r="I96" s="1060"/>
      <c r="J96" s="1060"/>
      <c r="K96" s="1060"/>
      <c r="L96" s="1069"/>
      <c r="M96" s="1060"/>
      <c r="N96" s="1060"/>
      <c r="O96" s="843"/>
      <c r="P96" s="842"/>
      <c r="Q96" s="844"/>
      <c r="R96" s="1076">
        <f>SUM(F96:Q96)</f>
        <v>0</v>
      </c>
      <c r="S96" s="825"/>
      <c r="T96" s="1062">
        <f t="shared" si="6"/>
        <v>0</v>
      </c>
      <c r="U96" s="960"/>
      <c r="V96" s="824"/>
      <c r="W96" s="803"/>
      <c r="X96" s="803"/>
      <c r="Y96" s="803"/>
      <c r="Z96" s="803"/>
      <c r="AA96" s="803"/>
      <c r="AB96" s="803"/>
      <c r="AC96" s="803"/>
      <c r="AD96" s="803"/>
      <c r="AE96" s="803"/>
      <c r="AF96" s="803"/>
      <c r="AG96" s="803"/>
      <c r="AH96" s="803"/>
      <c r="AI96" s="803"/>
      <c r="AJ96" s="803"/>
    </row>
    <row r="97" spans="1:36" s="826" customFormat="1" ht="22.8" hidden="1">
      <c r="A97" s="836"/>
      <c r="B97" s="1080" t="s">
        <v>1024</v>
      </c>
      <c r="C97" s="1184"/>
      <c r="D97" s="1171"/>
      <c r="E97" s="1180"/>
      <c r="F97" s="1069"/>
      <c r="G97" s="1060"/>
      <c r="H97" s="1060"/>
      <c r="I97" s="1060"/>
      <c r="J97" s="1060"/>
      <c r="K97" s="1060"/>
      <c r="L97" s="1069"/>
      <c r="M97" s="1060"/>
      <c r="N97" s="1060"/>
      <c r="O97" s="843"/>
      <c r="P97" s="842"/>
      <c r="Q97" s="844"/>
      <c r="R97" s="1076">
        <f>SUM(F97:Q97)</f>
        <v>0</v>
      </c>
      <c r="S97" s="825"/>
      <c r="T97" s="1062">
        <f t="shared" si="6"/>
        <v>0</v>
      </c>
      <c r="U97" s="960"/>
      <c r="V97" s="824"/>
      <c r="W97" s="803"/>
      <c r="X97" s="803"/>
      <c r="Y97" s="803"/>
      <c r="Z97" s="803"/>
      <c r="AA97" s="803"/>
      <c r="AB97" s="803"/>
      <c r="AC97" s="803"/>
      <c r="AD97" s="803"/>
      <c r="AE97" s="803"/>
      <c r="AF97" s="803"/>
      <c r="AG97" s="803"/>
      <c r="AH97" s="803"/>
      <c r="AI97" s="803"/>
      <c r="AJ97" s="803"/>
    </row>
    <row r="98" spans="1:36" s="826" customFormat="1" ht="22.8" hidden="1">
      <c r="A98" s="1066">
        <v>13</v>
      </c>
      <c r="B98" s="1041" t="s">
        <v>1077</v>
      </c>
      <c r="C98" s="1041" t="s">
        <v>1078</v>
      </c>
      <c r="D98" s="1166" t="s">
        <v>663</v>
      </c>
      <c r="E98" s="1075">
        <v>2028</v>
      </c>
      <c r="F98" s="1069"/>
      <c r="G98" s="1060"/>
      <c r="H98" s="1060"/>
      <c r="I98" s="1060"/>
      <c r="J98" s="1060"/>
      <c r="K98" s="1060"/>
      <c r="L98" s="843"/>
      <c r="M98" s="842"/>
      <c r="N98" s="842"/>
      <c r="O98" s="843"/>
      <c r="P98" s="842"/>
      <c r="Q98" s="844"/>
      <c r="R98" s="1076">
        <f t="shared" si="5"/>
        <v>0</v>
      </c>
      <c r="S98" s="825"/>
      <c r="T98" s="1062">
        <f t="shared" ref="T98:T119" si="7">R98*S98</f>
        <v>0</v>
      </c>
      <c r="U98" s="842"/>
      <c r="V98" s="824"/>
      <c r="W98" s="803"/>
      <c r="X98" s="803"/>
      <c r="Y98" s="803"/>
      <c r="Z98" s="803"/>
      <c r="AA98" s="803"/>
      <c r="AB98" s="803"/>
      <c r="AC98" s="803"/>
      <c r="AD98" s="803"/>
      <c r="AE98" s="803"/>
      <c r="AF98" s="803"/>
      <c r="AG98" s="803"/>
      <c r="AH98" s="803"/>
      <c r="AI98" s="803"/>
      <c r="AJ98" s="803"/>
    </row>
    <row r="99" spans="1:36" s="826" customFormat="1" ht="23.4" hidden="1">
      <c r="A99" s="836"/>
      <c r="B99" s="823" t="s">
        <v>1079</v>
      </c>
      <c r="C99" s="1038" t="s">
        <v>973</v>
      </c>
      <c r="D99" s="1169"/>
      <c r="E99" s="1176"/>
      <c r="F99" s="1069"/>
      <c r="G99" s="1060"/>
      <c r="H99" s="1060"/>
      <c r="I99" s="1060"/>
      <c r="J99" s="1060"/>
      <c r="K99" s="1060"/>
      <c r="L99" s="843"/>
      <c r="M99" s="842"/>
      <c r="N99" s="842"/>
      <c r="O99" s="843"/>
      <c r="P99" s="842"/>
      <c r="Q99" s="844"/>
      <c r="R99" s="1076">
        <f t="shared" si="5"/>
        <v>0</v>
      </c>
      <c r="S99" s="825"/>
      <c r="T99" s="1062">
        <f t="shared" si="7"/>
        <v>0</v>
      </c>
      <c r="U99" s="842"/>
      <c r="V99" s="824"/>
      <c r="W99" s="803"/>
      <c r="X99" s="803"/>
      <c r="Y99" s="803"/>
      <c r="Z99" s="803"/>
      <c r="AA99" s="803"/>
      <c r="AB99" s="803"/>
      <c r="AC99" s="803"/>
      <c r="AD99" s="803"/>
      <c r="AE99" s="803"/>
      <c r="AF99" s="803"/>
      <c r="AG99" s="803"/>
      <c r="AH99" s="803"/>
      <c r="AI99" s="803"/>
      <c r="AJ99" s="803"/>
    </row>
    <row r="100" spans="1:36" s="826" customFormat="1" ht="23.4" hidden="1">
      <c r="A100" s="836"/>
      <c r="B100" s="1136"/>
      <c r="C100" s="1038" t="s">
        <v>993</v>
      </c>
      <c r="D100" s="1169"/>
      <c r="E100" s="1176"/>
      <c r="F100" s="1069"/>
      <c r="G100" s="1060"/>
      <c r="H100" s="1060"/>
      <c r="I100" s="1060"/>
      <c r="J100" s="1060"/>
      <c r="K100" s="1060"/>
      <c r="L100" s="843"/>
      <c r="M100" s="842"/>
      <c r="N100" s="842"/>
      <c r="O100" s="843"/>
      <c r="P100" s="842"/>
      <c r="Q100" s="844"/>
      <c r="R100" s="1076">
        <f t="shared" si="5"/>
        <v>0</v>
      </c>
      <c r="S100" s="825"/>
      <c r="T100" s="1062">
        <f t="shared" si="7"/>
        <v>0</v>
      </c>
      <c r="U100" s="842"/>
      <c r="V100" s="824"/>
      <c r="W100" s="803"/>
      <c r="X100" s="803"/>
      <c r="Y100" s="803"/>
      <c r="Z100" s="803"/>
      <c r="AA100" s="803"/>
      <c r="AB100" s="803"/>
      <c r="AC100" s="803"/>
      <c r="AD100" s="803"/>
      <c r="AE100" s="803"/>
      <c r="AF100" s="803"/>
      <c r="AG100" s="803"/>
      <c r="AH100" s="803"/>
      <c r="AI100" s="803"/>
      <c r="AJ100" s="803"/>
    </row>
    <row r="101" spans="1:36" s="826" customFormat="1" ht="22.8">
      <c r="A101" s="836">
        <v>14</v>
      </c>
      <c r="B101" s="823" t="s">
        <v>1016</v>
      </c>
      <c r="C101" s="1041" t="s">
        <v>1017</v>
      </c>
      <c r="D101" s="946" t="s">
        <v>611</v>
      </c>
      <c r="E101" s="1075" t="s">
        <v>951</v>
      </c>
      <c r="F101" s="1069"/>
      <c r="G101" s="1060"/>
      <c r="H101" s="1060"/>
      <c r="I101" s="1060"/>
      <c r="J101" s="1060"/>
      <c r="K101" s="1060"/>
      <c r="L101" s="1069"/>
      <c r="M101" s="1060"/>
      <c r="N101" s="1060"/>
      <c r="O101" s="843">
        <v>0.16</v>
      </c>
      <c r="P101" s="842"/>
      <c r="Q101" s="844"/>
      <c r="R101" s="1076">
        <v>0.16</v>
      </c>
      <c r="S101" s="825">
        <v>0.2</v>
      </c>
      <c r="T101" s="1062">
        <f t="shared" si="7"/>
        <v>3.2000000000000001E-2</v>
      </c>
      <c r="U101" s="960"/>
      <c r="V101" s="824"/>
      <c r="W101" s="803"/>
      <c r="X101" s="803"/>
      <c r="Y101" s="803"/>
      <c r="Z101" s="803"/>
      <c r="AA101" s="803"/>
      <c r="AB101" s="803"/>
      <c r="AC101" s="803"/>
      <c r="AD101" s="803"/>
      <c r="AE101" s="803"/>
      <c r="AF101" s="803"/>
      <c r="AG101" s="803"/>
      <c r="AH101" s="803"/>
      <c r="AI101" s="803"/>
      <c r="AJ101" s="803"/>
    </row>
    <row r="102" spans="1:36" s="826" customFormat="1" ht="22.8">
      <c r="A102" s="836"/>
      <c r="B102" s="1080"/>
      <c r="C102" s="1038" t="s">
        <v>973</v>
      </c>
      <c r="D102" s="1114"/>
      <c r="E102" s="1072"/>
      <c r="F102" s="1069"/>
      <c r="G102" s="1060"/>
      <c r="H102" s="1060"/>
      <c r="I102" s="1060"/>
      <c r="J102" s="1060"/>
      <c r="K102" s="1060"/>
      <c r="L102" s="1069"/>
      <c r="M102" s="1060"/>
      <c r="N102" s="1060"/>
      <c r="O102" s="843"/>
      <c r="P102" s="842"/>
      <c r="Q102" s="844"/>
      <c r="R102" s="1076">
        <f>SUM(F102:Q102)</f>
        <v>0</v>
      </c>
      <c r="S102" s="825"/>
      <c r="T102" s="1062">
        <f t="shared" si="7"/>
        <v>0</v>
      </c>
      <c r="U102" s="960"/>
      <c r="V102" s="824"/>
      <c r="W102" s="803"/>
      <c r="X102" s="803"/>
      <c r="Y102" s="803"/>
      <c r="Z102" s="803"/>
      <c r="AA102" s="803"/>
      <c r="AB102" s="803"/>
      <c r="AC102" s="803"/>
      <c r="AD102" s="803"/>
      <c r="AE102" s="803"/>
      <c r="AF102" s="803"/>
      <c r="AG102" s="803"/>
      <c r="AH102" s="803"/>
      <c r="AI102" s="803"/>
      <c r="AJ102" s="803"/>
    </row>
    <row r="103" spans="1:36" s="826" customFormat="1" ht="22.8">
      <c r="A103" s="836"/>
      <c r="B103" s="823"/>
      <c r="C103" s="1041"/>
      <c r="D103" s="947"/>
      <c r="E103" s="1075"/>
      <c r="F103" s="843"/>
      <c r="G103" s="842"/>
      <c r="H103" s="842"/>
      <c r="I103" s="842"/>
      <c r="J103" s="842"/>
      <c r="K103" s="842"/>
      <c r="L103" s="843"/>
      <c r="M103" s="842"/>
      <c r="N103" s="842"/>
      <c r="O103" s="843"/>
      <c r="P103" s="842"/>
      <c r="Q103" s="844"/>
      <c r="R103" s="1076">
        <f>SUM(F103:Q103)</f>
        <v>0</v>
      </c>
      <c r="S103" s="825"/>
      <c r="T103" s="1062">
        <f t="shared" si="7"/>
        <v>0</v>
      </c>
      <c r="U103" s="960"/>
      <c r="V103" s="824"/>
      <c r="W103" s="803"/>
      <c r="X103" s="803"/>
      <c r="Y103" s="803"/>
      <c r="Z103" s="803"/>
      <c r="AA103" s="803"/>
      <c r="AB103" s="803"/>
      <c r="AC103" s="803"/>
      <c r="AD103" s="803"/>
      <c r="AE103" s="803"/>
      <c r="AF103" s="803"/>
      <c r="AG103" s="803"/>
      <c r="AH103" s="803"/>
      <c r="AI103" s="803"/>
      <c r="AJ103" s="803"/>
    </row>
    <row r="104" spans="1:36" s="826" customFormat="1" ht="22.8">
      <c r="A104" s="836">
        <v>15</v>
      </c>
      <c r="B104" s="1041" t="s">
        <v>1006</v>
      </c>
      <c r="C104" s="1041" t="s">
        <v>1009</v>
      </c>
      <c r="D104" s="1168" t="s">
        <v>611</v>
      </c>
      <c r="E104" s="1177" t="s">
        <v>949</v>
      </c>
      <c r="F104" s="1069"/>
      <c r="G104" s="1060"/>
      <c r="H104" s="1060"/>
      <c r="I104" s="1060"/>
      <c r="J104" s="1060"/>
      <c r="K104" s="1060"/>
      <c r="L104" s="1069"/>
      <c r="M104" s="1060"/>
      <c r="N104" s="1060"/>
      <c r="O104" s="843"/>
      <c r="P104" s="842"/>
      <c r="Q104" s="844"/>
      <c r="R104" s="1076">
        <f t="shared" si="5"/>
        <v>0</v>
      </c>
      <c r="S104" s="825"/>
      <c r="T104" s="1062">
        <f t="shared" si="7"/>
        <v>0</v>
      </c>
      <c r="U104" s="960"/>
      <c r="V104" s="824"/>
      <c r="W104" s="803"/>
      <c r="X104" s="803"/>
      <c r="Y104" s="803"/>
      <c r="Z104" s="803"/>
      <c r="AA104" s="803"/>
      <c r="AB104" s="803"/>
      <c r="AC104" s="803"/>
      <c r="AD104" s="803"/>
      <c r="AE104" s="803"/>
      <c r="AF104" s="803"/>
      <c r="AG104" s="803"/>
      <c r="AH104" s="803"/>
      <c r="AI104" s="803"/>
      <c r="AJ104" s="803"/>
    </row>
    <row r="105" spans="1:36" s="826" customFormat="1" ht="22.8">
      <c r="A105" s="836"/>
      <c r="B105" s="1080" t="s">
        <v>1110</v>
      </c>
      <c r="C105" s="1038" t="s">
        <v>879</v>
      </c>
      <c r="D105" s="1167"/>
      <c r="E105" s="1177"/>
      <c r="F105" s="1069"/>
      <c r="G105" s="1060"/>
      <c r="H105" s="1060"/>
      <c r="I105" s="1060"/>
      <c r="J105" s="1060"/>
      <c r="K105" s="1060"/>
      <c r="L105" s="1069"/>
      <c r="M105" s="1060"/>
      <c r="N105" s="1060"/>
      <c r="O105" s="843"/>
      <c r="P105" s="842"/>
      <c r="Q105" s="844"/>
      <c r="R105" s="1076">
        <f t="shared" si="5"/>
        <v>0</v>
      </c>
      <c r="S105" s="825"/>
      <c r="T105" s="1062">
        <f t="shared" si="7"/>
        <v>0</v>
      </c>
      <c r="U105" s="1155">
        <v>3.7</v>
      </c>
      <c r="V105" s="1155"/>
      <c r="W105" s="803"/>
      <c r="X105" s="803"/>
      <c r="Y105" s="803"/>
      <c r="Z105" s="803"/>
      <c r="AA105" s="803"/>
      <c r="AB105" s="803"/>
      <c r="AC105" s="803"/>
      <c r="AD105" s="803"/>
      <c r="AE105" s="803"/>
      <c r="AF105" s="803"/>
      <c r="AG105" s="803"/>
      <c r="AH105" s="803"/>
      <c r="AI105" s="803"/>
      <c r="AJ105" s="803"/>
    </row>
    <row r="106" spans="1:36" s="826" customFormat="1" ht="22.8">
      <c r="A106" s="836"/>
      <c r="B106" s="1080" t="s">
        <v>1007</v>
      </c>
      <c r="C106" s="1038" t="s">
        <v>688</v>
      </c>
      <c r="D106" s="1167"/>
      <c r="E106" s="1177"/>
      <c r="F106" s="1069"/>
      <c r="G106" s="1060"/>
      <c r="H106" s="1060"/>
      <c r="I106" s="1060"/>
      <c r="J106" s="1060"/>
      <c r="K106" s="1060"/>
      <c r="L106" s="1069"/>
      <c r="M106" s="1060"/>
      <c r="N106" s="1060"/>
      <c r="O106" s="843"/>
      <c r="P106" s="842"/>
      <c r="Q106" s="844"/>
      <c r="R106" s="1076">
        <f t="shared" si="5"/>
        <v>0</v>
      </c>
      <c r="S106" s="825"/>
      <c r="T106" s="1062">
        <f t="shared" si="7"/>
        <v>0</v>
      </c>
      <c r="U106" s="1155">
        <v>3.4</v>
      </c>
      <c r="V106" s="1151"/>
      <c r="W106" s="803"/>
      <c r="X106" s="803"/>
      <c r="Y106" s="803"/>
      <c r="Z106" s="803"/>
      <c r="AA106" s="803"/>
      <c r="AB106" s="803"/>
      <c r="AC106" s="803"/>
      <c r="AD106" s="803"/>
      <c r="AE106" s="803"/>
      <c r="AF106" s="803"/>
      <c r="AG106" s="803"/>
      <c r="AH106" s="803"/>
      <c r="AI106" s="803"/>
      <c r="AJ106" s="803"/>
    </row>
    <row r="107" spans="1:36" s="826" customFormat="1" ht="22.8">
      <c r="A107" s="836"/>
      <c r="B107" s="1080" t="s">
        <v>1008</v>
      </c>
      <c r="C107" s="1038" t="s">
        <v>615</v>
      </c>
      <c r="D107" s="1167"/>
      <c r="E107" s="1177"/>
      <c r="F107" s="1069"/>
      <c r="G107" s="1060"/>
      <c r="H107" s="1060"/>
      <c r="I107" s="1060"/>
      <c r="J107" s="1060"/>
      <c r="K107" s="1060"/>
      <c r="L107" s="1069"/>
      <c r="M107" s="1060"/>
      <c r="N107" s="1060"/>
      <c r="O107" s="843"/>
      <c r="P107" s="842"/>
      <c r="Q107" s="844"/>
      <c r="R107" s="1076">
        <f t="shared" si="5"/>
        <v>0</v>
      </c>
      <c r="S107" s="825"/>
      <c r="T107" s="1062">
        <f t="shared" si="7"/>
        <v>0</v>
      </c>
      <c r="U107" s="1155">
        <v>0.04</v>
      </c>
      <c r="V107" s="1155" t="s">
        <v>758</v>
      </c>
      <c r="W107" s="803"/>
      <c r="X107" s="803"/>
      <c r="Y107" s="803"/>
      <c r="Z107" s="803"/>
      <c r="AA107" s="803"/>
      <c r="AB107" s="803"/>
      <c r="AC107" s="803"/>
      <c r="AD107" s="803"/>
      <c r="AE107" s="803"/>
      <c r="AF107" s="803"/>
      <c r="AG107" s="803"/>
      <c r="AH107" s="803"/>
      <c r="AI107" s="803"/>
      <c r="AJ107" s="803"/>
    </row>
    <row r="108" spans="1:36" s="826" customFormat="1" ht="22.8">
      <c r="A108" s="836"/>
      <c r="B108" s="1080" t="s">
        <v>1109</v>
      </c>
      <c r="C108" s="1038"/>
      <c r="D108" s="1167"/>
      <c r="E108" s="1177"/>
      <c r="F108" s="1069"/>
      <c r="G108" s="1060"/>
      <c r="H108" s="1060"/>
      <c r="I108" s="1060"/>
      <c r="J108" s="1060"/>
      <c r="K108" s="1060"/>
      <c r="L108" s="1069"/>
      <c r="M108" s="1060"/>
      <c r="N108" s="1060"/>
      <c r="O108" s="843"/>
      <c r="P108" s="842"/>
      <c r="Q108" s="844"/>
      <c r="R108" s="1076"/>
      <c r="S108" s="825"/>
      <c r="T108" s="1062">
        <f t="shared" si="7"/>
        <v>0</v>
      </c>
      <c r="U108" s="960"/>
      <c r="V108" s="824"/>
      <c r="W108" s="803"/>
      <c r="X108" s="803"/>
      <c r="Y108" s="803"/>
      <c r="Z108" s="803"/>
      <c r="AA108" s="803"/>
      <c r="AB108" s="803"/>
      <c r="AC108" s="803"/>
      <c r="AD108" s="803"/>
      <c r="AE108" s="803"/>
      <c r="AF108" s="803"/>
      <c r="AG108" s="803"/>
      <c r="AH108" s="803"/>
      <c r="AI108" s="803"/>
      <c r="AJ108" s="803"/>
    </row>
    <row r="109" spans="1:36" s="826" customFormat="1" ht="22.8">
      <c r="A109" s="1066">
        <v>16</v>
      </c>
      <c r="B109" s="1122" t="s">
        <v>1111</v>
      </c>
      <c r="C109" s="1122" t="s">
        <v>1030</v>
      </c>
      <c r="D109" s="1168" t="s">
        <v>611</v>
      </c>
      <c r="E109" s="1075">
        <v>2026</v>
      </c>
      <c r="F109" s="1069"/>
      <c r="G109" s="1060"/>
      <c r="H109" s="1060"/>
      <c r="I109" s="1060"/>
      <c r="J109" s="1060"/>
      <c r="K109" s="1060"/>
      <c r="L109" s="1069"/>
      <c r="M109" s="1060"/>
      <c r="N109" s="1060"/>
      <c r="O109" s="843"/>
      <c r="P109" s="842"/>
      <c r="Q109" s="844"/>
      <c r="R109" s="1076">
        <f t="shared" si="5"/>
        <v>0</v>
      </c>
      <c r="S109" s="825"/>
      <c r="T109" s="1062">
        <f t="shared" si="7"/>
        <v>0</v>
      </c>
      <c r="U109" s="960"/>
      <c r="V109" s="824"/>
      <c r="W109" s="803"/>
      <c r="X109" s="803"/>
      <c r="Y109" s="803"/>
      <c r="Z109" s="803"/>
      <c r="AA109" s="803"/>
      <c r="AB109" s="803"/>
      <c r="AC109" s="803"/>
      <c r="AD109" s="803"/>
      <c r="AE109" s="803"/>
      <c r="AF109" s="803"/>
      <c r="AG109" s="803"/>
      <c r="AH109" s="803"/>
      <c r="AI109" s="803"/>
      <c r="AJ109" s="803"/>
    </row>
    <row r="110" spans="1:36" s="826" customFormat="1" ht="22.95" customHeight="1">
      <c r="A110" s="836"/>
      <c r="B110" s="1080" t="s">
        <v>1093</v>
      </c>
      <c r="C110" s="1080" t="s">
        <v>973</v>
      </c>
      <c r="D110" s="1166"/>
      <c r="E110" s="1075"/>
      <c r="F110" s="843"/>
      <c r="G110" s="842"/>
      <c r="H110" s="842"/>
      <c r="I110" s="842"/>
      <c r="J110" s="842"/>
      <c r="K110" s="842"/>
      <c r="L110" s="843"/>
      <c r="M110" s="842"/>
      <c r="N110" s="842"/>
      <c r="O110" s="843">
        <v>7.17</v>
      </c>
      <c r="P110" s="842"/>
      <c r="Q110" s="844"/>
      <c r="R110" s="1076">
        <f t="shared" si="5"/>
        <v>7.17</v>
      </c>
      <c r="S110" s="825">
        <v>0.2</v>
      </c>
      <c r="T110" s="1062">
        <f t="shared" si="7"/>
        <v>1.4340000000000002</v>
      </c>
      <c r="U110" s="960"/>
      <c r="V110" s="1153" t="s">
        <v>1094</v>
      </c>
      <c r="W110" s="803"/>
      <c r="X110" s="803"/>
      <c r="Y110" s="803"/>
      <c r="Z110" s="803"/>
      <c r="AA110" s="803"/>
      <c r="AB110" s="803"/>
      <c r="AC110" s="803"/>
      <c r="AD110" s="803"/>
      <c r="AE110" s="803"/>
      <c r="AF110" s="803"/>
      <c r="AG110" s="803"/>
      <c r="AH110" s="803"/>
      <c r="AI110" s="803"/>
      <c r="AJ110" s="803"/>
    </row>
    <row r="111" spans="1:36" s="826" customFormat="1" ht="22.8">
      <c r="A111" s="836"/>
      <c r="B111" s="1080" t="s">
        <v>1028</v>
      </c>
      <c r="C111" s="1080" t="s">
        <v>1082</v>
      </c>
      <c r="D111" s="1166"/>
      <c r="E111" s="1179"/>
      <c r="F111" s="843"/>
      <c r="G111" s="842"/>
      <c r="H111" s="842"/>
      <c r="I111" s="842"/>
      <c r="J111" s="842"/>
      <c r="K111" s="842"/>
      <c r="L111" s="843"/>
      <c r="M111" s="842"/>
      <c r="N111" s="842"/>
      <c r="O111" s="843">
        <v>4.0999999999999996</v>
      </c>
      <c r="P111" s="842"/>
      <c r="Q111" s="844"/>
      <c r="R111" s="1076">
        <f t="shared" si="5"/>
        <v>4.0999999999999996</v>
      </c>
      <c r="S111" s="825">
        <v>0.2</v>
      </c>
      <c r="T111" s="1062">
        <f t="shared" si="7"/>
        <v>0.82</v>
      </c>
      <c r="U111" s="960"/>
      <c r="V111" s="1153"/>
      <c r="W111" s="803"/>
      <c r="X111" s="803"/>
      <c r="Y111" s="803"/>
      <c r="Z111" s="803"/>
      <c r="AA111" s="803"/>
      <c r="AB111" s="803"/>
      <c r="AC111" s="803"/>
      <c r="AD111" s="803"/>
      <c r="AE111" s="803"/>
      <c r="AF111" s="803"/>
      <c r="AG111" s="803"/>
      <c r="AH111" s="803"/>
      <c r="AI111" s="803"/>
      <c r="AJ111" s="803"/>
    </row>
    <row r="112" spans="1:36" s="826" customFormat="1" ht="22.8">
      <c r="A112" s="836"/>
      <c r="B112" s="1080" t="s">
        <v>1031</v>
      </c>
      <c r="C112" s="1080" t="s">
        <v>1083</v>
      </c>
      <c r="D112" s="1166"/>
      <c r="E112" s="1179"/>
      <c r="F112" s="843"/>
      <c r="G112" s="842"/>
      <c r="H112" s="842"/>
      <c r="I112" s="842"/>
      <c r="J112" s="842"/>
      <c r="K112" s="842"/>
      <c r="L112" s="843"/>
      <c r="M112" s="842"/>
      <c r="N112" s="842"/>
      <c r="O112" s="843"/>
      <c r="P112" s="842"/>
      <c r="Q112" s="844"/>
      <c r="R112" s="1076">
        <f>SUM(F112:Q112)</f>
        <v>0</v>
      </c>
      <c r="S112" s="825"/>
      <c r="T112" s="1062">
        <f t="shared" si="7"/>
        <v>0</v>
      </c>
      <c r="U112" s="960"/>
      <c r="V112" s="1153"/>
      <c r="W112" s="803"/>
      <c r="X112" s="803"/>
      <c r="Y112" s="803"/>
      <c r="Z112" s="803"/>
      <c r="AA112" s="803"/>
      <c r="AB112" s="803"/>
      <c r="AC112" s="803"/>
      <c r="AD112" s="803"/>
      <c r="AE112" s="803"/>
      <c r="AF112" s="803"/>
      <c r="AG112" s="803"/>
      <c r="AH112" s="803"/>
      <c r="AI112" s="803"/>
      <c r="AJ112" s="803"/>
    </row>
    <row r="113" spans="1:36" s="826" customFormat="1" ht="22.8">
      <c r="A113" s="836"/>
      <c r="B113" s="1080" t="s">
        <v>1098</v>
      </c>
      <c r="C113" s="1080" t="s">
        <v>1084</v>
      </c>
      <c r="D113" s="1166"/>
      <c r="E113" s="1179"/>
      <c r="F113" s="843"/>
      <c r="G113" s="842"/>
      <c r="H113" s="842"/>
      <c r="I113" s="842"/>
      <c r="J113" s="842"/>
      <c r="K113" s="842"/>
      <c r="L113" s="843"/>
      <c r="M113" s="842"/>
      <c r="N113" s="842"/>
      <c r="O113" s="843"/>
      <c r="P113" s="842"/>
      <c r="Q113" s="844"/>
      <c r="R113" s="1076">
        <f>SUM(F113:Q113)</f>
        <v>0</v>
      </c>
      <c r="S113" s="825"/>
      <c r="T113" s="1062">
        <f t="shared" si="7"/>
        <v>0</v>
      </c>
      <c r="U113" s="960"/>
      <c r="V113" s="1154" t="s">
        <v>1095</v>
      </c>
      <c r="W113" s="803"/>
      <c r="X113" s="803"/>
      <c r="Y113" s="803"/>
      <c r="Z113" s="803"/>
      <c r="AA113" s="803"/>
      <c r="AB113" s="803"/>
      <c r="AC113" s="803"/>
      <c r="AD113" s="803"/>
      <c r="AE113" s="803"/>
      <c r="AF113" s="803"/>
      <c r="AG113" s="803"/>
      <c r="AH113" s="803"/>
      <c r="AI113" s="803"/>
      <c r="AJ113" s="803"/>
    </row>
    <row r="114" spans="1:36" s="826" customFormat="1" ht="22.8">
      <c r="A114" s="836"/>
      <c r="B114" s="1080" t="s">
        <v>1029</v>
      </c>
      <c r="C114" s="1080"/>
      <c r="D114" s="1166"/>
      <c r="E114" s="1179"/>
      <c r="F114" s="1069"/>
      <c r="G114" s="1060"/>
      <c r="H114" s="1060"/>
      <c r="I114" s="1060"/>
      <c r="J114" s="1060"/>
      <c r="K114" s="1060"/>
      <c r="L114" s="843"/>
      <c r="M114" s="842"/>
      <c r="N114" s="842"/>
      <c r="O114" s="843"/>
      <c r="P114" s="842"/>
      <c r="Q114" s="844"/>
      <c r="R114" s="1076"/>
      <c r="S114" s="825"/>
      <c r="T114" s="1062">
        <f t="shared" si="7"/>
        <v>0</v>
      </c>
      <c r="U114" s="960"/>
      <c r="V114" s="824"/>
      <c r="W114" s="803"/>
      <c r="X114" s="803"/>
      <c r="Y114" s="803"/>
      <c r="Z114" s="803"/>
      <c r="AA114" s="803"/>
      <c r="AB114" s="803"/>
      <c r="AC114" s="803"/>
      <c r="AD114" s="803"/>
      <c r="AE114" s="803"/>
      <c r="AF114" s="803"/>
      <c r="AG114" s="803"/>
      <c r="AH114" s="803"/>
      <c r="AI114" s="803"/>
      <c r="AJ114" s="803"/>
    </row>
    <row r="115" spans="1:36" s="826" customFormat="1" ht="23.4">
      <c r="A115" s="836">
        <v>17</v>
      </c>
      <c r="B115" s="1188" t="s">
        <v>1026</v>
      </c>
      <c r="C115" s="1188" t="s">
        <v>1122</v>
      </c>
      <c r="D115" s="1166" t="s">
        <v>663</v>
      </c>
      <c r="E115" s="1075">
        <v>2026</v>
      </c>
      <c r="F115" s="1069"/>
      <c r="G115" s="1060"/>
      <c r="H115" s="1060"/>
      <c r="I115" s="1060"/>
      <c r="J115" s="1060"/>
      <c r="K115" s="1060"/>
      <c r="L115" s="843"/>
      <c r="M115" s="842"/>
      <c r="N115" s="842"/>
      <c r="O115" s="843"/>
      <c r="P115" s="842"/>
      <c r="Q115" s="844"/>
      <c r="R115" s="1076"/>
      <c r="S115" s="825"/>
      <c r="T115" s="1062">
        <f t="shared" si="7"/>
        <v>0</v>
      </c>
      <c r="U115" s="960"/>
      <c r="V115" s="824"/>
      <c r="W115" s="803"/>
      <c r="X115" s="803"/>
      <c r="Y115" s="803"/>
      <c r="Z115" s="803"/>
      <c r="AA115" s="803"/>
      <c r="AB115" s="803"/>
      <c r="AC115" s="803"/>
      <c r="AD115" s="803"/>
      <c r="AE115" s="803"/>
      <c r="AF115" s="803"/>
      <c r="AG115" s="803"/>
      <c r="AH115" s="803"/>
      <c r="AI115" s="803"/>
      <c r="AJ115" s="803"/>
    </row>
    <row r="116" spans="1:36" s="826" customFormat="1" ht="22.8">
      <c r="A116" s="836"/>
      <c r="B116" s="1080" t="s">
        <v>1097</v>
      </c>
      <c r="C116" s="1080" t="s">
        <v>960</v>
      </c>
      <c r="D116" s="1166"/>
      <c r="E116" s="1179"/>
      <c r="F116" s="1069"/>
      <c r="G116" s="1060"/>
      <c r="H116" s="1060"/>
      <c r="I116" s="1060"/>
      <c r="J116" s="1060"/>
      <c r="K116" s="1060"/>
      <c r="L116" s="843"/>
      <c r="M116" s="842"/>
      <c r="N116" s="842"/>
      <c r="O116" s="843"/>
      <c r="P116" s="842"/>
      <c r="Q116" s="844"/>
      <c r="R116" s="1076"/>
      <c r="S116" s="825"/>
      <c r="T116" s="1062">
        <f t="shared" si="7"/>
        <v>0</v>
      </c>
      <c r="U116" s="1155">
        <v>6.7</v>
      </c>
      <c r="V116" s="824"/>
      <c r="W116" s="803"/>
      <c r="X116" s="803"/>
      <c r="Y116" s="803"/>
      <c r="Z116" s="803"/>
      <c r="AA116" s="803"/>
      <c r="AB116" s="803"/>
      <c r="AC116" s="803"/>
      <c r="AD116" s="803"/>
      <c r="AE116" s="803"/>
      <c r="AF116" s="803"/>
      <c r="AG116" s="803"/>
      <c r="AH116" s="803"/>
      <c r="AI116" s="803"/>
      <c r="AJ116" s="803"/>
    </row>
    <row r="117" spans="1:36" s="826" customFormat="1" ht="22.8">
      <c r="A117" s="836"/>
      <c r="B117" s="1080" t="s">
        <v>1028</v>
      </c>
      <c r="C117" s="1040" t="s">
        <v>1096</v>
      </c>
      <c r="D117" s="1166"/>
      <c r="E117" s="1179"/>
      <c r="F117" s="1069"/>
      <c r="G117" s="1060"/>
      <c r="H117" s="1060"/>
      <c r="I117" s="1060"/>
      <c r="J117" s="1060"/>
      <c r="K117" s="1060"/>
      <c r="L117" s="843"/>
      <c r="M117" s="842"/>
      <c r="N117" s="842"/>
      <c r="O117" s="843"/>
      <c r="P117" s="842"/>
      <c r="Q117" s="844"/>
      <c r="R117" s="1076"/>
      <c r="S117" s="825"/>
      <c r="T117" s="1062">
        <f t="shared" si="7"/>
        <v>0</v>
      </c>
      <c r="U117" s="960"/>
      <c r="V117" s="824"/>
      <c r="W117" s="803"/>
      <c r="X117" s="803"/>
      <c r="Y117" s="803"/>
      <c r="Z117" s="803"/>
      <c r="AA117" s="803"/>
      <c r="AB117" s="803"/>
      <c r="AC117" s="803"/>
      <c r="AD117" s="803"/>
      <c r="AE117" s="803"/>
      <c r="AF117" s="803"/>
      <c r="AG117" s="803"/>
      <c r="AH117" s="803"/>
      <c r="AI117" s="803"/>
      <c r="AJ117" s="803"/>
    </row>
    <row r="118" spans="1:36" s="826" customFormat="1" ht="22.8">
      <c r="A118" s="836"/>
      <c r="B118" s="1080" t="s">
        <v>1098</v>
      </c>
      <c r="C118" s="1040" t="s">
        <v>1083</v>
      </c>
      <c r="D118" s="1166"/>
      <c r="E118" s="1179"/>
      <c r="F118" s="1069"/>
      <c r="G118" s="1060"/>
      <c r="H118" s="1060"/>
      <c r="I118" s="1060"/>
      <c r="J118" s="1060"/>
      <c r="K118" s="1060"/>
      <c r="L118" s="843"/>
      <c r="M118" s="842"/>
      <c r="N118" s="842"/>
      <c r="O118" s="843"/>
      <c r="P118" s="842"/>
      <c r="Q118" s="844"/>
      <c r="R118" s="1076"/>
      <c r="S118" s="825"/>
      <c r="T118" s="1062">
        <f t="shared" si="7"/>
        <v>0</v>
      </c>
      <c r="U118" s="960"/>
      <c r="V118" s="824"/>
      <c r="W118" s="803"/>
      <c r="X118" s="803"/>
      <c r="Y118" s="803"/>
      <c r="Z118" s="803"/>
      <c r="AA118" s="803"/>
      <c r="AB118" s="803"/>
      <c r="AC118" s="803"/>
      <c r="AD118" s="803"/>
      <c r="AE118" s="803"/>
      <c r="AF118" s="803"/>
      <c r="AG118" s="803"/>
      <c r="AH118" s="803"/>
      <c r="AI118" s="803"/>
      <c r="AJ118" s="803"/>
    </row>
    <row r="119" spans="1:36" s="826" customFormat="1" ht="22.8">
      <c r="A119" s="836"/>
      <c r="B119" s="1080"/>
      <c r="C119" s="1040" t="s">
        <v>1084</v>
      </c>
      <c r="D119" s="1166"/>
      <c r="E119" s="1177"/>
      <c r="F119" s="1069"/>
      <c r="G119" s="1060"/>
      <c r="H119" s="1060"/>
      <c r="I119" s="1060"/>
      <c r="J119" s="1060"/>
      <c r="K119" s="1060"/>
      <c r="L119" s="1069"/>
      <c r="M119" s="1060"/>
      <c r="N119" s="1060"/>
      <c r="O119" s="843"/>
      <c r="P119" s="842"/>
      <c r="Q119" s="844"/>
      <c r="R119" s="1076"/>
      <c r="S119" s="825"/>
      <c r="T119" s="1062">
        <f t="shared" si="7"/>
        <v>0</v>
      </c>
      <c r="U119" s="960"/>
      <c r="V119" s="824"/>
      <c r="W119" s="803"/>
      <c r="X119" s="803"/>
      <c r="Y119" s="803"/>
      <c r="Z119" s="803"/>
      <c r="AA119" s="803"/>
      <c r="AB119" s="803"/>
      <c r="AC119" s="803"/>
      <c r="AD119" s="803"/>
      <c r="AE119" s="803"/>
      <c r="AF119" s="803"/>
      <c r="AG119" s="803"/>
      <c r="AH119" s="803"/>
      <c r="AI119" s="803"/>
      <c r="AJ119" s="803"/>
    </row>
    <row r="120" spans="1:36" s="826" customFormat="1" ht="23.4">
      <c r="A120" s="1066">
        <v>18</v>
      </c>
      <c r="B120" s="1161" t="s">
        <v>1032</v>
      </c>
      <c r="C120" s="1161" t="s">
        <v>1033</v>
      </c>
      <c r="D120" s="1168" t="s">
        <v>611</v>
      </c>
      <c r="E120" s="1075">
        <v>2026</v>
      </c>
      <c r="F120" s="1069"/>
      <c r="G120" s="1060"/>
      <c r="H120" s="1060"/>
      <c r="I120" s="1060"/>
      <c r="J120" s="1060"/>
      <c r="K120" s="1060"/>
      <c r="L120" s="1069"/>
      <c r="M120" s="1060"/>
      <c r="N120" s="1060"/>
      <c r="O120" s="843"/>
      <c r="P120" s="842"/>
      <c r="Q120" s="844"/>
      <c r="R120" s="1076">
        <f t="shared" ref="R120:R130" si="8">SUM(F120:Q120)</f>
        <v>0</v>
      </c>
      <c r="S120" s="825"/>
      <c r="T120" s="1062">
        <f t="shared" si="6"/>
        <v>0</v>
      </c>
      <c r="U120" s="960"/>
      <c r="V120" s="824"/>
      <c r="W120" s="803"/>
      <c r="X120" s="803"/>
      <c r="Y120" s="803"/>
      <c r="Z120" s="803"/>
      <c r="AA120" s="803"/>
      <c r="AB120" s="803"/>
      <c r="AC120" s="803"/>
      <c r="AD120" s="803"/>
      <c r="AE120" s="803"/>
      <c r="AF120" s="803"/>
      <c r="AG120" s="803"/>
      <c r="AH120" s="803"/>
      <c r="AI120" s="803"/>
      <c r="AJ120" s="803"/>
    </row>
    <row r="121" spans="1:36" s="826" customFormat="1" ht="23.4">
      <c r="A121" s="836"/>
      <c r="B121" s="1123" t="s">
        <v>1034</v>
      </c>
      <c r="C121" s="1038" t="s">
        <v>993</v>
      </c>
      <c r="D121" s="1167"/>
      <c r="E121" s="1177"/>
      <c r="F121" s="1069"/>
      <c r="G121" s="1060"/>
      <c r="H121" s="1060"/>
      <c r="I121" s="1060"/>
      <c r="J121" s="1060"/>
      <c r="K121" s="1060"/>
      <c r="L121" s="1069"/>
      <c r="M121" s="1060"/>
      <c r="N121" s="1060"/>
      <c r="O121" s="843"/>
      <c r="P121" s="842"/>
      <c r="Q121" s="844"/>
      <c r="R121" s="1076">
        <f t="shared" si="8"/>
        <v>0</v>
      </c>
      <c r="S121" s="825"/>
      <c r="T121" s="1062">
        <f t="shared" si="6"/>
        <v>0</v>
      </c>
      <c r="U121" s="960"/>
      <c r="V121" s="824"/>
      <c r="W121" s="803"/>
      <c r="X121" s="803"/>
      <c r="Y121" s="803"/>
      <c r="Z121" s="803"/>
      <c r="AA121" s="803"/>
      <c r="AB121" s="803"/>
      <c r="AC121" s="803"/>
      <c r="AD121" s="803"/>
      <c r="AE121" s="803"/>
      <c r="AF121" s="803"/>
      <c r="AG121" s="803"/>
      <c r="AH121" s="803"/>
      <c r="AI121" s="803"/>
      <c r="AJ121" s="803"/>
    </row>
    <row r="122" spans="1:36" s="826" customFormat="1" ht="23.4">
      <c r="A122" s="836"/>
      <c r="B122" s="1123"/>
      <c r="C122" s="1123"/>
      <c r="D122" s="1167"/>
      <c r="E122" s="1177"/>
      <c r="F122" s="1069"/>
      <c r="G122" s="1060"/>
      <c r="H122" s="1060"/>
      <c r="I122" s="1060"/>
      <c r="J122" s="1060"/>
      <c r="K122" s="1060"/>
      <c r="L122" s="1069"/>
      <c r="M122" s="1060"/>
      <c r="N122" s="1060"/>
      <c r="O122" s="843"/>
      <c r="P122" s="842"/>
      <c r="Q122" s="844"/>
      <c r="R122" s="1076">
        <f t="shared" si="8"/>
        <v>0</v>
      </c>
      <c r="S122" s="825"/>
      <c r="T122" s="1062">
        <f t="shared" si="6"/>
        <v>0</v>
      </c>
      <c r="U122" s="960"/>
      <c r="V122" s="824"/>
      <c r="W122" s="803"/>
      <c r="X122" s="803"/>
      <c r="Y122" s="803"/>
      <c r="Z122" s="803"/>
      <c r="AA122" s="803"/>
      <c r="AB122" s="803"/>
      <c r="AC122" s="803"/>
      <c r="AD122" s="803"/>
      <c r="AE122" s="803"/>
      <c r="AF122" s="803"/>
      <c r="AG122" s="803"/>
      <c r="AH122" s="803"/>
      <c r="AI122" s="803"/>
      <c r="AJ122" s="803"/>
    </row>
    <row r="123" spans="1:36" s="826" customFormat="1" ht="23.4">
      <c r="A123" s="1066">
        <v>19</v>
      </c>
      <c r="B123" s="1118" t="s">
        <v>1100</v>
      </c>
      <c r="C123" s="1118" t="s">
        <v>1101</v>
      </c>
      <c r="D123" s="1167" t="s">
        <v>611</v>
      </c>
      <c r="E123" s="1075">
        <v>2026</v>
      </c>
      <c r="F123" s="1069"/>
      <c r="G123" s="1060"/>
      <c r="H123" s="1060"/>
      <c r="I123" s="1060"/>
      <c r="J123" s="1060"/>
      <c r="K123" s="1060"/>
      <c r="L123" s="1069"/>
      <c r="M123" s="1060"/>
      <c r="N123" s="1060"/>
      <c r="O123" s="843"/>
      <c r="P123" s="842"/>
      <c r="Q123" s="844"/>
      <c r="R123" s="1076">
        <f t="shared" si="8"/>
        <v>0</v>
      </c>
      <c r="S123" s="825"/>
      <c r="T123" s="1062">
        <f t="shared" si="6"/>
        <v>0</v>
      </c>
      <c r="U123" s="960"/>
      <c r="V123" s="824"/>
      <c r="W123" s="803"/>
      <c r="X123" s="803"/>
      <c r="Y123" s="803"/>
      <c r="Z123" s="803"/>
      <c r="AA123" s="803"/>
      <c r="AB123" s="803"/>
      <c r="AC123" s="803"/>
      <c r="AD123" s="803"/>
      <c r="AE123" s="803"/>
      <c r="AF123" s="803"/>
      <c r="AG123" s="803"/>
      <c r="AH123" s="803"/>
      <c r="AI123" s="803"/>
      <c r="AJ123" s="803"/>
    </row>
    <row r="124" spans="1:36" s="826" customFormat="1" ht="23.4">
      <c r="A124" s="836"/>
      <c r="B124" s="1120" t="s">
        <v>1102</v>
      </c>
      <c r="C124" s="1038" t="s">
        <v>1107</v>
      </c>
      <c r="D124" s="1167"/>
      <c r="E124" s="1177"/>
      <c r="F124" s="1069"/>
      <c r="G124" s="1060"/>
      <c r="H124" s="1060"/>
      <c r="I124" s="1060"/>
      <c r="J124" s="1060"/>
      <c r="K124" s="1060"/>
      <c r="L124" s="1069"/>
      <c r="M124" s="1060"/>
      <c r="N124" s="1060"/>
      <c r="O124" s="843"/>
      <c r="P124" s="842"/>
      <c r="Q124" s="1076">
        <v>7.2</v>
      </c>
      <c r="R124" s="1076">
        <f t="shared" si="8"/>
        <v>7.2</v>
      </c>
      <c r="S124" s="825">
        <v>0.2</v>
      </c>
      <c r="T124" s="1062">
        <f t="shared" si="6"/>
        <v>1.4400000000000002</v>
      </c>
      <c r="U124" s="960"/>
      <c r="V124" s="824" t="s">
        <v>1147</v>
      </c>
      <c r="W124" s="803"/>
      <c r="X124" s="803"/>
      <c r="Y124" s="803"/>
      <c r="Z124" s="803"/>
      <c r="AA124" s="803"/>
      <c r="AB124" s="803"/>
      <c r="AC124" s="803"/>
      <c r="AD124" s="803"/>
      <c r="AE124" s="803"/>
      <c r="AF124" s="803"/>
      <c r="AG124" s="803"/>
      <c r="AH124" s="803"/>
      <c r="AI124" s="803"/>
      <c r="AJ124" s="803"/>
    </row>
    <row r="125" spans="1:36" s="826" customFormat="1" ht="23.4">
      <c r="A125" s="836"/>
      <c r="B125" s="1120" t="s">
        <v>1103</v>
      </c>
      <c r="C125" s="1080" t="s">
        <v>1120</v>
      </c>
      <c r="D125" s="1167"/>
      <c r="E125" s="1177"/>
      <c r="F125" s="1069"/>
      <c r="G125" s="1060"/>
      <c r="H125" s="1060"/>
      <c r="I125" s="1060"/>
      <c r="J125" s="1060"/>
      <c r="K125" s="1060"/>
      <c r="L125" s="1069"/>
      <c r="M125" s="1060"/>
      <c r="N125" s="1060"/>
      <c r="O125" s="843"/>
      <c r="P125" s="842"/>
      <c r="Q125" s="1076">
        <v>0.8</v>
      </c>
      <c r="R125" s="1076">
        <f t="shared" si="8"/>
        <v>0.8</v>
      </c>
      <c r="S125" s="825">
        <v>0.2</v>
      </c>
      <c r="T125" s="1062">
        <f t="shared" si="6"/>
        <v>0.16000000000000003</v>
      </c>
      <c r="U125" s="960"/>
      <c r="V125" s="824"/>
      <c r="W125" s="803"/>
      <c r="X125" s="803"/>
      <c r="Y125" s="803"/>
      <c r="Z125" s="803"/>
      <c r="AA125" s="803"/>
      <c r="AB125" s="803"/>
      <c r="AC125" s="803"/>
      <c r="AD125" s="803"/>
      <c r="AE125" s="803"/>
      <c r="AF125" s="803"/>
      <c r="AG125" s="803"/>
      <c r="AH125" s="803"/>
      <c r="AI125" s="803"/>
      <c r="AJ125" s="803"/>
    </row>
    <row r="126" spans="1:36" s="826" customFormat="1" ht="23.4">
      <c r="A126" s="836"/>
      <c r="B126" s="1123"/>
      <c r="C126" s="1123"/>
      <c r="D126" s="1167"/>
      <c r="E126" s="1177"/>
      <c r="F126" s="1069"/>
      <c r="G126" s="1060"/>
      <c r="H126" s="1060"/>
      <c r="I126" s="1060"/>
      <c r="J126" s="1060"/>
      <c r="K126" s="1060"/>
      <c r="L126" s="1069"/>
      <c r="M126" s="1060"/>
      <c r="N126" s="1060"/>
      <c r="O126" s="843"/>
      <c r="P126" s="842"/>
      <c r="Q126" s="844"/>
      <c r="R126" s="1076">
        <f t="shared" si="8"/>
        <v>0</v>
      </c>
      <c r="S126" s="825"/>
      <c r="T126" s="1062">
        <f t="shared" si="6"/>
        <v>0</v>
      </c>
      <c r="U126" s="960"/>
      <c r="V126" s="824"/>
      <c r="W126" s="803"/>
      <c r="X126" s="803"/>
      <c r="Y126" s="803"/>
      <c r="Z126" s="803"/>
      <c r="AA126" s="803"/>
      <c r="AB126" s="803"/>
      <c r="AC126" s="803"/>
      <c r="AD126" s="803"/>
      <c r="AE126" s="803"/>
      <c r="AF126" s="803"/>
      <c r="AG126" s="803"/>
      <c r="AH126" s="803"/>
      <c r="AI126" s="803"/>
      <c r="AJ126" s="803"/>
    </row>
    <row r="127" spans="1:36" s="826" customFormat="1" ht="22.8">
      <c r="A127" s="1066">
        <v>20</v>
      </c>
      <c r="B127" s="823" t="s">
        <v>1104</v>
      </c>
      <c r="C127" s="823" t="s">
        <v>1044</v>
      </c>
      <c r="D127" s="1168" t="s">
        <v>611</v>
      </c>
      <c r="E127" s="1075">
        <v>2026</v>
      </c>
      <c r="F127" s="1069"/>
      <c r="G127" s="1060"/>
      <c r="H127" s="1060"/>
      <c r="I127" s="1060"/>
      <c r="J127" s="1060"/>
      <c r="K127" s="1060"/>
      <c r="L127" s="1069"/>
      <c r="M127" s="1060"/>
      <c r="N127" s="1060"/>
      <c r="O127" s="843"/>
      <c r="P127" s="842"/>
      <c r="Q127" s="844"/>
      <c r="R127" s="1076">
        <f t="shared" si="8"/>
        <v>0</v>
      </c>
      <c r="S127" s="825"/>
      <c r="T127" s="1062">
        <f t="shared" si="6"/>
        <v>0</v>
      </c>
      <c r="U127" s="960"/>
      <c r="V127" s="824" t="s">
        <v>1089</v>
      </c>
      <c r="W127" s="803"/>
      <c r="X127" s="803"/>
      <c r="Y127" s="803"/>
      <c r="Z127" s="803"/>
      <c r="AA127" s="803"/>
      <c r="AB127" s="803"/>
      <c r="AC127" s="803"/>
      <c r="AD127" s="803"/>
      <c r="AE127" s="803"/>
      <c r="AF127" s="803"/>
      <c r="AG127" s="803"/>
      <c r="AH127" s="803"/>
      <c r="AI127" s="803"/>
      <c r="AJ127" s="803"/>
    </row>
    <row r="128" spans="1:36" s="826" customFormat="1" ht="23.4">
      <c r="A128" s="836"/>
      <c r="B128" s="1120" t="s">
        <v>1105</v>
      </c>
      <c r="C128" s="1037" t="s">
        <v>1106</v>
      </c>
      <c r="D128" s="1167"/>
      <c r="E128" s="1177"/>
      <c r="F128" s="1069"/>
      <c r="G128" s="1060"/>
      <c r="H128" s="1060"/>
      <c r="I128" s="1060"/>
      <c r="J128" s="1060"/>
      <c r="K128" s="1060"/>
      <c r="L128" s="1069"/>
      <c r="M128" s="1060"/>
      <c r="N128" s="1060">
        <v>0.15</v>
      </c>
      <c r="O128" s="843"/>
      <c r="P128" s="842">
        <f>0.5*0.7</f>
        <v>0.35</v>
      </c>
      <c r="Q128" s="844"/>
      <c r="R128" s="1076">
        <f t="shared" si="8"/>
        <v>0.5</v>
      </c>
      <c r="S128" s="825">
        <v>0.2</v>
      </c>
      <c r="T128" s="1062">
        <f t="shared" si="6"/>
        <v>0.1</v>
      </c>
      <c r="U128" s="960"/>
      <c r="V128" s="824"/>
      <c r="W128" s="803"/>
      <c r="X128" s="803"/>
      <c r="Y128" s="803"/>
      <c r="Z128" s="803"/>
      <c r="AA128" s="803"/>
      <c r="AB128" s="803"/>
      <c r="AC128" s="803"/>
      <c r="AD128" s="803"/>
      <c r="AE128" s="803"/>
      <c r="AF128" s="803"/>
      <c r="AG128" s="803"/>
      <c r="AH128" s="803"/>
      <c r="AI128" s="803"/>
      <c r="AJ128" s="803"/>
    </row>
    <row r="129" spans="1:36" s="826" customFormat="1" ht="70.2">
      <c r="A129" s="836"/>
      <c r="B129" s="1160" t="s">
        <v>1090</v>
      </c>
      <c r="C129" s="1159"/>
      <c r="D129" s="1167"/>
      <c r="E129" s="1177"/>
      <c r="F129" s="1069"/>
      <c r="G129" s="1060"/>
      <c r="H129" s="1060"/>
      <c r="I129" s="1060"/>
      <c r="J129" s="1060"/>
      <c r="K129" s="1060"/>
      <c r="L129" s="1069"/>
      <c r="M129" s="1060"/>
      <c r="N129" s="1060"/>
      <c r="O129" s="843"/>
      <c r="P129" s="842"/>
      <c r="Q129" s="844"/>
      <c r="R129" s="1076">
        <f t="shared" si="8"/>
        <v>0</v>
      </c>
      <c r="S129" s="825"/>
      <c r="T129" s="1062">
        <f t="shared" si="6"/>
        <v>0</v>
      </c>
      <c r="U129" s="960"/>
      <c r="V129" s="824"/>
      <c r="W129" s="803"/>
      <c r="X129" s="803"/>
      <c r="Y129" s="803"/>
      <c r="Z129" s="803"/>
      <c r="AA129" s="803"/>
      <c r="AB129" s="803"/>
      <c r="AC129" s="803"/>
      <c r="AD129" s="803"/>
      <c r="AE129" s="803"/>
      <c r="AF129" s="803"/>
      <c r="AG129" s="803"/>
      <c r="AH129" s="803"/>
      <c r="AI129" s="803"/>
      <c r="AJ129" s="803"/>
    </row>
    <row r="130" spans="1:36" s="826" customFormat="1" ht="23.4">
      <c r="A130" s="836"/>
      <c r="B130" s="1156" t="s">
        <v>1108</v>
      </c>
      <c r="C130" s="1159"/>
      <c r="D130" s="1167"/>
      <c r="E130" s="1177"/>
      <c r="F130" s="1069"/>
      <c r="G130" s="1060"/>
      <c r="H130" s="1060"/>
      <c r="I130" s="1060"/>
      <c r="J130" s="1060"/>
      <c r="K130" s="1060"/>
      <c r="L130" s="1069"/>
      <c r="M130" s="1060"/>
      <c r="N130" s="1060"/>
      <c r="O130" s="843"/>
      <c r="P130" s="842"/>
      <c r="Q130" s="844"/>
      <c r="R130" s="1076">
        <f t="shared" si="8"/>
        <v>0</v>
      </c>
      <c r="S130" s="825"/>
      <c r="T130" s="1062">
        <f t="shared" si="6"/>
        <v>0</v>
      </c>
      <c r="U130" s="960"/>
      <c r="V130" s="824"/>
      <c r="W130" s="803"/>
      <c r="X130" s="803"/>
      <c r="Y130" s="803"/>
      <c r="Z130" s="803"/>
      <c r="AA130" s="803"/>
      <c r="AB130" s="803"/>
      <c r="AC130" s="803"/>
      <c r="AD130" s="803"/>
      <c r="AE130" s="803"/>
      <c r="AF130" s="803"/>
      <c r="AG130" s="803"/>
      <c r="AH130" s="803"/>
      <c r="AI130" s="803"/>
      <c r="AJ130" s="803"/>
    </row>
    <row r="131" spans="1:36" s="826" customFormat="1" ht="22.8">
      <c r="A131" s="836">
        <v>21</v>
      </c>
      <c r="B131" s="823" t="s">
        <v>984</v>
      </c>
      <c r="C131" s="1041" t="s">
        <v>738</v>
      </c>
      <c r="D131" s="1168" t="s">
        <v>611</v>
      </c>
      <c r="E131" s="1075">
        <v>2027</v>
      </c>
      <c r="F131" s="1069"/>
      <c r="G131" s="1060"/>
      <c r="H131" s="1060"/>
      <c r="I131" s="1060"/>
      <c r="J131" s="1060"/>
      <c r="K131" s="1060"/>
      <c r="L131" s="843"/>
      <c r="M131" s="842"/>
      <c r="N131" s="842"/>
      <c r="O131" s="843"/>
      <c r="P131" s="842"/>
      <c r="Q131" s="844"/>
      <c r="R131" s="1076">
        <f t="shared" ref="R131:R158" si="9">SUM(F131:Q131)</f>
        <v>0</v>
      </c>
      <c r="S131" s="825"/>
      <c r="T131" s="1062">
        <f t="shared" si="6"/>
        <v>0</v>
      </c>
      <c r="U131" s="842"/>
      <c r="V131" s="824" t="s">
        <v>798</v>
      </c>
      <c r="W131" s="803"/>
      <c r="X131" s="803"/>
      <c r="Y131" s="803"/>
      <c r="Z131" s="803"/>
      <c r="AA131" s="803"/>
      <c r="AB131" s="803"/>
      <c r="AC131" s="803"/>
      <c r="AD131" s="803"/>
      <c r="AE131" s="803"/>
      <c r="AF131" s="803"/>
      <c r="AG131" s="803"/>
      <c r="AH131" s="803"/>
      <c r="AI131" s="803"/>
      <c r="AJ131" s="803"/>
    </row>
    <row r="132" spans="1:36" s="826" customFormat="1" ht="22.8">
      <c r="A132" s="836"/>
      <c r="B132" s="823" t="s">
        <v>971</v>
      </c>
      <c r="C132" s="1038" t="s">
        <v>615</v>
      </c>
      <c r="D132" s="1166"/>
      <c r="E132" s="1176"/>
      <c r="F132" s="1069"/>
      <c r="G132" s="1060"/>
      <c r="H132" s="1060"/>
      <c r="I132" s="1060"/>
      <c r="J132" s="1060"/>
      <c r="K132" s="1060"/>
      <c r="L132" s="843"/>
      <c r="M132" s="842"/>
      <c r="N132" s="842"/>
      <c r="O132" s="843"/>
      <c r="P132" s="842"/>
      <c r="Q132" s="844"/>
      <c r="R132" s="1076">
        <f t="shared" si="9"/>
        <v>0</v>
      </c>
      <c r="S132" s="825"/>
      <c r="T132" s="1062">
        <f t="shared" si="6"/>
        <v>0</v>
      </c>
      <c r="U132" s="842"/>
      <c r="V132" s="824"/>
      <c r="W132" s="803"/>
      <c r="X132" s="803"/>
      <c r="Y132" s="803"/>
      <c r="Z132" s="803"/>
      <c r="AA132" s="803"/>
      <c r="AB132" s="803"/>
      <c r="AC132" s="803"/>
      <c r="AD132" s="803"/>
      <c r="AE132" s="803"/>
      <c r="AF132" s="803"/>
      <c r="AG132" s="803"/>
      <c r="AH132" s="803"/>
      <c r="AI132" s="803"/>
      <c r="AJ132" s="803"/>
    </row>
    <row r="133" spans="1:36" s="826" customFormat="1" ht="22.8">
      <c r="A133" s="836"/>
      <c r="B133" s="823"/>
      <c r="C133" s="1038" t="s">
        <v>688</v>
      </c>
      <c r="D133" s="1166"/>
      <c r="E133" s="1176"/>
      <c r="F133" s="1069"/>
      <c r="G133" s="1060"/>
      <c r="H133" s="1060"/>
      <c r="I133" s="1060"/>
      <c r="J133" s="1060"/>
      <c r="K133" s="1060"/>
      <c r="L133" s="843"/>
      <c r="M133" s="842"/>
      <c r="N133" s="842"/>
      <c r="O133" s="843"/>
      <c r="P133" s="842"/>
      <c r="Q133" s="844"/>
      <c r="R133" s="1076">
        <f t="shared" si="9"/>
        <v>0</v>
      </c>
      <c r="S133" s="825"/>
      <c r="T133" s="1062">
        <f t="shared" si="6"/>
        <v>0</v>
      </c>
      <c r="U133" s="842"/>
      <c r="V133" s="824"/>
      <c r="W133" s="803"/>
      <c r="X133" s="803"/>
      <c r="Y133" s="803"/>
      <c r="Z133" s="803"/>
      <c r="AA133" s="803"/>
      <c r="AB133" s="803"/>
      <c r="AC133" s="803"/>
      <c r="AD133" s="803"/>
      <c r="AE133" s="803"/>
      <c r="AF133" s="803"/>
      <c r="AG133" s="803"/>
      <c r="AH133" s="803"/>
      <c r="AI133" s="803"/>
      <c r="AJ133" s="803"/>
    </row>
    <row r="134" spans="1:36" s="826" customFormat="1" ht="22.8">
      <c r="A134" s="836"/>
      <c r="B134" s="1040" t="s">
        <v>736</v>
      </c>
      <c r="C134" s="1038"/>
      <c r="D134" s="1166"/>
      <c r="E134" s="1176"/>
      <c r="F134" s="1069"/>
      <c r="G134" s="1060"/>
      <c r="H134" s="1060"/>
      <c r="I134" s="1060"/>
      <c r="J134" s="1060"/>
      <c r="K134" s="1060"/>
      <c r="L134" s="843"/>
      <c r="M134" s="842"/>
      <c r="N134" s="842"/>
      <c r="O134" s="843"/>
      <c r="P134" s="842"/>
      <c r="Q134" s="844"/>
      <c r="R134" s="1076">
        <f t="shared" si="9"/>
        <v>0</v>
      </c>
      <c r="S134" s="825"/>
      <c r="T134" s="1062">
        <f t="shared" si="6"/>
        <v>0</v>
      </c>
      <c r="U134" s="842"/>
      <c r="V134" s="824"/>
      <c r="W134" s="803"/>
      <c r="X134" s="803"/>
      <c r="Y134" s="803"/>
      <c r="Z134" s="803"/>
      <c r="AA134" s="803"/>
      <c r="AB134" s="803"/>
      <c r="AC134" s="803"/>
      <c r="AD134" s="803"/>
      <c r="AE134" s="803"/>
      <c r="AF134" s="803"/>
      <c r="AG134" s="803"/>
      <c r="AH134" s="803"/>
      <c r="AI134" s="803"/>
      <c r="AJ134" s="803"/>
    </row>
    <row r="135" spans="1:36" s="826" customFormat="1" ht="22.8">
      <c r="A135" s="836">
        <v>22</v>
      </c>
      <c r="B135" s="823" t="s">
        <v>985</v>
      </c>
      <c r="C135" s="1041" t="s">
        <v>734</v>
      </c>
      <c r="D135" s="1168" t="s">
        <v>611</v>
      </c>
      <c r="E135" s="1075">
        <v>2027</v>
      </c>
      <c r="F135" s="1069"/>
      <c r="G135" s="1060"/>
      <c r="H135" s="1060"/>
      <c r="I135" s="1060"/>
      <c r="J135" s="1060"/>
      <c r="K135" s="1060"/>
      <c r="L135" s="843"/>
      <c r="M135" s="842"/>
      <c r="N135" s="842"/>
      <c r="O135" s="843"/>
      <c r="P135" s="842"/>
      <c r="Q135" s="844"/>
      <c r="R135" s="1076">
        <f t="shared" si="9"/>
        <v>0</v>
      </c>
      <c r="S135" s="825"/>
      <c r="T135" s="1062">
        <f t="shared" si="6"/>
        <v>0</v>
      </c>
      <c r="U135" s="842"/>
      <c r="V135" s="824" t="s">
        <v>758</v>
      </c>
      <c r="W135" s="803"/>
      <c r="X135" s="803"/>
      <c r="Y135" s="803"/>
      <c r="Z135" s="803"/>
      <c r="AA135" s="803"/>
      <c r="AB135" s="803"/>
      <c r="AC135" s="803"/>
      <c r="AD135" s="803"/>
      <c r="AE135" s="803"/>
      <c r="AF135" s="803"/>
      <c r="AG135" s="803"/>
      <c r="AH135" s="803"/>
      <c r="AI135" s="803"/>
      <c r="AJ135" s="803"/>
    </row>
    <row r="136" spans="1:36" s="826" customFormat="1" ht="22.8">
      <c r="A136" s="836"/>
      <c r="B136" s="823" t="s">
        <v>971</v>
      </c>
      <c r="C136" s="1038" t="s">
        <v>615</v>
      </c>
      <c r="D136" s="1166"/>
      <c r="E136" s="1176"/>
      <c r="F136" s="1069"/>
      <c r="G136" s="1060"/>
      <c r="H136" s="1060"/>
      <c r="I136" s="1060"/>
      <c r="J136" s="1060"/>
      <c r="K136" s="1060"/>
      <c r="L136" s="843"/>
      <c r="M136" s="842"/>
      <c r="N136" s="842"/>
      <c r="O136" s="843"/>
      <c r="P136" s="842"/>
      <c r="Q136" s="844"/>
      <c r="R136" s="1076">
        <f t="shared" si="9"/>
        <v>0</v>
      </c>
      <c r="S136" s="825"/>
      <c r="T136" s="1062">
        <f t="shared" si="6"/>
        <v>0</v>
      </c>
      <c r="U136" s="842"/>
      <c r="V136" s="824"/>
      <c r="W136" s="803"/>
      <c r="X136" s="803"/>
      <c r="Y136" s="803"/>
      <c r="Z136" s="803"/>
      <c r="AA136" s="803"/>
      <c r="AB136" s="803"/>
      <c r="AC136" s="803"/>
      <c r="AD136" s="803"/>
      <c r="AE136" s="803"/>
      <c r="AF136" s="803"/>
      <c r="AG136" s="803"/>
      <c r="AH136" s="803"/>
      <c r="AI136" s="803"/>
      <c r="AJ136" s="803"/>
    </row>
    <row r="137" spans="1:36" s="826" customFormat="1" ht="22.8">
      <c r="A137" s="836"/>
      <c r="B137" s="823"/>
      <c r="C137" s="1038" t="s">
        <v>688</v>
      </c>
      <c r="D137" s="1166"/>
      <c r="E137" s="1176"/>
      <c r="F137" s="1069"/>
      <c r="G137" s="1060"/>
      <c r="H137" s="1060"/>
      <c r="I137" s="1060"/>
      <c r="J137" s="1060"/>
      <c r="K137" s="1060"/>
      <c r="L137" s="843"/>
      <c r="M137" s="842"/>
      <c r="N137" s="842"/>
      <c r="O137" s="843"/>
      <c r="P137" s="842"/>
      <c r="Q137" s="844"/>
      <c r="R137" s="1076">
        <f t="shared" si="9"/>
        <v>0</v>
      </c>
      <c r="S137" s="825"/>
      <c r="T137" s="1062">
        <f t="shared" si="6"/>
        <v>0</v>
      </c>
      <c r="U137" s="842"/>
      <c r="V137" s="824"/>
      <c r="W137" s="803"/>
      <c r="X137" s="803"/>
      <c r="Y137" s="803"/>
      <c r="Z137" s="803"/>
      <c r="AA137" s="803"/>
      <c r="AB137" s="803"/>
      <c r="AC137" s="803"/>
      <c r="AD137" s="803"/>
      <c r="AE137" s="803"/>
      <c r="AF137" s="803"/>
      <c r="AG137" s="803"/>
      <c r="AH137" s="803"/>
      <c r="AI137" s="803"/>
      <c r="AJ137" s="803"/>
    </row>
    <row r="138" spans="1:36" s="826" customFormat="1" ht="22.8">
      <c r="A138" s="836">
        <v>23</v>
      </c>
      <c r="B138" s="823" t="s">
        <v>1003</v>
      </c>
      <c r="C138" s="1041" t="s">
        <v>991</v>
      </c>
      <c r="D138" s="1168" t="s">
        <v>611</v>
      </c>
      <c r="E138" s="1176" t="s">
        <v>992</v>
      </c>
      <c r="F138" s="1069"/>
      <c r="G138" s="1060"/>
      <c r="H138" s="1060"/>
      <c r="I138" s="1060"/>
      <c r="J138" s="1060"/>
      <c r="K138" s="1060"/>
      <c r="L138" s="1069"/>
      <c r="M138" s="1060"/>
      <c r="N138" s="1060"/>
      <c r="O138" s="843"/>
      <c r="P138" s="842"/>
      <c r="Q138" s="844"/>
      <c r="R138" s="1076">
        <f t="shared" si="9"/>
        <v>0</v>
      </c>
      <c r="S138" s="825"/>
      <c r="T138" s="1062">
        <f t="shared" si="6"/>
        <v>0</v>
      </c>
      <c r="U138" s="960"/>
      <c r="V138" s="824" t="s">
        <v>998</v>
      </c>
      <c r="W138" s="803"/>
      <c r="X138" s="803"/>
      <c r="Y138" s="803"/>
      <c r="Z138" s="803"/>
      <c r="AA138" s="803"/>
      <c r="AB138" s="803"/>
      <c r="AC138" s="803"/>
      <c r="AD138" s="803"/>
      <c r="AE138" s="803"/>
      <c r="AF138" s="803"/>
      <c r="AG138" s="803"/>
      <c r="AH138" s="803"/>
      <c r="AI138" s="803"/>
      <c r="AJ138" s="803"/>
    </row>
    <row r="139" spans="1:36" s="826" customFormat="1" ht="22.8">
      <c r="A139" s="836"/>
      <c r="B139" s="1080" t="s">
        <v>996</v>
      </c>
      <c r="C139" s="1038" t="s">
        <v>973</v>
      </c>
      <c r="D139" s="1167"/>
      <c r="E139" s="1177"/>
      <c r="F139" s="1069"/>
      <c r="G139" s="1060"/>
      <c r="H139" s="1060"/>
      <c r="I139" s="1060"/>
      <c r="J139" s="1060"/>
      <c r="K139" s="1060"/>
      <c r="L139" s="1069"/>
      <c r="M139" s="1060"/>
      <c r="N139" s="1060"/>
      <c r="O139" s="843"/>
      <c r="P139" s="842"/>
      <c r="Q139" s="844"/>
      <c r="R139" s="1076">
        <f t="shared" si="9"/>
        <v>0</v>
      </c>
      <c r="S139" s="825"/>
      <c r="T139" s="1062">
        <f t="shared" si="6"/>
        <v>0</v>
      </c>
      <c r="U139" s="842">
        <v>2.5</v>
      </c>
      <c r="V139" s="824"/>
      <c r="W139" s="803"/>
      <c r="X139" s="803"/>
      <c r="Y139" s="803"/>
      <c r="Z139" s="803"/>
      <c r="AA139" s="803"/>
      <c r="AB139" s="803"/>
      <c r="AC139" s="803"/>
      <c r="AD139" s="803"/>
      <c r="AE139" s="803"/>
      <c r="AF139" s="803"/>
      <c r="AG139" s="803"/>
      <c r="AH139" s="803"/>
      <c r="AI139" s="803"/>
      <c r="AJ139" s="803"/>
    </row>
    <row r="140" spans="1:36" s="826" customFormat="1" ht="22.8">
      <c r="A140" s="836"/>
      <c r="B140" s="1080" t="s">
        <v>1115</v>
      </c>
      <c r="C140" s="1038" t="s">
        <v>993</v>
      </c>
      <c r="D140" s="1167"/>
      <c r="E140" s="1177"/>
      <c r="F140" s="1069"/>
      <c r="G140" s="1060"/>
      <c r="H140" s="1060"/>
      <c r="I140" s="1060"/>
      <c r="J140" s="1060"/>
      <c r="K140" s="1060"/>
      <c r="L140" s="1069"/>
      <c r="M140" s="1060"/>
      <c r="N140" s="1060"/>
      <c r="O140" s="843"/>
      <c r="P140" s="842"/>
      <c r="Q140" s="844"/>
      <c r="R140" s="1076">
        <f t="shared" si="9"/>
        <v>0</v>
      </c>
      <c r="S140" s="825"/>
      <c r="T140" s="1062">
        <f t="shared" si="6"/>
        <v>0</v>
      </c>
      <c r="U140" s="842">
        <v>1.3</v>
      </c>
      <c r="V140" s="824"/>
      <c r="W140" s="803"/>
      <c r="X140" s="803"/>
      <c r="Y140" s="803"/>
      <c r="Z140" s="803"/>
      <c r="AA140" s="803"/>
      <c r="AB140" s="803"/>
      <c r="AC140" s="803"/>
      <c r="AD140" s="803"/>
      <c r="AE140" s="803"/>
      <c r="AF140" s="803"/>
      <c r="AG140" s="803"/>
      <c r="AH140" s="803"/>
      <c r="AI140" s="803"/>
      <c r="AJ140" s="803"/>
    </row>
    <row r="141" spans="1:36" s="826" customFormat="1" ht="22.8">
      <c r="A141" s="836"/>
      <c r="B141" s="1080" t="s">
        <v>999</v>
      </c>
      <c r="C141" s="1038" t="s">
        <v>994</v>
      </c>
      <c r="D141" s="1167"/>
      <c r="E141" s="1177"/>
      <c r="F141" s="1069"/>
      <c r="G141" s="1060"/>
      <c r="H141" s="1060"/>
      <c r="I141" s="1060"/>
      <c r="J141" s="1060"/>
      <c r="K141" s="1060"/>
      <c r="L141" s="1069"/>
      <c r="M141" s="1060"/>
      <c r="N141" s="1060"/>
      <c r="O141" s="843"/>
      <c r="P141" s="842"/>
      <c r="Q141" s="844"/>
      <c r="R141" s="1076">
        <f t="shared" si="9"/>
        <v>0</v>
      </c>
      <c r="S141" s="825"/>
      <c r="T141" s="1062">
        <f t="shared" si="6"/>
        <v>0</v>
      </c>
      <c r="U141" s="842">
        <v>0.04</v>
      </c>
      <c r="V141" s="824"/>
      <c r="W141" s="803"/>
      <c r="X141" s="803"/>
      <c r="Y141" s="803"/>
      <c r="Z141" s="803"/>
      <c r="AA141" s="803"/>
      <c r="AB141" s="803"/>
      <c r="AC141" s="803"/>
      <c r="AD141" s="803"/>
      <c r="AE141" s="803"/>
      <c r="AF141" s="803"/>
      <c r="AG141" s="803"/>
      <c r="AH141" s="803"/>
      <c r="AI141" s="803"/>
      <c r="AJ141" s="803"/>
    </row>
    <row r="142" spans="1:36" s="826" customFormat="1" ht="22.8">
      <c r="A142" s="836"/>
      <c r="B142" s="1080" t="s">
        <v>995</v>
      </c>
      <c r="C142" s="1038" t="s">
        <v>615</v>
      </c>
      <c r="D142" s="1167"/>
      <c r="E142" s="1177"/>
      <c r="F142" s="1069"/>
      <c r="G142" s="1060"/>
      <c r="H142" s="1060"/>
      <c r="I142" s="1060"/>
      <c r="J142" s="1060"/>
      <c r="K142" s="1060"/>
      <c r="L142" s="1069"/>
      <c r="M142" s="1060"/>
      <c r="N142" s="1060"/>
      <c r="O142" s="843"/>
      <c r="P142" s="842"/>
      <c r="Q142" s="844"/>
      <c r="R142" s="1076">
        <f t="shared" si="9"/>
        <v>0</v>
      </c>
      <c r="S142" s="825"/>
      <c r="T142" s="1062">
        <f t="shared" si="6"/>
        <v>0</v>
      </c>
      <c r="U142" s="960"/>
      <c r="V142" s="824"/>
      <c r="W142" s="803"/>
      <c r="X142" s="803"/>
      <c r="Y142" s="803"/>
      <c r="Z142" s="803"/>
      <c r="AA142" s="803"/>
      <c r="AB142" s="803"/>
      <c r="AC142" s="803"/>
      <c r="AD142" s="803"/>
      <c r="AE142" s="803"/>
      <c r="AF142" s="803"/>
      <c r="AG142" s="803"/>
      <c r="AH142" s="803"/>
      <c r="AI142" s="803"/>
      <c r="AJ142" s="803"/>
    </row>
    <row r="143" spans="1:36" s="826" customFormat="1" ht="22.8">
      <c r="A143" s="836">
        <v>24</v>
      </c>
      <c r="B143" s="823" t="s">
        <v>1070</v>
      </c>
      <c r="C143" s="1041" t="s">
        <v>1071</v>
      </c>
      <c r="D143" s="1168" t="s">
        <v>717</v>
      </c>
      <c r="E143" s="1176" t="s">
        <v>951</v>
      </c>
      <c r="F143" s="1069"/>
      <c r="G143" s="1060"/>
      <c r="H143" s="1060"/>
      <c r="I143" s="1060"/>
      <c r="J143" s="1060"/>
      <c r="K143" s="1060"/>
      <c r="L143" s="843"/>
      <c r="M143" s="842"/>
      <c r="N143" s="842"/>
      <c r="O143" s="843"/>
      <c r="P143" s="842"/>
      <c r="Q143" s="844"/>
      <c r="R143" s="1076">
        <f t="shared" si="9"/>
        <v>0</v>
      </c>
      <c r="S143" s="825"/>
      <c r="T143" s="1062">
        <f t="shared" si="6"/>
        <v>0</v>
      </c>
      <c r="U143" s="842"/>
      <c r="V143" s="824" t="s">
        <v>1113</v>
      </c>
      <c r="W143" s="803"/>
      <c r="X143" s="803"/>
      <c r="Y143" s="803"/>
      <c r="Z143" s="803"/>
      <c r="AA143" s="803"/>
      <c r="AB143" s="803"/>
      <c r="AC143" s="803"/>
      <c r="AD143" s="803"/>
      <c r="AE143" s="803"/>
      <c r="AF143" s="803"/>
      <c r="AG143" s="803"/>
      <c r="AH143" s="803"/>
      <c r="AI143" s="803"/>
      <c r="AJ143" s="803"/>
    </row>
    <row r="144" spans="1:36" s="826" customFormat="1" ht="22.8">
      <c r="A144" s="836"/>
      <c r="B144" s="823"/>
      <c r="C144" s="1038" t="s">
        <v>973</v>
      </c>
      <c r="D144" s="1170"/>
      <c r="E144" s="1176"/>
      <c r="F144" s="1069"/>
      <c r="G144" s="1060"/>
      <c r="H144" s="1060"/>
      <c r="I144" s="1060"/>
      <c r="J144" s="1060"/>
      <c r="K144" s="1060"/>
      <c r="L144" s="843"/>
      <c r="M144" s="842"/>
      <c r="N144" s="842"/>
      <c r="O144" s="843"/>
      <c r="P144" s="842"/>
      <c r="Q144" s="844"/>
      <c r="R144" s="1076">
        <f t="shared" si="9"/>
        <v>0</v>
      </c>
      <c r="S144" s="825"/>
      <c r="T144" s="1062">
        <f t="shared" si="6"/>
        <v>0</v>
      </c>
      <c r="U144" s="842"/>
      <c r="V144" s="824"/>
      <c r="W144" s="803"/>
      <c r="X144" s="803"/>
      <c r="Y144" s="803"/>
      <c r="Z144" s="803"/>
      <c r="AA144" s="803"/>
      <c r="AB144" s="803"/>
      <c r="AC144" s="803"/>
      <c r="AD144" s="803"/>
      <c r="AE144" s="803"/>
      <c r="AF144" s="803"/>
      <c r="AG144" s="803"/>
      <c r="AH144" s="803"/>
      <c r="AI144" s="803"/>
      <c r="AJ144" s="803"/>
    </row>
    <row r="145" spans="1:36" s="826" customFormat="1" ht="22.8">
      <c r="A145" s="836"/>
      <c r="B145" s="823"/>
      <c r="C145" s="1038" t="s">
        <v>615</v>
      </c>
      <c r="D145" s="1170"/>
      <c r="E145" s="1176"/>
      <c r="F145" s="1069"/>
      <c r="G145" s="1060"/>
      <c r="H145" s="1060"/>
      <c r="I145" s="1060"/>
      <c r="J145" s="1060"/>
      <c r="K145" s="1060"/>
      <c r="L145" s="843"/>
      <c r="M145" s="842"/>
      <c r="N145" s="842"/>
      <c r="O145" s="843"/>
      <c r="P145" s="842"/>
      <c r="Q145" s="844"/>
      <c r="R145" s="1076">
        <f t="shared" si="9"/>
        <v>0</v>
      </c>
      <c r="S145" s="825"/>
      <c r="T145" s="1062">
        <f t="shared" si="6"/>
        <v>0</v>
      </c>
      <c r="U145" s="842"/>
      <c r="V145" s="824"/>
      <c r="W145" s="803"/>
      <c r="X145" s="803"/>
      <c r="Y145" s="803"/>
      <c r="Z145" s="803"/>
      <c r="AA145" s="803"/>
      <c r="AB145" s="803"/>
      <c r="AC145" s="803"/>
      <c r="AD145" s="803"/>
      <c r="AE145" s="803"/>
      <c r="AF145" s="803"/>
      <c r="AG145" s="803"/>
      <c r="AH145" s="803"/>
      <c r="AI145" s="803"/>
      <c r="AJ145" s="803"/>
    </row>
    <row r="146" spans="1:36" s="826" customFormat="1" ht="23.4">
      <c r="A146" s="836"/>
      <c r="B146" s="1138" t="s">
        <v>1112</v>
      </c>
      <c r="C146" s="1138"/>
      <c r="D146" s="1169"/>
      <c r="E146" s="1176"/>
      <c r="F146" s="1069"/>
      <c r="G146" s="1060"/>
      <c r="H146" s="1060"/>
      <c r="I146" s="1060"/>
      <c r="J146" s="1060"/>
      <c r="K146" s="1060"/>
      <c r="L146" s="843"/>
      <c r="M146" s="842"/>
      <c r="N146" s="842"/>
      <c r="O146" s="843"/>
      <c r="P146" s="842"/>
      <c r="Q146" s="844"/>
      <c r="R146" s="1076">
        <f t="shared" si="9"/>
        <v>0</v>
      </c>
      <c r="S146" s="825"/>
      <c r="T146" s="1062">
        <f t="shared" si="6"/>
        <v>0</v>
      </c>
      <c r="U146" s="842"/>
      <c r="V146" s="824"/>
      <c r="W146" s="803"/>
      <c r="X146" s="803"/>
      <c r="Y146" s="803"/>
      <c r="Z146" s="803"/>
      <c r="AA146" s="803"/>
      <c r="AB146" s="803"/>
      <c r="AC146" s="803"/>
      <c r="AD146" s="803"/>
      <c r="AE146" s="803"/>
      <c r="AF146" s="803"/>
      <c r="AG146" s="803"/>
      <c r="AH146" s="803"/>
      <c r="AI146" s="803"/>
      <c r="AJ146" s="803"/>
    </row>
    <row r="147" spans="1:36" s="826" customFormat="1" ht="22.8">
      <c r="A147" s="836">
        <v>25</v>
      </c>
      <c r="B147" s="823" t="s">
        <v>1038</v>
      </c>
      <c r="C147" s="823" t="s">
        <v>1039</v>
      </c>
      <c r="D147" s="1168" t="s">
        <v>619</v>
      </c>
      <c r="E147" s="1075">
        <v>2026</v>
      </c>
      <c r="F147" s="1069"/>
      <c r="G147" s="1060"/>
      <c r="H147" s="1060"/>
      <c r="I147" s="1060"/>
      <c r="J147" s="1060"/>
      <c r="K147" s="1060"/>
      <c r="L147" s="843"/>
      <c r="M147" s="842"/>
      <c r="N147" s="842"/>
      <c r="O147" s="843"/>
      <c r="P147" s="842"/>
      <c r="Q147" s="844"/>
      <c r="R147" s="1076">
        <f>SUM(F147:Q147)</f>
        <v>0</v>
      </c>
      <c r="S147" s="825"/>
      <c r="T147" s="1062">
        <f t="shared" si="6"/>
        <v>0</v>
      </c>
      <c r="U147" s="842"/>
      <c r="V147" s="824"/>
      <c r="W147" s="803"/>
      <c r="X147" s="803"/>
      <c r="Y147" s="803"/>
      <c r="Z147" s="803"/>
      <c r="AA147" s="803"/>
      <c r="AB147" s="803"/>
      <c r="AC147" s="803"/>
      <c r="AD147" s="803"/>
      <c r="AE147" s="803"/>
      <c r="AF147" s="803"/>
      <c r="AG147" s="803"/>
      <c r="AH147" s="803"/>
      <c r="AI147" s="803"/>
      <c r="AJ147" s="803"/>
    </row>
    <row r="148" spans="1:36" s="826" customFormat="1" ht="23.4">
      <c r="A148" s="836"/>
      <c r="B148" s="1038" t="s">
        <v>1041</v>
      </c>
      <c r="C148" s="1038" t="s">
        <v>1066</v>
      </c>
      <c r="D148" s="1124"/>
      <c r="E148" s="1072"/>
      <c r="F148" s="1069"/>
      <c r="G148" s="1060"/>
      <c r="H148" s="1060"/>
      <c r="I148" s="1060"/>
      <c r="J148" s="1060"/>
      <c r="K148" s="1060"/>
      <c r="L148" s="843"/>
      <c r="M148" s="842"/>
      <c r="N148" s="842"/>
      <c r="O148" s="843"/>
      <c r="P148" s="842"/>
      <c r="Q148" s="844">
        <v>0.8</v>
      </c>
      <c r="R148" s="1076">
        <f>SUM(F148:Q148)</f>
        <v>0.8</v>
      </c>
      <c r="S148" s="825">
        <v>0.2</v>
      </c>
      <c r="T148" s="1062">
        <f t="shared" si="6"/>
        <v>0.16000000000000003</v>
      </c>
      <c r="U148" s="842"/>
      <c r="V148" s="824"/>
      <c r="W148" s="803"/>
      <c r="X148" s="803"/>
      <c r="Y148" s="803"/>
      <c r="Z148" s="803"/>
      <c r="AA148" s="803"/>
      <c r="AB148" s="803"/>
      <c r="AC148" s="803"/>
      <c r="AD148" s="803"/>
      <c r="AE148" s="803"/>
      <c r="AF148" s="803"/>
      <c r="AG148" s="803"/>
      <c r="AH148" s="803"/>
      <c r="AI148" s="803"/>
      <c r="AJ148" s="803"/>
    </row>
    <row r="149" spans="1:36" s="826" customFormat="1" ht="23.4">
      <c r="A149" s="836"/>
      <c r="B149" s="1038" t="s">
        <v>1001</v>
      </c>
      <c r="C149" s="1038" t="s">
        <v>1067</v>
      </c>
      <c r="D149" s="1124"/>
      <c r="E149" s="1072"/>
      <c r="F149" s="1069"/>
      <c r="G149" s="1060"/>
      <c r="H149" s="1060"/>
      <c r="I149" s="1060"/>
      <c r="J149" s="1060"/>
      <c r="K149" s="1060"/>
      <c r="L149" s="843"/>
      <c r="M149" s="842"/>
      <c r="N149" s="842"/>
      <c r="O149" s="843"/>
      <c r="P149" s="842"/>
      <c r="Q149" s="844">
        <v>0.08</v>
      </c>
      <c r="R149" s="1076">
        <f>SUM(F149:Q149)</f>
        <v>0.08</v>
      </c>
      <c r="S149" s="825">
        <v>0.2</v>
      </c>
      <c r="T149" s="1062">
        <f t="shared" si="6"/>
        <v>1.6E-2</v>
      </c>
      <c r="U149" s="842"/>
      <c r="V149" s="824"/>
      <c r="W149" s="803"/>
      <c r="X149" s="803"/>
      <c r="Y149" s="803"/>
      <c r="Z149" s="803"/>
      <c r="AA149" s="803"/>
      <c r="AB149" s="803"/>
      <c r="AC149" s="803"/>
      <c r="AD149" s="803"/>
      <c r="AE149" s="803"/>
      <c r="AF149" s="803"/>
      <c r="AG149" s="803"/>
      <c r="AH149" s="803"/>
      <c r="AI149" s="803"/>
      <c r="AJ149" s="803"/>
    </row>
    <row r="150" spans="1:36" s="826" customFormat="1" ht="22.8">
      <c r="A150" s="836"/>
      <c r="B150" s="1038"/>
      <c r="C150" s="1038" t="s">
        <v>1068</v>
      </c>
      <c r="D150" s="947"/>
      <c r="E150" s="1075"/>
      <c r="F150" s="1069"/>
      <c r="G150" s="1060"/>
      <c r="H150" s="1060"/>
      <c r="I150" s="1060"/>
      <c r="J150" s="1060"/>
      <c r="K150" s="1060"/>
      <c r="L150" s="843"/>
      <c r="M150" s="842"/>
      <c r="N150" s="842"/>
      <c r="O150" s="843"/>
      <c r="P150" s="842"/>
      <c r="Q150" s="844">
        <v>0.5</v>
      </c>
      <c r="R150" s="1076">
        <f>SUM(F150:Q150)</f>
        <v>0.5</v>
      </c>
      <c r="S150" s="825">
        <v>0.2</v>
      </c>
      <c r="T150" s="1062">
        <f t="shared" si="6"/>
        <v>0.1</v>
      </c>
      <c r="U150" s="842"/>
      <c r="V150" s="824"/>
      <c r="W150" s="803"/>
      <c r="X150" s="803"/>
      <c r="Y150" s="803"/>
      <c r="Z150" s="803"/>
      <c r="AA150" s="803"/>
      <c r="AB150" s="803"/>
      <c r="AC150" s="803"/>
      <c r="AD150" s="803"/>
      <c r="AE150" s="803"/>
      <c r="AF150" s="803"/>
      <c r="AG150" s="803"/>
      <c r="AH150" s="803"/>
      <c r="AI150" s="803"/>
      <c r="AJ150" s="803"/>
    </row>
    <row r="151" spans="1:36" s="826" customFormat="1" ht="22.8">
      <c r="A151" s="836"/>
      <c r="B151" s="1038"/>
      <c r="C151" s="1038"/>
      <c r="D151" s="1117"/>
      <c r="E151" s="1075"/>
      <c r="F151" s="1069"/>
      <c r="G151" s="1060"/>
      <c r="H151" s="1060"/>
      <c r="I151" s="1060"/>
      <c r="J151" s="1060"/>
      <c r="K151" s="1060"/>
      <c r="L151" s="1069"/>
      <c r="M151" s="1060"/>
      <c r="N151" s="1060"/>
      <c r="O151" s="843"/>
      <c r="P151" s="842"/>
      <c r="Q151" s="844"/>
      <c r="R151" s="1076">
        <f>SUM(F151:Q151)</f>
        <v>0</v>
      </c>
      <c r="S151" s="825"/>
      <c r="T151" s="1062">
        <f t="shared" si="6"/>
        <v>0</v>
      </c>
      <c r="U151" s="844"/>
      <c r="V151" s="824"/>
      <c r="W151" s="803"/>
      <c r="X151" s="803"/>
      <c r="Y151" s="803"/>
      <c r="Z151" s="803"/>
      <c r="AA151" s="803"/>
      <c r="AB151" s="803"/>
      <c r="AC151" s="803"/>
      <c r="AD151" s="803"/>
      <c r="AE151" s="803"/>
      <c r="AF151" s="803"/>
      <c r="AG151" s="803"/>
      <c r="AH151" s="803"/>
      <c r="AI151" s="803"/>
      <c r="AJ151" s="803"/>
    </row>
    <row r="152" spans="1:36" s="826" customFormat="1" ht="22.8">
      <c r="A152" s="1066">
        <v>26</v>
      </c>
      <c r="B152" s="1036" t="s">
        <v>1046</v>
      </c>
      <c r="C152" s="1041" t="s">
        <v>1047</v>
      </c>
      <c r="D152" s="1168" t="s">
        <v>619</v>
      </c>
      <c r="E152" s="1180">
        <v>2030</v>
      </c>
      <c r="F152" s="1069"/>
      <c r="G152" s="1060"/>
      <c r="H152" s="1060"/>
      <c r="I152" s="1060"/>
      <c r="J152" s="1060"/>
      <c r="K152" s="1060"/>
      <c r="L152" s="843"/>
      <c r="M152" s="842"/>
      <c r="N152" s="842"/>
      <c r="O152" s="843"/>
      <c r="P152" s="842"/>
      <c r="Q152" s="844"/>
      <c r="R152" s="1076">
        <f t="shared" si="9"/>
        <v>0</v>
      </c>
      <c r="S152" s="825"/>
      <c r="T152" s="1062">
        <f t="shared" si="6"/>
        <v>0</v>
      </c>
      <c r="U152" s="842"/>
      <c r="V152" s="824"/>
      <c r="W152" s="803"/>
      <c r="X152" s="803"/>
      <c r="Y152" s="803"/>
      <c r="Z152" s="803"/>
      <c r="AA152" s="803"/>
      <c r="AB152" s="803"/>
      <c r="AC152" s="803"/>
      <c r="AD152" s="803"/>
      <c r="AE152" s="803"/>
      <c r="AF152" s="803"/>
      <c r="AG152" s="803"/>
      <c r="AH152" s="803"/>
      <c r="AI152" s="803"/>
      <c r="AJ152" s="803"/>
    </row>
    <row r="153" spans="1:36" s="826" customFormat="1" ht="23.4">
      <c r="A153" s="836"/>
      <c r="B153" s="1129" t="s">
        <v>1048</v>
      </c>
      <c r="C153" s="1037" t="s">
        <v>960</v>
      </c>
      <c r="D153" s="1169"/>
      <c r="E153" s="1176"/>
      <c r="F153" s="1069"/>
      <c r="G153" s="1060"/>
      <c r="H153" s="1060"/>
      <c r="I153" s="1060"/>
      <c r="J153" s="1060"/>
      <c r="K153" s="1060"/>
      <c r="L153" s="843"/>
      <c r="M153" s="842"/>
      <c r="N153" s="842"/>
      <c r="O153" s="843"/>
      <c r="P153" s="842"/>
      <c r="Q153" s="844"/>
      <c r="R153" s="1076">
        <f t="shared" si="9"/>
        <v>0</v>
      </c>
      <c r="S153" s="825"/>
      <c r="T153" s="1062">
        <f t="shared" si="6"/>
        <v>0</v>
      </c>
      <c r="U153" s="842"/>
      <c r="V153" s="824"/>
      <c r="W153" s="803"/>
      <c r="X153" s="803"/>
      <c r="Y153" s="803"/>
      <c r="Z153" s="803"/>
      <c r="AA153" s="803"/>
      <c r="AB153" s="803"/>
      <c r="AC153" s="803"/>
      <c r="AD153" s="803"/>
      <c r="AE153" s="803"/>
      <c r="AF153" s="803"/>
      <c r="AG153" s="803"/>
      <c r="AH153" s="803"/>
      <c r="AI153" s="803"/>
      <c r="AJ153" s="803"/>
    </row>
    <row r="154" spans="1:36" s="826" customFormat="1" ht="23.4">
      <c r="A154" s="836"/>
      <c r="B154" s="1129" t="s">
        <v>1049</v>
      </c>
      <c r="C154" s="1037" t="s">
        <v>993</v>
      </c>
      <c r="D154" s="1169"/>
      <c r="E154" s="1176"/>
      <c r="F154" s="1069"/>
      <c r="G154" s="1060"/>
      <c r="H154" s="1060"/>
      <c r="I154" s="1060"/>
      <c r="J154" s="1060"/>
      <c r="K154" s="1060"/>
      <c r="L154" s="843"/>
      <c r="M154" s="842"/>
      <c r="N154" s="842"/>
      <c r="O154" s="843"/>
      <c r="P154" s="842"/>
      <c r="Q154" s="844"/>
      <c r="R154" s="1076">
        <f t="shared" si="9"/>
        <v>0</v>
      </c>
      <c r="S154" s="825"/>
      <c r="T154" s="1062">
        <f t="shared" si="6"/>
        <v>0</v>
      </c>
      <c r="U154" s="842"/>
      <c r="V154" s="824"/>
      <c r="W154" s="803"/>
      <c r="X154" s="803"/>
      <c r="Y154" s="803"/>
      <c r="Z154" s="803"/>
      <c r="AA154" s="803"/>
      <c r="AB154" s="803"/>
      <c r="AC154" s="803"/>
      <c r="AD154" s="803"/>
      <c r="AE154" s="803"/>
      <c r="AF154" s="803"/>
      <c r="AG154" s="803"/>
      <c r="AH154" s="803"/>
      <c r="AI154" s="803"/>
      <c r="AJ154" s="803"/>
    </row>
    <row r="155" spans="1:36" s="826" customFormat="1" ht="23.4">
      <c r="A155" s="836"/>
      <c r="B155" s="1129" t="s">
        <v>1119</v>
      </c>
      <c r="C155" s="1130"/>
      <c r="D155" s="1169"/>
      <c r="E155" s="1176"/>
      <c r="F155" s="1069"/>
      <c r="G155" s="1060"/>
      <c r="H155" s="1060"/>
      <c r="I155" s="1060"/>
      <c r="J155" s="1060"/>
      <c r="K155" s="1060"/>
      <c r="L155" s="843"/>
      <c r="M155" s="842"/>
      <c r="N155" s="842"/>
      <c r="O155" s="843"/>
      <c r="P155" s="842"/>
      <c r="Q155" s="844"/>
      <c r="R155" s="1076">
        <f t="shared" si="9"/>
        <v>0</v>
      </c>
      <c r="S155" s="825"/>
      <c r="T155" s="1062">
        <f t="shared" si="6"/>
        <v>0</v>
      </c>
      <c r="U155" s="842"/>
      <c r="V155" s="824"/>
      <c r="W155" s="803"/>
      <c r="X155" s="803"/>
      <c r="Y155" s="803"/>
      <c r="Z155" s="803"/>
      <c r="AA155" s="803"/>
      <c r="AB155" s="803"/>
      <c r="AC155" s="803"/>
      <c r="AD155" s="803"/>
      <c r="AE155" s="803"/>
      <c r="AF155" s="803"/>
      <c r="AG155" s="803"/>
      <c r="AH155" s="803"/>
      <c r="AI155" s="803"/>
      <c r="AJ155" s="803"/>
    </row>
    <row r="156" spans="1:36" s="826" customFormat="1" ht="22.8">
      <c r="A156" s="836">
        <v>27</v>
      </c>
      <c r="B156" s="823" t="s">
        <v>1050</v>
      </c>
      <c r="C156" s="1041" t="s">
        <v>1051</v>
      </c>
      <c r="D156" s="1168" t="s">
        <v>717</v>
      </c>
      <c r="E156" s="1176"/>
      <c r="F156" s="1069"/>
      <c r="G156" s="1060"/>
      <c r="H156" s="1060"/>
      <c r="I156" s="1060"/>
      <c r="J156" s="1060"/>
      <c r="K156" s="1060"/>
      <c r="L156" s="843"/>
      <c r="M156" s="842"/>
      <c r="N156" s="842"/>
      <c r="O156" s="843"/>
      <c r="P156" s="842"/>
      <c r="Q156" s="844"/>
      <c r="R156" s="1076">
        <f t="shared" si="9"/>
        <v>0</v>
      </c>
      <c r="S156" s="825"/>
      <c r="T156" s="1062">
        <f t="shared" si="6"/>
        <v>0</v>
      </c>
      <c r="U156" s="842"/>
      <c r="V156" s="824" t="s">
        <v>1114</v>
      </c>
      <c r="W156" s="803"/>
      <c r="X156" s="803"/>
      <c r="Y156" s="803"/>
      <c r="Z156" s="803"/>
      <c r="AA156" s="803"/>
      <c r="AB156" s="803"/>
      <c r="AC156" s="803"/>
      <c r="AD156" s="803"/>
      <c r="AE156" s="803"/>
      <c r="AF156" s="803"/>
      <c r="AG156" s="803"/>
      <c r="AH156" s="803"/>
      <c r="AI156" s="803"/>
      <c r="AJ156" s="803"/>
    </row>
    <row r="157" spans="1:36" s="826" customFormat="1" ht="70.2">
      <c r="A157" s="836"/>
      <c r="B157" s="1162" t="s">
        <v>1052</v>
      </c>
      <c r="C157" s="1038" t="s">
        <v>1069</v>
      </c>
      <c r="D157" s="1169"/>
      <c r="E157" s="1176"/>
      <c r="F157" s="1069"/>
      <c r="G157" s="1060"/>
      <c r="H157" s="1060"/>
      <c r="I157" s="1060"/>
      <c r="J157" s="1060"/>
      <c r="K157" s="1060"/>
      <c r="L157" s="843"/>
      <c r="M157" s="842"/>
      <c r="N157" s="842"/>
      <c r="O157" s="843"/>
      <c r="P157" s="842"/>
      <c r="Q157" s="844"/>
      <c r="R157" s="1076">
        <f t="shared" si="9"/>
        <v>0</v>
      </c>
      <c r="S157" s="825"/>
      <c r="T157" s="1062">
        <f t="shared" si="6"/>
        <v>0</v>
      </c>
      <c r="U157" s="842"/>
      <c r="V157" s="824"/>
      <c r="W157" s="803"/>
      <c r="X157" s="803"/>
      <c r="Y157" s="803"/>
      <c r="Z157" s="803"/>
      <c r="AA157" s="803"/>
      <c r="AB157" s="803"/>
      <c r="AC157" s="803"/>
      <c r="AD157" s="803"/>
      <c r="AE157" s="803"/>
      <c r="AF157" s="803"/>
      <c r="AG157" s="803"/>
      <c r="AH157" s="803"/>
      <c r="AI157" s="803"/>
      <c r="AJ157" s="803"/>
    </row>
    <row r="158" spans="1:36" s="826" customFormat="1" ht="23.4">
      <c r="A158" s="836"/>
      <c r="B158" s="1129" t="s">
        <v>1053</v>
      </c>
      <c r="C158" s="1037" t="s">
        <v>960</v>
      </c>
      <c r="D158" s="1169"/>
      <c r="E158" s="1176"/>
      <c r="F158" s="1069"/>
      <c r="G158" s="1060"/>
      <c r="H158" s="1060"/>
      <c r="I158" s="1060"/>
      <c r="J158" s="1060"/>
      <c r="K158" s="1060"/>
      <c r="L158" s="843"/>
      <c r="M158" s="842"/>
      <c r="N158" s="842"/>
      <c r="O158" s="843"/>
      <c r="P158" s="842"/>
      <c r="Q158" s="844"/>
      <c r="R158" s="1076">
        <f t="shared" si="9"/>
        <v>0</v>
      </c>
      <c r="S158" s="825"/>
      <c r="T158" s="1062">
        <f t="shared" si="6"/>
        <v>0</v>
      </c>
      <c r="U158" s="842"/>
      <c r="V158" s="824"/>
      <c r="W158" s="803"/>
      <c r="X158" s="803"/>
      <c r="Y158" s="803"/>
      <c r="Z158" s="803"/>
      <c r="AA158" s="803"/>
      <c r="AB158" s="803"/>
      <c r="AC158" s="803"/>
      <c r="AD158" s="803"/>
      <c r="AE158" s="803"/>
      <c r="AF158" s="803"/>
      <c r="AG158" s="803"/>
      <c r="AH158" s="803"/>
      <c r="AI158" s="803"/>
      <c r="AJ158" s="803"/>
    </row>
    <row r="159" spans="1:36" s="826" customFormat="1" ht="23.4">
      <c r="A159" s="836"/>
      <c r="B159" s="1129"/>
      <c r="C159" s="1145"/>
      <c r="D159" s="1169"/>
      <c r="E159" s="1176"/>
      <c r="F159" s="1069"/>
      <c r="G159" s="1060"/>
      <c r="H159" s="1060"/>
      <c r="I159" s="1060"/>
      <c r="J159" s="1060"/>
      <c r="K159" s="1060"/>
      <c r="L159" s="843"/>
      <c r="M159" s="842"/>
      <c r="N159" s="842"/>
      <c r="O159" s="843"/>
      <c r="P159" s="842"/>
      <c r="Q159" s="844"/>
      <c r="R159" s="1076"/>
      <c r="S159" s="825"/>
      <c r="T159" s="1062"/>
      <c r="U159" s="842"/>
      <c r="V159" s="824"/>
      <c r="W159" s="803"/>
      <c r="X159" s="803"/>
      <c r="Y159" s="803"/>
      <c r="Z159" s="803"/>
      <c r="AA159" s="803"/>
      <c r="AB159" s="803"/>
      <c r="AC159" s="803"/>
      <c r="AD159" s="803"/>
      <c r="AE159" s="803"/>
      <c r="AF159" s="803"/>
      <c r="AG159" s="803"/>
      <c r="AH159" s="803"/>
      <c r="AI159" s="803"/>
      <c r="AJ159" s="803"/>
    </row>
    <row r="160" spans="1:36" s="826" customFormat="1" ht="22.8">
      <c r="A160" s="1139">
        <v>28</v>
      </c>
      <c r="B160" s="823" t="s">
        <v>1054</v>
      </c>
      <c r="C160" s="823" t="s">
        <v>1055</v>
      </c>
      <c r="D160" s="1171" t="s">
        <v>1040</v>
      </c>
      <c r="E160" s="1180">
        <v>2026</v>
      </c>
      <c r="F160" s="1069"/>
      <c r="G160" s="1060"/>
      <c r="H160" s="1060"/>
      <c r="I160" s="1060"/>
      <c r="J160" s="1060"/>
      <c r="K160" s="1060"/>
      <c r="L160" s="843"/>
      <c r="M160" s="842"/>
      <c r="N160" s="842"/>
      <c r="O160" s="843"/>
      <c r="P160" s="842"/>
      <c r="Q160" s="844"/>
      <c r="R160" s="1076">
        <f t="shared" ref="R160:R190" si="10">SUM(F160:Q160)</f>
        <v>0</v>
      </c>
      <c r="S160" s="825"/>
      <c r="T160" s="1062">
        <f t="shared" ref="T160:T173" si="11">R160*S160</f>
        <v>0</v>
      </c>
      <c r="U160" s="842"/>
      <c r="V160" s="824"/>
      <c r="W160" s="803"/>
      <c r="X160" s="803"/>
      <c r="Y160" s="803"/>
      <c r="Z160" s="803"/>
      <c r="AA160" s="803"/>
      <c r="AB160" s="803"/>
      <c r="AC160" s="803"/>
      <c r="AD160" s="803"/>
      <c r="AE160" s="803"/>
      <c r="AF160" s="803"/>
      <c r="AG160" s="803"/>
      <c r="AH160" s="803"/>
      <c r="AI160" s="803"/>
      <c r="AJ160" s="803"/>
    </row>
    <row r="161" spans="1:36" s="826" customFormat="1" ht="22.8">
      <c r="A161" s="836"/>
      <c r="B161" s="1080" t="s">
        <v>1056</v>
      </c>
      <c r="C161" s="1080" t="s">
        <v>960</v>
      </c>
      <c r="D161" s="1171"/>
      <c r="E161" s="1180"/>
      <c r="F161" s="1069"/>
      <c r="G161" s="1060"/>
      <c r="H161" s="1060"/>
      <c r="I161" s="1060"/>
      <c r="J161" s="1060"/>
      <c r="K161" s="1060"/>
      <c r="L161" s="843"/>
      <c r="M161" s="842"/>
      <c r="N161" s="842"/>
      <c r="O161" s="843"/>
      <c r="P161" s="842"/>
      <c r="Q161" s="844"/>
      <c r="R161" s="1076">
        <f t="shared" si="10"/>
        <v>0</v>
      </c>
      <c r="S161" s="825"/>
      <c r="T161" s="1062">
        <f t="shared" si="11"/>
        <v>0</v>
      </c>
      <c r="U161" s="842"/>
      <c r="V161" s="824"/>
      <c r="W161" s="803"/>
      <c r="X161" s="803"/>
      <c r="Y161" s="803"/>
      <c r="Z161" s="803"/>
      <c r="AA161" s="803"/>
      <c r="AB161" s="803"/>
      <c r="AC161" s="803"/>
      <c r="AD161" s="803"/>
      <c r="AE161" s="803"/>
      <c r="AF161" s="803"/>
      <c r="AG161" s="803"/>
      <c r="AH161" s="803"/>
      <c r="AI161" s="803"/>
      <c r="AJ161" s="803"/>
    </row>
    <row r="162" spans="1:36" s="826" customFormat="1" ht="22.8">
      <c r="A162" s="836"/>
      <c r="B162" s="1080" t="s">
        <v>1057</v>
      </c>
      <c r="C162" s="1080"/>
      <c r="D162" s="1171"/>
      <c r="E162" s="1180"/>
      <c r="F162" s="1069"/>
      <c r="G162" s="1060"/>
      <c r="H162" s="1060"/>
      <c r="I162" s="1060"/>
      <c r="J162" s="1060"/>
      <c r="K162" s="1060"/>
      <c r="L162" s="843"/>
      <c r="M162" s="842"/>
      <c r="N162" s="842"/>
      <c r="O162" s="843"/>
      <c r="P162" s="842"/>
      <c r="Q162" s="844"/>
      <c r="R162" s="1076">
        <f t="shared" si="10"/>
        <v>0</v>
      </c>
      <c r="S162" s="825"/>
      <c r="T162" s="1062">
        <f t="shared" si="11"/>
        <v>0</v>
      </c>
      <c r="U162" s="842"/>
      <c r="V162" s="824"/>
      <c r="W162" s="803"/>
      <c r="X162" s="803"/>
      <c r="Y162" s="803"/>
      <c r="Z162" s="803"/>
      <c r="AA162" s="803"/>
      <c r="AB162" s="803"/>
      <c r="AC162" s="803"/>
      <c r="AD162" s="803"/>
      <c r="AE162" s="803"/>
      <c r="AF162" s="803"/>
      <c r="AG162" s="803"/>
      <c r="AH162" s="803"/>
      <c r="AI162" s="803"/>
      <c r="AJ162" s="803"/>
    </row>
    <row r="163" spans="1:36" s="826" customFormat="1" ht="22.8">
      <c r="A163" s="836"/>
      <c r="B163" s="1080"/>
      <c r="C163" s="1080"/>
      <c r="D163" s="1171"/>
      <c r="E163" s="1180"/>
      <c r="F163" s="1069"/>
      <c r="G163" s="1060"/>
      <c r="H163" s="1060"/>
      <c r="I163" s="1060"/>
      <c r="J163" s="1060"/>
      <c r="K163" s="1060"/>
      <c r="L163" s="843"/>
      <c r="M163" s="842"/>
      <c r="N163" s="842"/>
      <c r="O163" s="843"/>
      <c r="P163" s="842"/>
      <c r="Q163" s="844"/>
      <c r="R163" s="1076">
        <f t="shared" si="10"/>
        <v>0</v>
      </c>
      <c r="S163" s="825"/>
      <c r="T163" s="1062">
        <f t="shared" si="11"/>
        <v>0</v>
      </c>
      <c r="U163" s="842"/>
      <c r="V163" s="824"/>
      <c r="W163" s="803"/>
      <c r="X163" s="803"/>
      <c r="Y163" s="803"/>
      <c r="Z163" s="803"/>
      <c r="AA163" s="803"/>
      <c r="AB163" s="803"/>
      <c r="AC163" s="803"/>
      <c r="AD163" s="803"/>
      <c r="AE163" s="803"/>
      <c r="AF163" s="803"/>
      <c r="AG163" s="803"/>
      <c r="AH163" s="803"/>
      <c r="AI163" s="803"/>
      <c r="AJ163" s="803"/>
    </row>
    <row r="164" spans="1:36" s="826" customFormat="1" ht="22.8">
      <c r="A164" s="1139">
        <v>29</v>
      </c>
      <c r="B164" s="823" t="s">
        <v>1058</v>
      </c>
      <c r="C164" s="823" t="s">
        <v>1059</v>
      </c>
      <c r="D164" s="1171" t="s">
        <v>1040</v>
      </c>
      <c r="E164" s="1180">
        <v>2026</v>
      </c>
      <c r="F164" s="1069"/>
      <c r="G164" s="1060"/>
      <c r="H164" s="1060"/>
      <c r="I164" s="1060"/>
      <c r="J164" s="1060"/>
      <c r="K164" s="1060"/>
      <c r="L164" s="843"/>
      <c r="M164" s="842"/>
      <c r="N164" s="842"/>
      <c r="O164" s="843"/>
      <c r="P164" s="842"/>
      <c r="Q164" s="844"/>
      <c r="R164" s="1076">
        <f t="shared" si="10"/>
        <v>0</v>
      </c>
      <c r="S164" s="825"/>
      <c r="T164" s="1062">
        <f t="shared" si="11"/>
        <v>0</v>
      </c>
      <c r="U164" s="842"/>
      <c r="V164" s="824" t="s">
        <v>1088</v>
      </c>
      <c r="W164" s="803"/>
      <c r="X164" s="803"/>
      <c r="Y164" s="803"/>
      <c r="Z164" s="803"/>
      <c r="AA164" s="803"/>
      <c r="AB164" s="803"/>
      <c r="AC164" s="803"/>
      <c r="AD164" s="803"/>
      <c r="AE164" s="803"/>
      <c r="AF164" s="803"/>
      <c r="AG164" s="803"/>
      <c r="AH164" s="803"/>
      <c r="AI164" s="803"/>
      <c r="AJ164" s="803"/>
    </row>
    <row r="165" spans="1:36" s="826" customFormat="1" ht="22.8">
      <c r="A165" s="836"/>
      <c r="B165" s="1080" t="s">
        <v>1087</v>
      </c>
      <c r="C165" s="1080" t="s">
        <v>993</v>
      </c>
      <c r="D165" s="1171"/>
      <c r="E165" s="1180"/>
      <c r="F165" s="1069"/>
      <c r="G165" s="1060"/>
      <c r="H165" s="1060"/>
      <c r="I165" s="1060"/>
      <c r="J165" s="1060"/>
      <c r="K165" s="1060"/>
      <c r="L165" s="843"/>
      <c r="M165" s="842"/>
      <c r="N165" s="842"/>
      <c r="O165" s="843"/>
      <c r="P165" s="842"/>
      <c r="Q165" s="844"/>
      <c r="R165" s="1076">
        <f t="shared" si="10"/>
        <v>0</v>
      </c>
      <c r="S165" s="825"/>
      <c r="T165" s="1062">
        <f t="shared" si="11"/>
        <v>0</v>
      </c>
      <c r="U165" s="842"/>
      <c r="V165" s="824"/>
      <c r="W165" s="803"/>
      <c r="X165" s="803"/>
      <c r="Y165" s="803"/>
      <c r="Z165" s="803"/>
      <c r="AA165" s="803"/>
      <c r="AB165" s="803"/>
      <c r="AC165" s="803"/>
      <c r="AD165" s="803"/>
      <c r="AE165" s="803"/>
      <c r="AF165" s="803"/>
      <c r="AG165" s="803"/>
      <c r="AH165" s="803"/>
      <c r="AI165" s="803"/>
      <c r="AJ165" s="803"/>
    </row>
    <row r="166" spans="1:36" s="826" customFormat="1" ht="22.8">
      <c r="A166" s="836"/>
      <c r="B166" s="1080"/>
      <c r="C166" s="1080"/>
      <c r="D166" s="1171"/>
      <c r="E166" s="1180"/>
      <c r="F166" s="1069"/>
      <c r="G166" s="1060"/>
      <c r="H166" s="1060"/>
      <c r="I166" s="1060"/>
      <c r="J166" s="1060"/>
      <c r="K166" s="1060"/>
      <c r="L166" s="843"/>
      <c r="M166" s="842"/>
      <c r="N166" s="842"/>
      <c r="O166" s="843"/>
      <c r="P166" s="842"/>
      <c r="Q166" s="844"/>
      <c r="R166" s="1076">
        <f t="shared" si="10"/>
        <v>0</v>
      </c>
      <c r="S166" s="825"/>
      <c r="T166" s="1062">
        <f t="shared" si="11"/>
        <v>0</v>
      </c>
      <c r="U166" s="842"/>
      <c r="V166" s="824"/>
      <c r="W166" s="803"/>
      <c r="X166" s="803"/>
      <c r="Y166" s="803"/>
      <c r="Z166" s="803"/>
      <c r="AA166" s="803"/>
      <c r="AB166" s="803"/>
      <c r="AC166" s="803"/>
      <c r="AD166" s="803"/>
      <c r="AE166" s="803"/>
      <c r="AF166" s="803"/>
      <c r="AG166" s="803"/>
      <c r="AH166" s="803"/>
      <c r="AI166" s="803"/>
      <c r="AJ166" s="803"/>
    </row>
    <row r="167" spans="1:36" s="826" customFormat="1" ht="22.8">
      <c r="A167" s="836"/>
      <c r="B167" s="1080"/>
      <c r="C167" s="1080"/>
      <c r="D167" s="1171"/>
      <c r="E167" s="1180"/>
      <c r="F167" s="1069"/>
      <c r="G167" s="1060"/>
      <c r="H167" s="1060"/>
      <c r="I167" s="1060"/>
      <c r="J167" s="1060"/>
      <c r="K167" s="1060"/>
      <c r="L167" s="843"/>
      <c r="M167" s="842"/>
      <c r="N167" s="842"/>
      <c r="O167" s="843"/>
      <c r="P167" s="842"/>
      <c r="Q167" s="844"/>
      <c r="R167" s="1076">
        <f t="shared" si="10"/>
        <v>0</v>
      </c>
      <c r="S167" s="825"/>
      <c r="T167" s="1062">
        <f t="shared" si="11"/>
        <v>0</v>
      </c>
      <c r="U167" s="842"/>
      <c r="V167" s="824"/>
      <c r="W167" s="803"/>
      <c r="X167" s="803"/>
      <c r="Y167" s="803"/>
      <c r="Z167" s="803"/>
      <c r="AA167" s="803"/>
      <c r="AB167" s="803"/>
      <c r="AC167" s="803"/>
      <c r="AD167" s="803"/>
      <c r="AE167" s="803"/>
      <c r="AF167" s="803"/>
      <c r="AG167" s="803"/>
      <c r="AH167" s="803"/>
      <c r="AI167" s="803"/>
      <c r="AJ167" s="803"/>
    </row>
    <row r="168" spans="1:36" s="826" customFormat="1" ht="22.8">
      <c r="A168" s="1139">
        <v>30</v>
      </c>
      <c r="B168" s="823" t="s">
        <v>1060</v>
      </c>
      <c r="C168" s="823" t="s">
        <v>1061</v>
      </c>
      <c r="D168" s="1171" t="s">
        <v>1040</v>
      </c>
      <c r="E168" s="1180">
        <v>2026</v>
      </c>
      <c r="F168" s="1069"/>
      <c r="G168" s="1060"/>
      <c r="H168" s="1060"/>
      <c r="I168" s="1060"/>
      <c r="J168" s="1060"/>
      <c r="K168" s="1060"/>
      <c r="L168" s="843"/>
      <c r="M168" s="842"/>
      <c r="N168" s="842"/>
      <c r="O168" s="843"/>
      <c r="P168" s="842"/>
      <c r="Q168" s="844"/>
      <c r="R168" s="1076">
        <f t="shared" si="10"/>
        <v>0</v>
      </c>
      <c r="S168" s="825"/>
      <c r="T168" s="1062">
        <f t="shared" si="11"/>
        <v>0</v>
      </c>
      <c r="U168" s="842"/>
      <c r="V168" s="824"/>
      <c r="W168" s="803"/>
      <c r="X168" s="803"/>
      <c r="Y168" s="803"/>
      <c r="Z168" s="803"/>
      <c r="AA168" s="803"/>
      <c r="AB168" s="803"/>
      <c r="AC168" s="803"/>
      <c r="AD168" s="803"/>
      <c r="AE168" s="803"/>
      <c r="AF168" s="803"/>
      <c r="AG168" s="803"/>
      <c r="AH168" s="803"/>
      <c r="AI168" s="803"/>
      <c r="AJ168" s="803"/>
    </row>
    <row r="169" spans="1:36" s="826" customFormat="1" ht="22.8">
      <c r="A169" s="836"/>
      <c r="B169" s="1080" t="s">
        <v>1062</v>
      </c>
      <c r="C169" s="1080" t="s">
        <v>960</v>
      </c>
      <c r="D169" s="1171"/>
      <c r="E169" s="1180"/>
      <c r="F169" s="1069"/>
      <c r="G169" s="1060"/>
      <c r="H169" s="1060"/>
      <c r="I169" s="1060"/>
      <c r="J169" s="1060"/>
      <c r="K169" s="1060"/>
      <c r="L169" s="843"/>
      <c r="M169" s="842"/>
      <c r="N169" s="842"/>
      <c r="O169" s="843"/>
      <c r="P169" s="842"/>
      <c r="Q169" s="844"/>
      <c r="R169" s="1076">
        <f t="shared" si="10"/>
        <v>0</v>
      </c>
      <c r="S169" s="825"/>
      <c r="T169" s="1062">
        <f t="shared" si="11"/>
        <v>0</v>
      </c>
      <c r="U169" s="842"/>
      <c r="V169" s="824"/>
      <c r="W169" s="803"/>
      <c r="X169" s="803"/>
      <c r="Y169" s="803"/>
      <c r="Z169" s="803"/>
      <c r="AA169" s="803"/>
      <c r="AB169" s="803"/>
      <c r="AC169" s="803"/>
      <c r="AD169" s="803"/>
      <c r="AE169" s="803"/>
      <c r="AF169" s="803"/>
      <c r="AG169" s="803"/>
      <c r="AH169" s="803"/>
      <c r="AI169" s="803"/>
      <c r="AJ169" s="803"/>
    </row>
    <row r="170" spans="1:36" s="826" customFormat="1" ht="22.8">
      <c r="A170" s="836"/>
      <c r="B170" s="1080"/>
      <c r="C170" s="1080" t="s">
        <v>993</v>
      </c>
      <c r="D170" s="1171"/>
      <c r="E170" s="1180"/>
      <c r="F170" s="1069"/>
      <c r="G170" s="1060"/>
      <c r="H170" s="1060"/>
      <c r="I170" s="1060"/>
      <c r="J170" s="1060"/>
      <c r="K170" s="1060"/>
      <c r="L170" s="843"/>
      <c r="M170" s="842"/>
      <c r="N170" s="842"/>
      <c r="O170" s="843"/>
      <c r="P170" s="842"/>
      <c r="Q170" s="844"/>
      <c r="R170" s="1076">
        <f t="shared" si="10"/>
        <v>0</v>
      </c>
      <c r="S170" s="825"/>
      <c r="T170" s="1062">
        <f t="shared" si="11"/>
        <v>0</v>
      </c>
      <c r="U170" s="842"/>
      <c r="V170" s="824"/>
      <c r="W170" s="803"/>
      <c r="X170" s="803"/>
      <c r="Y170" s="803"/>
      <c r="Z170" s="803"/>
      <c r="AA170" s="803"/>
      <c r="AB170" s="803"/>
      <c r="AC170" s="803"/>
      <c r="AD170" s="803"/>
      <c r="AE170" s="803"/>
      <c r="AF170" s="803"/>
      <c r="AG170" s="803"/>
      <c r="AH170" s="803"/>
      <c r="AI170" s="803"/>
      <c r="AJ170" s="803"/>
    </row>
    <row r="171" spans="1:36" s="826" customFormat="1" ht="22.8">
      <c r="A171" s="1139">
        <v>31</v>
      </c>
      <c r="B171" s="823" t="s">
        <v>1063</v>
      </c>
      <c r="C171" s="823" t="s">
        <v>1064</v>
      </c>
      <c r="D171" s="1171" t="s">
        <v>1040</v>
      </c>
      <c r="E171" s="1180">
        <v>2026</v>
      </c>
      <c r="F171" s="1069"/>
      <c r="G171" s="1060"/>
      <c r="H171" s="1060"/>
      <c r="I171" s="1060"/>
      <c r="J171" s="1060"/>
      <c r="K171" s="1060"/>
      <c r="L171" s="843"/>
      <c r="M171" s="842"/>
      <c r="N171" s="842"/>
      <c r="O171" s="843"/>
      <c r="P171" s="842"/>
      <c r="Q171" s="844"/>
      <c r="R171" s="1076">
        <f t="shared" si="10"/>
        <v>0</v>
      </c>
      <c r="S171" s="825"/>
      <c r="T171" s="1062">
        <f t="shared" si="11"/>
        <v>0</v>
      </c>
      <c r="U171" s="842"/>
      <c r="V171" s="824"/>
      <c r="W171" s="803"/>
      <c r="X171" s="803"/>
      <c r="Y171" s="803"/>
      <c r="Z171" s="803"/>
      <c r="AA171" s="803"/>
      <c r="AB171" s="803"/>
      <c r="AC171" s="803"/>
      <c r="AD171" s="803"/>
      <c r="AE171" s="803"/>
      <c r="AF171" s="803"/>
      <c r="AG171" s="803"/>
      <c r="AH171" s="803"/>
      <c r="AI171" s="803"/>
      <c r="AJ171" s="803"/>
    </row>
    <row r="172" spans="1:36" s="826" customFormat="1" ht="22.8">
      <c r="A172" s="836"/>
      <c r="B172" s="1080" t="s">
        <v>1086</v>
      </c>
      <c r="C172" s="1080" t="s">
        <v>960</v>
      </c>
      <c r="D172" s="1171"/>
      <c r="E172" s="1180"/>
      <c r="F172" s="1069"/>
      <c r="G172" s="1060"/>
      <c r="H172" s="1060"/>
      <c r="I172" s="1060"/>
      <c r="J172" s="1060"/>
      <c r="K172" s="1060"/>
      <c r="L172" s="843"/>
      <c r="M172" s="842"/>
      <c r="N172" s="842"/>
      <c r="O172" s="843"/>
      <c r="P172" s="842"/>
      <c r="Q172" s="844"/>
      <c r="R172" s="1076">
        <f t="shared" si="10"/>
        <v>0</v>
      </c>
      <c r="S172" s="825"/>
      <c r="T172" s="1062">
        <f t="shared" si="11"/>
        <v>0</v>
      </c>
      <c r="U172" s="842"/>
      <c r="V172" s="824"/>
      <c r="W172" s="803"/>
      <c r="X172" s="803"/>
      <c r="Y172" s="803"/>
      <c r="Z172" s="803"/>
      <c r="AA172" s="803"/>
      <c r="AB172" s="803"/>
      <c r="AC172" s="803"/>
      <c r="AD172" s="803"/>
      <c r="AE172" s="803"/>
      <c r="AF172" s="803"/>
      <c r="AG172" s="803"/>
      <c r="AH172" s="803"/>
      <c r="AI172" s="803"/>
      <c r="AJ172" s="803"/>
    </row>
    <row r="173" spans="1:36" s="826" customFormat="1" ht="22.8">
      <c r="A173" s="836"/>
      <c r="B173" s="1080"/>
      <c r="C173" s="1080" t="s">
        <v>993</v>
      </c>
      <c r="D173" s="1171"/>
      <c r="E173" s="1180"/>
      <c r="F173" s="1069"/>
      <c r="G173" s="1060"/>
      <c r="H173" s="1060"/>
      <c r="I173" s="1060"/>
      <c r="J173" s="1060"/>
      <c r="K173" s="1060"/>
      <c r="L173" s="843"/>
      <c r="M173" s="842"/>
      <c r="N173" s="842"/>
      <c r="O173" s="843"/>
      <c r="P173" s="842"/>
      <c r="Q173" s="844"/>
      <c r="R173" s="1076">
        <f t="shared" si="10"/>
        <v>0</v>
      </c>
      <c r="S173" s="825"/>
      <c r="T173" s="1062">
        <f t="shared" si="11"/>
        <v>0</v>
      </c>
      <c r="U173" s="842"/>
      <c r="V173" s="824"/>
      <c r="W173" s="803"/>
      <c r="X173" s="803"/>
      <c r="Y173" s="803"/>
      <c r="Z173" s="803"/>
      <c r="AA173" s="803"/>
      <c r="AB173" s="803"/>
      <c r="AC173" s="803"/>
      <c r="AD173" s="803"/>
      <c r="AE173" s="803"/>
      <c r="AF173" s="803"/>
      <c r="AG173" s="803"/>
      <c r="AH173" s="803"/>
      <c r="AI173" s="803"/>
      <c r="AJ173" s="803"/>
    </row>
    <row r="174" spans="1:36" s="826" customFormat="1" ht="22.8">
      <c r="A174" s="1139">
        <v>32</v>
      </c>
      <c r="B174" s="823" t="s">
        <v>1074</v>
      </c>
      <c r="C174" s="823" t="s">
        <v>1075</v>
      </c>
      <c r="D174" s="1171" t="s">
        <v>1040</v>
      </c>
      <c r="E174" s="1180">
        <v>2027</v>
      </c>
      <c r="F174" s="1069"/>
      <c r="G174" s="1060"/>
      <c r="H174" s="1060"/>
      <c r="I174" s="1060"/>
      <c r="J174" s="1060"/>
      <c r="K174" s="1060"/>
      <c r="L174" s="843"/>
      <c r="M174" s="842"/>
      <c r="N174" s="842"/>
      <c r="O174" s="843"/>
      <c r="P174" s="842"/>
      <c r="Q174" s="844"/>
      <c r="R174" s="1076">
        <f t="shared" si="10"/>
        <v>0</v>
      </c>
      <c r="S174" s="825"/>
      <c r="T174" s="1062">
        <f t="shared" ref="T174:T253" si="12">R174*S174</f>
        <v>0</v>
      </c>
      <c r="U174" s="842"/>
      <c r="V174" s="824" t="s">
        <v>1085</v>
      </c>
      <c r="W174" s="803"/>
      <c r="X174" s="803"/>
      <c r="Y174" s="803"/>
      <c r="Z174" s="803"/>
      <c r="AA174" s="803"/>
      <c r="AB174" s="803"/>
      <c r="AC174" s="803"/>
      <c r="AD174" s="803"/>
      <c r="AE174" s="803"/>
      <c r="AF174" s="803"/>
      <c r="AG174" s="803"/>
      <c r="AH174" s="803"/>
      <c r="AI174" s="803"/>
      <c r="AJ174" s="803"/>
    </row>
    <row r="175" spans="1:36" s="826" customFormat="1" ht="22.8">
      <c r="A175" s="836"/>
      <c r="B175" s="1080" t="s">
        <v>1076</v>
      </c>
      <c r="C175" s="1080" t="s">
        <v>960</v>
      </c>
      <c r="D175" s="1171"/>
      <c r="E175" s="1180"/>
      <c r="F175" s="1069"/>
      <c r="G175" s="1060"/>
      <c r="H175" s="1060"/>
      <c r="I175" s="1060"/>
      <c r="J175" s="1060"/>
      <c r="K175" s="1060"/>
      <c r="L175" s="843"/>
      <c r="M175" s="842"/>
      <c r="N175" s="842"/>
      <c r="O175" s="843"/>
      <c r="P175" s="842"/>
      <c r="Q175" s="844"/>
      <c r="R175" s="1076">
        <f t="shared" si="10"/>
        <v>0</v>
      </c>
      <c r="S175" s="825"/>
      <c r="T175" s="1062">
        <f t="shared" si="12"/>
        <v>0</v>
      </c>
      <c r="U175" s="842"/>
      <c r="V175" s="824"/>
      <c r="W175" s="803"/>
      <c r="X175" s="803"/>
      <c r="Y175" s="803"/>
      <c r="Z175" s="803"/>
      <c r="AA175" s="803"/>
      <c r="AB175" s="803"/>
      <c r="AC175" s="803"/>
      <c r="AD175" s="803"/>
      <c r="AE175" s="803"/>
      <c r="AF175" s="803"/>
      <c r="AG175" s="803"/>
      <c r="AH175" s="803"/>
      <c r="AI175" s="803"/>
      <c r="AJ175" s="803"/>
    </row>
    <row r="176" spans="1:36" s="826" customFormat="1" ht="22.8">
      <c r="A176" s="836"/>
      <c r="B176" s="1080" t="s">
        <v>1080</v>
      </c>
      <c r="C176" s="1080"/>
      <c r="D176" s="1171"/>
      <c r="E176" s="1180"/>
      <c r="F176" s="1069"/>
      <c r="G176" s="1060"/>
      <c r="H176" s="1060"/>
      <c r="I176" s="1060"/>
      <c r="J176" s="1060"/>
      <c r="K176" s="1060"/>
      <c r="L176" s="843"/>
      <c r="M176" s="842"/>
      <c r="N176" s="842"/>
      <c r="O176" s="843"/>
      <c r="P176" s="842"/>
      <c r="Q176" s="844"/>
      <c r="R176" s="1076">
        <f t="shared" si="10"/>
        <v>0</v>
      </c>
      <c r="S176" s="825"/>
      <c r="T176" s="1062">
        <f t="shared" si="12"/>
        <v>0</v>
      </c>
      <c r="U176" s="842"/>
      <c r="V176" s="824"/>
      <c r="W176" s="803"/>
      <c r="X176" s="803"/>
      <c r="Y176" s="803"/>
      <c r="Z176" s="803"/>
      <c r="AA176" s="803"/>
      <c r="AB176" s="803"/>
      <c r="AC176" s="803"/>
      <c r="AD176" s="803"/>
      <c r="AE176" s="803"/>
      <c r="AF176" s="803"/>
      <c r="AG176" s="803"/>
      <c r="AH176" s="803"/>
      <c r="AI176" s="803"/>
      <c r="AJ176" s="803"/>
    </row>
    <row r="177" spans="1:36" s="826" customFormat="1" ht="22.8">
      <c r="A177" s="836">
        <v>33</v>
      </c>
      <c r="B177" s="1080" t="s">
        <v>922</v>
      </c>
      <c r="C177" s="1080" t="s">
        <v>923</v>
      </c>
      <c r="D177" s="1171" t="s">
        <v>1040</v>
      </c>
      <c r="E177" s="1180">
        <v>2027</v>
      </c>
      <c r="F177" s="1069"/>
      <c r="G177" s="1060"/>
      <c r="H177" s="1060"/>
      <c r="I177" s="1060"/>
      <c r="J177" s="1060"/>
      <c r="K177" s="1060"/>
      <c r="L177" s="843"/>
      <c r="M177" s="842"/>
      <c r="N177" s="842"/>
      <c r="O177" s="843"/>
      <c r="P177" s="842"/>
      <c r="Q177" s="844"/>
      <c r="R177" s="1076">
        <f t="shared" si="10"/>
        <v>0</v>
      </c>
      <c r="S177" s="825"/>
      <c r="T177" s="1062">
        <f t="shared" si="12"/>
        <v>0</v>
      </c>
      <c r="U177" s="842"/>
      <c r="V177" s="824"/>
      <c r="W177" s="803"/>
      <c r="X177" s="803"/>
      <c r="Y177" s="803"/>
      <c r="Z177" s="803"/>
      <c r="AA177" s="803"/>
      <c r="AB177" s="803"/>
      <c r="AC177" s="803"/>
      <c r="AD177" s="803"/>
      <c r="AE177" s="803"/>
      <c r="AF177" s="803"/>
      <c r="AG177" s="803"/>
      <c r="AH177" s="803"/>
      <c r="AI177" s="803"/>
      <c r="AJ177" s="803"/>
    </row>
    <row r="178" spans="1:36" s="826" customFormat="1" ht="22.8">
      <c r="A178" s="836"/>
      <c r="B178" s="1080"/>
      <c r="C178" s="1080" t="s">
        <v>615</v>
      </c>
      <c r="D178" s="1171"/>
      <c r="E178" s="1180"/>
      <c r="F178" s="1069"/>
      <c r="G178" s="1060"/>
      <c r="H178" s="1060"/>
      <c r="I178" s="1060"/>
      <c r="J178" s="1060"/>
      <c r="K178" s="1060"/>
      <c r="L178" s="843"/>
      <c r="M178" s="842"/>
      <c r="N178" s="842"/>
      <c r="O178" s="843"/>
      <c r="P178" s="842"/>
      <c r="Q178" s="844"/>
      <c r="R178" s="1076">
        <f t="shared" si="10"/>
        <v>0</v>
      </c>
      <c r="S178" s="825"/>
      <c r="T178" s="1062">
        <f t="shared" si="12"/>
        <v>0</v>
      </c>
      <c r="U178" s="842">
        <v>0.47</v>
      </c>
      <c r="V178" s="824"/>
      <c r="W178" s="803"/>
      <c r="X178" s="803"/>
      <c r="Y178" s="803"/>
      <c r="Z178" s="803"/>
      <c r="AA178" s="803"/>
      <c r="AB178" s="803"/>
      <c r="AC178" s="803"/>
      <c r="AD178" s="803"/>
      <c r="AE178" s="803"/>
      <c r="AF178" s="803"/>
      <c r="AG178" s="803"/>
      <c r="AH178" s="803"/>
      <c r="AI178" s="803"/>
      <c r="AJ178" s="803"/>
    </row>
    <row r="179" spans="1:36" s="826" customFormat="1" ht="22.8">
      <c r="A179" s="836"/>
      <c r="B179" s="1080"/>
      <c r="C179" s="1080" t="s">
        <v>925</v>
      </c>
      <c r="D179" s="1171"/>
      <c r="E179" s="1180"/>
      <c r="F179" s="1069"/>
      <c r="G179" s="1060"/>
      <c r="H179" s="1060"/>
      <c r="I179" s="1060"/>
      <c r="J179" s="1060"/>
      <c r="K179" s="1060"/>
      <c r="L179" s="843"/>
      <c r="M179" s="842"/>
      <c r="N179" s="842"/>
      <c r="O179" s="843"/>
      <c r="P179" s="842"/>
      <c r="Q179" s="844"/>
      <c r="R179" s="1076">
        <f t="shared" si="10"/>
        <v>0</v>
      </c>
      <c r="S179" s="825"/>
      <c r="T179" s="1062">
        <f t="shared" si="12"/>
        <v>0</v>
      </c>
      <c r="U179" s="842">
        <v>0.12</v>
      </c>
      <c r="V179" s="824"/>
      <c r="W179" s="803"/>
      <c r="X179" s="803"/>
      <c r="Y179" s="803"/>
      <c r="Z179" s="803"/>
      <c r="AA179" s="803"/>
      <c r="AB179" s="803"/>
      <c r="AC179" s="803"/>
      <c r="AD179" s="803"/>
      <c r="AE179" s="803"/>
      <c r="AF179" s="803"/>
      <c r="AG179" s="803"/>
      <c r="AH179" s="803"/>
      <c r="AI179" s="803"/>
      <c r="AJ179" s="803"/>
    </row>
    <row r="180" spans="1:36" s="826" customFormat="1" ht="22.8">
      <c r="A180" s="1139">
        <v>34</v>
      </c>
      <c r="B180" s="823" t="s">
        <v>1116</v>
      </c>
      <c r="C180" s="823" t="s">
        <v>1117</v>
      </c>
      <c r="D180" s="1171" t="s">
        <v>1040</v>
      </c>
      <c r="E180" s="1180">
        <v>2027</v>
      </c>
      <c r="F180" s="1069"/>
      <c r="G180" s="1060"/>
      <c r="H180" s="1060"/>
      <c r="I180" s="1060"/>
      <c r="J180" s="1060"/>
      <c r="K180" s="1060"/>
      <c r="L180" s="843"/>
      <c r="M180" s="842"/>
      <c r="N180" s="842"/>
      <c r="O180" s="843"/>
      <c r="P180" s="842"/>
      <c r="Q180" s="844"/>
      <c r="R180" s="1076">
        <f t="shared" si="10"/>
        <v>0</v>
      </c>
      <c r="S180" s="825"/>
      <c r="T180" s="1062">
        <f t="shared" si="12"/>
        <v>0</v>
      </c>
      <c r="U180" s="842"/>
      <c r="V180" s="824"/>
      <c r="W180" s="803"/>
      <c r="X180" s="803"/>
      <c r="Y180" s="803"/>
      <c r="Z180" s="803"/>
      <c r="AA180" s="803"/>
      <c r="AB180" s="803"/>
      <c r="AC180" s="803"/>
      <c r="AD180" s="803"/>
      <c r="AE180" s="803"/>
      <c r="AF180" s="803"/>
      <c r="AG180" s="803"/>
      <c r="AH180" s="803"/>
      <c r="AI180" s="803"/>
      <c r="AJ180" s="803"/>
    </row>
    <row r="181" spans="1:36" s="826" customFormat="1" ht="22.8">
      <c r="A181" s="836"/>
      <c r="B181" s="1080" t="s">
        <v>1118</v>
      </c>
      <c r="C181" s="1080" t="s">
        <v>960</v>
      </c>
      <c r="D181" s="1171"/>
      <c r="E181" s="1180"/>
      <c r="F181" s="1069"/>
      <c r="G181" s="1060"/>
      <c r="H181" s="1060"/>
      <c r="I181" s="1060"/>
      <c r="J181" s="1060"/>
      <c r="K181" s="1060"/>
      <c r="L181" s="843"/>
      <c r="M181" s="842"/>
      <c r="N181" s="842"/>
      <c r="O181" s="843"/>
      <c r="P181" s="842"/>
      <c r="Q181" s="844"/>
      <c r="R181" s="1076">
        <f t="shared" si="10"/>
        <v>0</v>
      </c>
      <c r="S181" s="825"/>
      <c r="T181" s="1062">
        <f t="shared" si="12"/>
        <v>0</v>
      </c>
      <c r="U181" s="842"/>
      <c r="V181" s="824"/>
      <c r="W181" s="803"/>
      <c r="X181" s="803"/>
      <c r="Y181" s="803"/>
      <c r="Z181" s="803"/>
      <c r="AA181" s="803"/>
      <c r="AB181" s="803"/>
      <c r="AC181" s="803"/>
      <c r="AD181" s="803"/>
      <c r="AE181" s="803"/>
      <c r="AF181" s="803"/>
      <c r="AG181" s="803"/>
      <c r="AH181" s="803"/>
      <c r="AI181" s="803"/>
      <c r="AJ181" s="803"/>
    </row>
    <row r="182" spans="1:36" s="826" customFormat="1" ht="22.8">
      <c r="A182" s="836"/>
      <c r="B182" s="1080"/>
      <c r="C182" s="1080" t="s">
        <v>1120</v>
      </c>
      <c r="D182" s="1171"/>
      <c r="E182" s="1180"/>
      <c r="F182" s="1069"/>
      <c r="G182" s="1060"/>
      <c r="H182" s="1060"/>
      <c r="I182" s="1060"/>
      <c r="J182" s="1060"/>
      <c r="K182" s="1060"/>
      <c r="L182" s="843"/>
      <c r="M182" s="842"/>
      <c r="N182" s="842"/>
      <c r="O182" s="843"/>
      <c r="P182" s="842"/>
      <c r="Q182" s="844"/>
      <c r="R182" s="1076">
        <f t="shared" si="10"/>
        <v>0</v>
      </c>
      <c r="S182" s="825"/>
      <c r="T182" s="1062">
        <f t="shared" si="12"/>
        <v>0</v>
      </c>
      <c r="U182" s="842"/>
      <c r="V182" s="824"/>
      <c r="W182" s="803"/>
      <c r="X182" s="803"/>
      <c r="Y182" s="803"/>
      <c r="Z182" s="803"/>
      <c r="AA182" s="803"/>
      <c r="AB182" s="803"/>
      <c r="AC182" s="803"/>
      <c r="AD182" s="803"/>
      <c r="AE182" s="803"/>
      <c r="AF182" s="803"/>
      <c r="AG182" s="803"/>
      <c r="AH182" s="803"/>
      <c r="AI182" s="803"/>
      <c r="AJ182" s="803"/>
    </row>
    <row r="183" spans="1:36" s="826" customFormat="1" ht="22.8" customHeight="1">
      <c r="A183" s="836">
        <v>35</v>
      </c>
      <c r="B183" s="1121" t="s">
        <v>1125</v>
      </c>
      <c r="C183" s="1121" t="s">
        <v>1146</v>
      </c>
      <c r="D183" s="946" t="s">
        <v>611</v>
      </c>
      <c r="E183" s="1180">
        <v>2026</v>
      </c>
      <c r="F183" s="1069"/>
      <c r="G183" s="1060"/>
      <c r="H183" s="1060"/>
      <c r="I183" s="1060"/>
      <c r="J183" s="1060"/>
      <c r="K183" s="1060"/>
      <c r="L183" s="843"/>
      <c r="M183" s="842"/>
      <c r="N183" s="842"/>
      <c r="O183" s="843"/>
      <c r="P183" s="842"/>
      <c r="Q183" s="844"/>
      <c r="R183" s="1076">
        <f t="shared" si="10"/>
        <v>0</v>
      </c>
      <c r="S183" s="825"/>
      <c r="T183" s="1062">
        <f t="shared" si="12"/>
        <v>0</v>
      </c>
      <c r="U183" s="842"/>
      <c r="V183" s="824"/>
      <c r="W183" s="803"/>
      <c r="X183" s="803"/>
      <c r="Y183" s="803"/>
      <c r="Z183" s="803"/>
      <c r="AA183" s="803"/>
      <c r="AB183" s="803"/>
      <c r="AC183" s="803"/>
      <c r="AD183" s="803"/>
      <c r="AE183" s="803"/>
      <c r="AF183" s="803"/>
      <c r="AG183" s="803"/>
      <c r="AH183" s="803"/>
      <c r="AI183" s="803"/>
      <c r="AJ183" s="803"/>
    </row>
    <row r="184" spans="1:36" s="826" customFormat="1" ht="22.8" customHeight="1">
      <c r="A184" s="836"/>
      <c r="B184" s="1080" t="s">
        <v>1124</v>
      </c>
      <c r="C184" s="1080" t="s">
        <v>960</v>
      </c>
      <c r="D184" s="1171"/>
      <c r="E184" s="1180"/>
      <c r="F184" s="1069"/>
      <c r="G184" s="1060"/>
      <c r="H184" s="1060"/>
      <c r="I184" s="1060"/>
      <c r="J184" s="1060"/>
      <c r="K184" s="1060"/>
      <c r="L184" s="843"/>
      <c r="M184" s="842"/>
      <c r="N184" s="842"/>
      <c r="O184" s="843"/>
      <c r="P184" s="842"/>
      <c r="Q184" s="844">
        <v>2.63</v>
      </c>
      <c r="R184" s="1076">
        <f t="shared" si="10"/>
        <v>2.63</v>
      </c>
      <c r="S184" s="825">
        <v>0.1</v>
      </c>
      <c r="T184" s="1062">
        <f t="shared" si="12"/>
        <v>0.26300000000000001</v>
      </c>
      <c r="U184" s="842"/>
      <c r="V184" s="824"/>
      <c r="W184" s="803"/>
      <c r="X184" s="803"/>
      <c r="Y184" s="803"/>
      <c r="Z184" s="803"/>
      <c r="AA184" s="803"/>
      <c r="AB184" s="803"/>
      <c r="AC184" s="803"/>
      <c r="AD184" s="803"/>
      <c r="AE184" s="803"/>
      <c r="AF184" s="803"/>
      <c r="AG184" s="803"/>
      <c r="AH184" s="803"/>
      <c r="AI184" s="803"/>
      <c r="AJ184" s="803"/>
    </row>
    <row r="185" spans="1:36" s="826" customFormat="1" ht="22.8" customHeight="1">
      <c r="A185" s="836"/>
      <c r="B185" s="1080" t="s">
        <v>1123</v>
      </c>
      <c r="C185" s="1080" t="s">
        <v>1126</v>
      </c>
      <c r="D185" s="1171"/>
      <c r="E185" s="1180"/>
      <c r="F185" s="1069"/>
      <c r="G185" s="1060"/>
      <c r="H185" s="1060"/>
      <c r="I185" s="1060"/>
      <c r="J185" s="1060"/>
      <c r="K185" s="1060"/>
      <c r="L185" s="843"/>
      <c r="M185" s="842"/>
      <c r="N185" s="842"/>
      <c r="O185" s="843"/>
      <c r="P185" s="842"/>
      <c r="Q185" s="844">
        <v>2.2999999999999998</v>
      </c>
      <c r="R185" s="1076">
        <f t="shared" si="10"/>
        <v>2.2999999999999998</v>
      </c>
      <c r="S185" s="825">
        <v>0.1</v>
      </c>
      <c r="T185" s="1062">
        <f t="shared" si="12"/>
        <v>0.22999999999999998</v>
      </c>
      <c r="U185" s="842"/>
      <c r="V185" s="824"/>
      <c r="W185" s="803"/>
      <c r="X185" s="803"/>
      <c r="Y185" s="803"/>
      <c r="Z185" s="803"/>
      <c r="AA185" s="803"/>
      <c r="AB185" s="803"/>
      <c r="AC185" s="803"/>
      <c r="AD185" s="803"/>
      <c r="AE185" s="803"/>
      <c r="AF185" s="803"/>
      <c r="AG185" s="803"/>
      <c r="AH185" s="803"/>
      <c r="AI185" s="803"/>
      <c r="AJ185" s="803"/>
    </row>
    <row r="186" spans="1:36" s="826" customFormat="1" ht="22.8" customHeight="1">
      <c r="A186" s="836"/>
      <c r="B186" s="1080" t="s">
        <v>1127</v>
      </c>
      <c r="C186" s="1080"/>
      <c r="D186" s="1171"/>
      <c r="E186" s="1180"/>
      <c r="F186" s="1069"/>
      <c r="G186" s="1060"/>
      <c r="H186" s="1060"/>
      <c r="I186" s="1060"/>
      <c r="J186" s="1060"/>
      <c r="K186" s="1060"/>
      <c r="L186" s="843"/>
      <c r="M186" s="842"/>
      <c r="N186" s="842"/>
      <c r="O186" s="843"/>
      <c r="P186" s="842"/>
      <c r="Q186" s="844"/>
      <c r="R186" s="1076">
        <f t="shared" si="10"/>
        <v>0</v>
      </c>
      <c r="S186" s="825"/>
      <c r="T186" s="1062">
        <f t="shared" si="12"/>
        <v>0</v>
      </c>
      <c r="U186" s="842"/>
      <c r="V186" s="824"/>
      <c r="W186" s="803"/>
      <c r="X186" s="803"/>
      <c r="Y186" s="803"/>
      <c r="Z186" s="803"/>
      <c r="AA186" s="803"/>
      <c r="AB186" s="803"/>
      <c r="AC186" s="803"/>
      <c r="AD186" s="803"/>
      <c r="AE186" s="803"/>
      <c r="AF186" s="803"/>
      <c r="AG186" s="803"/>
      <c r="AH186" s="803"/>
      <c r="AI186" s="803"/>
      <c r="AJ186" s="803"/>
    </row>
    <row r="187" spans="1:36" s="826" customFormat="1" ht="22.8" customHeight="1">
      <c r="A187" s="836"/>
      <c r="B187" s="1080" t="s">
        <v>1128</v>
      </c>
      <c r="C187" s="1080" t="s">
        <v>1132</v>
      </c>
      <c r="D187" s="1171"/>
      <c r="E187" s="1180"/>
      <c r="F187" s="1069"/>
      <c r="G187" s="1060"/>
      <c r="H187" s="1060"/>
      <c r="I187" s="1060"/>
      <c r="J187" s="1060"/>
      <c r="K187" s="1060"/>
      <c r="L187" s="843"/>
      <c r="M187" s="842"/>
      <c r="N187" s="842"/>
      <c r="O187" s="843"/>
      <c r="P187" s="842"/>
      <c r="Q187" s="844"/>
      <c r="R187" s="1076">
        <f t="shared" si="10"/>
        <v>0</v>
      </c>
      <c r="S187" s="825"/>
      <c r="T187" s="1062">
        <f t="shared" si="12"/>
        <v>0</v>
      </c>
      <c r="U187" s="842"/>
      <c r="V187" s="824"/>
      <c r="W187" s="803"/>
      <c r="X187" s="803"/>
      <c r="Y187" s="803"/>
      <c r="Z187" s="803"/>
      <c r="AA187" s="803"/>
      <c r="AB187" s="803"/>
      <c r="AC187" s="803"/>
      <c r="AD187" s="803"/>
      <c r="AE187" s="803"/>
      <c r="AF187" s="803"/>
      <c r="AG187" s="803"/>
      <c r="AH187" s="803"/>
      <c r="AI187" s="803"/>
      <c r="AJ187" s="803"/>
    </row>
    <row r="188" spans="1:36" s="826" customFormat="1" ht="22.8" customHeight="1">
      <c r="A188" s="836"/>
      <c r="B188" s="1080" t="s">
        <v>1135</v>
      </c>
      <c r="C188" s="1080"/>
      <c r="D188" s="1185"/>
      <c r="E188" s="1180"/>
      <c r="F188" s="1069"/>
      <c r="G188" s="1060"/>
      <c r="H188" s="1060"/>
      <c r="I188" s="1060"/>
      <c r="J188" s="1060"/>
      <c r="K188" s="1060"/>
      <c r="L188" s="843"/>
      <c r="M188" s="842"/>
      <c r="N188" s="842"/>
      <c r="O188" s="843"/>
      <c r="P188" s="842"/>
      <c r="Q188" s="844"/>
      <c r="R188" s="1076"/>
      <c r="S188" s="825"/>
      <c r="T188" s="1062"/>
      <c r="U188" s="842"/>
      <c r="V188" s="824"/>
      <c r="W188" s="803"/>
      <c r="X188" s="803"/>
      <c r="Y188" s="803"/>
      <c r="Z188" s="803"/>
      <c r="AA188" s="803"/>
      <c r="AB188" s="803"/>
      <c r="AC188" s="803"/>
      <c r="AD188" s="803"/>
      <c r="AE188" s="803"/>
      <c r="AF188" s="803"/>
      <c r="AG188" s="803"/>
      <c r="AH188" s="803"/>
      <c r="AI188" s="803"/>
      <c r="AJ188" s="803"/>
    </row>
    <row r="189" spans="1:36" s="826" customFormat="1" ht="22.8" customHeight="1">
      <c r="A189" s="836">
        <v>36</v>
      </c>
      <c r="B189" s="1121" t="s">
        <v>1125</v>
      </c>
      <c r="C189" s="1121" t="s">
        <v>1129</v>
      </c>
      <c r="D189" s="946" t="s">
        <v>611</v>
      </c>
      <c r="E189" s="1180">
        <v>2026</v>
      </c>
      <c r="F189" s="1069"/>
      <c r="G189" s="1060"/>
      <c r="H189" s="1060"/>
      <c r="I189" s="1060"/>
      <c r="J189" s="1060"/>
      <c r="K189" s="1060"/>
      <c r="L189" s="843"/>
      <c r="M189" s="842"/>
      <c r="N189" s="842"/>
      <c r="O189" s="843"/>
      <c r="P189" s="842"/>
      <c r="Q189" s="844"/>
      <c r="R189" s="1076">
        <f t="shared" si="10"/>
        <v>0</v>
      </c>
      <c r="S189" s="825"/>
      <c r="T189" s="1062">
        <f t="shared" si="12"/>
        <v>0</v>
      </c>
      <c r="U189" s="842"/>
      <c r="V189" s="824"/>
      <c r="W189" s="803"/>
      <c r="X189" s="803"/>
      <c r="Y189" s="803"/>
      <c r="Z189" s="803"/>
      <c r="AA189" s="803"/>
      <c r="AB189" s="803"/>
      <c r="AC189" s="803"/>
      <c r="AD189" s="803"/>
      <c r="AE189" s="803"/>
      <c r="AF189" s="803"/>
      <c r="AG189" s="803"/>
      <c r="AH189" s="803"/>
      <c r="AI189" s="803"/>
      <c r="AJ189" s="803"/>
    </row>
    <row r="190" spans="1:36" s="826" customFormat="1" ht="22.8" customHeight="1">
      <c r="A190" s="836"/>
      <c r="B190" s="1080" t="s">
        <v>1130</v>
      </c>
      <c r="C190" s="1080" t="s">
        <v>960</v>
      </c>
      <c r="D190" s="1171"/>
      <c r="E190" s="1180"/>
      <c r="F190" s="1069"/>
      <c r="G190" s="842"/>
      <c r="H190" s="842"/>
      <c r="I190" s="842"/>
      <c r="J190" s="842"/>
      <c r="K190" s="842"/>
      <c r="L190" s="843"/>
      <c r="M190" s="842"/>
      <c r="N190" s="842"/>
      <c r="O190" s="843"/>
      <c r="P190" s="842"/>
      <c r="Q190" s="844"/>
      <c r="R190" s="1076">
        <f t="shared" si="10"/>
        <v>0</v>
      </c>
      <c r="S190" s="825"/>
      <c r="T190" s="1062">
        <f t="shared" si="12"/>
        <v>0</v>
      </c>
      <c r="U190" s="842"/>
      <c r="V190" s="824"/>
      <c r="W190" s="803"/>
      <c r="X190" s="803"/>
      <c r="Y190" s="803"/>
      <c r="Z190" s="803"/>
      <c r="AA190" s="803"/>
      <c r="AB190" s="803"/>
      <c r="AC190" s="803"/>
      <c r="AD190" s="803"/>
      <c r="AE190" s="803"/>
      <c r="AF190" s="803"/>
      <c r="AG190" s="803"/>
      <c r="AH190" s="803"/>
      <c r="AI190" s="803"/>
      <c r="AJ190" s="803"/>
    </row>
    <row r="191" spans="1:36" s="826" customFormat="1" ht="22.8" customHeight="1">
      <c r="A191" s="836"/>
      <c r="B191" s="1080" t="s">
        <v>1131</v>
      </c>
      <c r="C191" s="1080" t="s">
        <v>1126</v>
      </c>
      <c r="D191" s="1171"/>
      <c r="E191" s="1180"/>
      <c r="F191" s="1069"/>
      <c r="G191" s="842"/>
      <c r="H191" s="842"/>
      <c r="I191" s="842"/>
      <c r="J191" s="842"/>
      <c r="K191" s="842"/>
      <c r="L191" s="843"/>
      <c r="M191" s="842"/>
      <c r="N191" s="842"/>
      <c r="O191" s="843"/>
      <c r="P191" s="842"/>
      <c r="Q191" s="844">
        <v>6.24</v>
      </c>
      <c r="R191" s="1076">
        <f t="shared" ref="R191:R263" si="13">SUM(F191:Q191)</f>
        <v>6.24</v>
      </c>
      <c r="S191" s="825">
        <v>0.1</v>
      </c>
      <c r="T191" s="1062">
        <f t="shared" si="12"/>
        <v>0.62400000000000011</v>
      </c>
      <c r="U191" s="842"/>
      <c r="V191" s="824"/>
      <c r="W191" s="803"/>
      <c r="X191" s="803"/>
      <c r="Y191" s="803"/>
      <c r="Z191" s="803"/>
      <c r="AA191" s="803"/>
      <c r="AB191" s="803"/>
      <c r="AC191" s="803"/>
      <c r="AD191" s="803"/>
      <c r="AE191" s="803"/>
      <c r="AF191" s="803"/>
      <c r="AG191" s="803"/>
      <c r="AH191" s="803"/>
      <c r="AI191" s="803"/>
      <c r="AJ191" s="803"/>
    </row>
    <row r="192" spans="1:36" s="826" customFormat="1" ht="22.8" customHeight="1">
      <c r="A192" s="836"/>
      <c r="B192" s="1080" t="s">
        <v>1127</v>
      </c>
      <c r="C192" s="1080"/>
      <c r="D192" s="1171"/>
      <c r="E192" s="1180"/>
      <c r="F192" s="1069"/>
      <c r="G192" s="842"/>
      <c r="H192" s="842"/>
      <c r="I192" s="842"/>
      <c r="J192" s="842"/>
      <c r="K192" s="842"/>
      <c r="L192" s="843"/>
      <c r="M192" s="842"/>
      <c r="N192" s="842"/>
      <c r="O192" s="843"/>
      <c r="P192" s="842"/>
      <c r="Q192" s="844">
        <v>1.52</v>
      </c>
      <c r="R192" s="1076">
        <f t="shared" si="13"/>
        <v>1.52</v>
      </c>
      <c r="S192" s="825">
        <v>0.1</v>
      </c>
      <c r="T192" s="1062">
        <f t="shared" si="12"/>
        <v>0.15200000000000002</v>
      </c>
      <c r="U192" s="842"/>
      <c r="V192" s="824"/>
      <c r="W192" s="803"/>
      <c r="X192" s="803"/>
      <c r="Y192" s="803"/>
      <c r="Z192" s="803"/>
      <c r="AA192" s="803"/>
      <c r="AB192" s="803"/>
      <c r="AC192" s="803"/>
      <c r="AD192" s="803"/>
      <c r="AE192" s="803"/>
      <c r="AF192" s="803"/>
      <c r="AG192" s="803"/>
      <c r="AH192" s="803"/>
      <c r="AI192" s="803"/>
      <c r="AJ192" s="803"/>
    </row>
    <row r="193" spans="1:36" s="826" customFormat="1" ht="22.8" customHeight="1">
      <c r="A193" s="836"/>
      <c r="B193" s="1080" t="s">
        <v>1128</v>
      </c>
      <c r="C193" s="1080" t="s">
        <v>1133</v>
      </c>
      <c r="D193" s="1171"/>
      <c r="E193" s="1180"/>
      <c r="F193" s="1069"/>
      <c r="G193" s="842"/>
      <c r="H193" s="842"/>
      <c r="I193" s="842"/>
      <c r="J193" s="842"/>
      <c r="K193" s="842"/>
      <c r="L193" s="843"/>
      <c r="M193" s="842"/>
      <c r="N193" s="842"/>
      <c r="O193" s="843"/>
      <c r="P193" s="842"/>
      <c r="Q193" s="844"/>
      <c r="R193" s="1076">
        <f t="shared" si="13"/>
        <v>0</v>
      </c>
      <c r="S193" s="825"/>
      <c r="T193" s="1062">
        <f t="shared" si="12"/>
        <v>0</v>
      </c>
      <c r="U193" s="960"/>
      <c r="V193" s="824"/>
      <c r="W193" s="803"/>
      <c r="X193" s="803"/>
      <c r="Y193" s="803"/>
      <c r="Z193" s="803"/>
      <c r="AA193" s="803"/>
      <c r="AB193" s="803"/>
      <c r="AC193" s="803"/>
      <c r="AD193" s="803"/>
      <c r="AE193" s="803"/>
      <c r="AF193" s="803"/>
      <c r="AG193" s="803"/>
      <c r="AH193" s="803"/>
      <c r="AI193" s="803"/>
      <c r="AJ193" s="803"/>
    </row>
    <row r="194" spans="1:36" s="826" customFormat="1" ht="22.8" customHeight="1">
      <c r="A194" s="836"/>
      <c r="B194" s="1080" t="s">
        <v>1134</v>
      </c>
      <c r="C194" s="1080"/>
      <c r="D194" s="1171"/>
      <c r="E194" s="1180"/>
      <c r="F194" s="1069"/>
      <c r="G194" s="842"/>
      <c r="H194" s="842"/>
      <c r="I194" s="842"/>
      <c r="J194" s="842"/>
      <c r="K194" s="842"/>
      <c r="L194" s="843"/>
      <c r="M194" s="842"/>
      <c r="N194" s="842"/>
      <c r="O194" s="843"/>
      <c r="P194" s="842"/>
      <c r="Q194" s="844"/>
      <c r="R194" s="1076">
        <f t="shared" si="13"/>
        <v>0</v>
      </c>
      <c r="S194" s="825"/>
      <c r="T194" s="1062">
        <f t="shared" si="12"/>
        <v>0</v>
      </c>
      <c r="U194" s="844"/>
      <c r="V194" s="824"/>
      <c r="W194" s="803"/>
      <c r="X194" s="803"/>
      <c r="Y194" s="803"/>
      <c r="Z194" s="803"/>
      <c r="AA194" s="803"/>
      <c r="AB194" s="803"/>
      <c r="AC194" s="803"/>
      <c r="AD194" s="803"/>
      <c r="AE194" s="803"/>
      <c r="AF194" s="803"/>
      <c r="AG194" s="803"/>
      <c r="AH194" s="803"/>
      <c r="AI194" s="803"/>
      <c r="AJ194" s="803"/>
    </row>
    <row r="195" spans="1:36" s="826" customFormat="1" ht="22.8" customHeight="1">
      <c r="A195" s="836"/>
      <c r="B195" s="1080"/>
      <c r="C195" s="1080"/>
      <c r="D195" s="1171"/>
      <c r="E195" s="1180"/>
      <c r="F195" s="1069"/>
      <c r="G195" s="842"/>
      <c r="H195" s="842"/>
      <c r="I195" s="842"/>
      <c r="J195" s="842"/>
      <c r="K195" s="842"/>
      <c r="L195" s="843"/>
      <c r="M195" s="842"/>
      <c r="N195" s="842"/>
      <c r="O195" s="843"/>
      <c r="P195" s="842"/>
      <c r="Q195" s="844"/>
      <c r="R195" s="1076">
        <f t="shared" si="13"/>
        <v>0</v>
      </c>
      <c r="S195" s="825"/>
      <c r="T195" s="1062">
        <f t="shared" si="12"/>
        <v>0</v>
      </c>
      <c r="U195" s="960"/>
      <c r="V195" s="824"/>
      <c r="W195" s="803"/>
      <c r="X195" s="803"/>
      <c r="Y195" s="803"/>
      <c r="Z195" s="803"/>
      <c r="AA195" s="803"/>
      <c r="AB195" s="803"/>
      <c r="AC195" s="803"/>
      <c r="AD195" s="803"/>
      <c r="AE195" s="803"/>
      <c r="AF195" s="803"/>
      <c r="AG195" s="803"/>
      <c r="AH195" s="803"/>
      <c r="AI195" s="803"/>
      <c r="AJ195" s="803"/>
    </row>
    <row r="196" spans="1:36" s="826" customFormat="1" ht="22.8" customHeight="1">
      <c r="A196" s="836">
        <v>37</v>
      </c>
      <c r="B196" s="823" t="s">
        <v>1136</v>
      </c>
      <c r="C196" s="823" t="s">
        <v>1137</v>
      </c>
      <c r="D196" s="946" t="s">
        <v>611</v>
      </c>
      <c r="E196" s="1180">
        <v>2026</v>
      </c>
      <c r="F196" s="1069"/>
      <c r="G196" s="842"/>
      <c r="H196" s="842"/>
      <c r="I196" s="842"/>
      <c r="J196" s="842"/>
      <c r="K196" s="842"/>
      <c r="L196" s="843"/>
      <c r="M196" s="842"/>
      <c r="N196" s="842"/>
      <c r="O196" s="843"/>
      <c r="P196" s="842"/>
      <c r="Q196" s="844"/>
      <c r="R196" s="1076">
        <f t="shared" si="13"/>
        <v>0</v>
      </c>
      <c r="S196" s="825"/>
      <c r="T196" s="1062">
        <f t="shared" si="12"/>
        <v>0</v>
      </c>
      <c r="U196" s="1077"/>
      <c r="V196" s="824"/>
      <c r="W196" s="803"/>
      <c r="X196" s="803"/>
      <c r="Y196" s="803"/>
      <c r="Z196" s="803"/>
      <c r="AA196" s="803"/>
      <c r="AB196" s="803"/>
      <c r="AC196" s="803"/>
      <c r="AD196" s="803"/>
      <c r="AE196" s="803"/>
      <c r="AF196" s="803"/>
      <c r="AG196" s="803"/>
      <c r="AH196" s="803"/>
      <c r="AI196" s="803"/>
      <c r="AJ196" s="803"/>
    </row>
    <row r="197" spans="1:36" s="826" customFormat="1" ht="22.8" customHeight="1">
      <c r="A197" s="836"/>
      <c r="B197" s="1080" t="s">
        <v>1139</v>
      </c>
      <c r="C197" s="1080" t="s">
        <v>1138</v>
      </c>
      <c r="D197" s="1171"/>
      <c r="E197" s="1180"/>
      <c r="F197" s="1069"/>
      <c r="G197" s="842"/>
      <c r="H197" s="842"/>
      <c r="I197" s="842"/>
      <c r="J197" s="842"/>
      <c r="K197" s="842"/>
      <c r="L197" s="843"/>
      <c r="M197" s="842"/>
      <c r="N197" s="842"/>
      <c r="O197" s="843"/>
      <c r="P197" s="842"/>
      <c r="Q197" s="844"/>
      <c r="R197" s="1076">
        <f t="shared" si="13"/>
        <v>0</v>
      </c>
      <c r="S197" s="825"/>
      <c r="T197" s="1062">
        <f t="shared" si="12"/>
        <v>0</v>
      </c>
      <c r="U197" s="1077">
        <v>4.7</v>
      </c>
      <c r="V197" s="824"/>
      <c r="W197" s="803"/>
      <c r="X197" s="803"/>
      <c r="Y197" s="803"/>
      <c r="Z197" s="803"/>
      <c r="AA197" s="803"/>
      <c r="AB197" s="803"/>
      <c r="AC197" s="803"/>
      <c r="AD197" s="803"/>
      <c r="AE197" s="803"/>
      <c r="AF197" s="803"/>
      <c r="AG197" s="803"/>
      <c r="AH197" s="803"/>
      <c r="AI197" s="803"/>
      <c r="AJ197" s="803"/>
    </row>
    <row r="198" spans="1:36" s="826" customFormat="1" ht="22.8" customHeight="1">
      <c r="A198" s="836"/>
      <c r="B198" s="1080" t="s">
        <v>1140</v>
      </c>
      <c r="C198" s="1080"/>
      <c r="D198" s="1171"/>
      <c r="E198" s="1180"/>
      <c r="F198" s="1069"/>
      <c r="G198" s="842"/>
      <c r="H198" s="842"/>
      <c r="I198" s="842"/>
      <c r="J198" s="842"/>
      <c r="K198" s="842"/>
      <c r="L198" s="843"/>
      <c r="M198" s="842"/>
      <c r="N198" s="842"/>
      <c r="O198" s="843"/>
      <c r="P198" s="842"/>
      <c r="Q198" s="844"/>
      <c r="R198" s="1076">
        <f t="shared" si="13"/>
        <v>0</v>
      </c>
      <c r="S198" s="825"/>
      <c r="T198" s="1062">
        <f t="shared" si="12"/>
        <v>0</v>
      </c>
      <c r="U198" s="960"/>
      <c r="V198" s="824"/>
      <c r="W198" s="803"/>
      <c r="X198" s="803"/>
      <c r="Y198" s="803"/>
      <c r="Z198" s="803"/>
      <c r="AA198" s="803"/>
      <c r="AB198" s="803"/>
      <c r="AC198" s="803"/>
      <c r="AD198" s="803"/>
      <c r="AE198" s="803"/>
      <c r="AF198" s="803"/>
      <c r="AG198" s="803"/>
      <c r="AH198" s="803"/>
      <c r="AI198" s="803"/>
      <c r="AJ198" s="803"/>
    </row>
    <row r="199" spans="1:36" s="826" customFormat="1" ht="22.8" customHeight="1">
      <c r="A199" s="836"/>
      <c r="B199" s="1080" t="s">
        <v>1141</v>
      </c>
      <c r="C199" s="1080"/>
      <c r="D199" s="1171"/>
      <c r="E199" s="1180"/>
      <c r="F199" s="1069"/>
      <c r="G199" s="842"/>
      <c r="H199" s="842"/>
      <c r="I199" s="842"/>
      <c r="J199" s="842"/>
      <c r="K199" s="842"/>
      <c r="L199" s="843"/>
      <c r="M199" s="842"/>
      <c r="N199" s="842"/>
      <c r="O199" s="843"/>
      <c r="P199" s="842"/>
      <c r="Q199" s="844"/>
      <c r="R199" s="1076">
        <f t="shared" si="13"/>
        <v>0</v>
      </c>
      <c r="S199" s="825"/>
      <c r="T199" s="1062">
        <f t="shared" si="12"/>
        <v>0</v>
      </c>
      <c r="U199" s="960"/>
      <c r="V199" s="824"/>
      <c r="W199" s="803"/>
      <c r="X199" s="803"/>
      <c r="Y199" s="803"/>
      <c r="Z199" s="803"/>
      <c r="AA199" s="803"/>
      <c r="AB199" s="803"/>
      <c r="AC199" s="803"/>
      <c r="AD199" s="803"/>
      <c r="AE199" s="803"/>
      <c r="AF199" s="803"/>
      <c r="AG199" s="803"/>
      <c r="AH199" s="803"/>
      <c r="AI199" s="803"/>
      <c r="AJ199" s="803"/>
    </row>
    <row r="200" spans="1:36" s="826" customFormat="1" ht="22.8">
      <c r="A200" s="836">
        <v>38</v>
      </c>
      <c r="B200" s="823" t="s">
        <v>1142</v>
      </c>
      <c r="C200" s="1041" t="s">
        <v>963</v>
      </c>
      <c r="D200" s="946" t="s">
        <v>611</v>
      </c>
      <c r="E200" s="1075">
        <v>2026</v>
      </c>
      <c r="F200" s="1069"/>
      <c r="G200" s="1060"/>
      <c r="H200" s="1060"/>
      <c r="I200" s="1060"/>
      <c r="J200" s="1060"/>
      <c r="K200" s="1060"/>
      <c r="L200" s="843"/>
      <c r="M200" s="842"/>
      <c r="N200" s="842"/>
      <c r="O200" s="843"/>
      <c r="P200" s="842"/>
      <c r="Q200" s="844"/>
      <c r="R200" s="1076">
        <f t="shared" ref="R200:R209" si="14">SUM(F200:Q200)</f>
        <v>0</v>
      </c>
      <c r="S200" s="825"/>
      <c r="T200" s="1062">
        <f t="shared" si="12"/>
        <v>0</v>
      </c>
      <c r="U200" s="842"/>
      <c r="V200" s="824"/>
    </row>
    <row r="201" spans="1:36" s="826" customFormat="1" ht="22.8">
      <c r="A201" s="836"/>
      <c r="B201" s="1080" t="s">
        <v>1145</v>
      </c>
      <c r="C201" s="1038" t="s">
        <v>987</v>
      </c>
      <c r="D201" s="954"/>
      <c r="E201" s="1072"/>
      <c r="F201" s="1069"/>
      <c r="G201" s="1060"/>
      <c r="H201" s="1060"/>
      <c r="I201" s="1060"/>
      <c r="J201" s="1060"/>
      <c r="K201" s="1060"/>
      <c r="L201" s="843"/>
      <c r="M201" s="842"/>
      <c r="N201" s="842"/>
      <c r="O201" s="843"/>
      <c r="P201" s="842"/>
      <c r="Q201" s="844">
        <v>0.3</v>
      </c>
      <c r="R201" s="1076">
        <v>0.5</v>
      </c>
      <c r="S201" s="825">
        <v>0.1</v>
      </c>
      <c r="T201" s="1062">
        <f t="shared" si="12"/>
        <v>0.05</v>
      </c>
      <c r="U201" s="842"/>
      <c r="V201" s="824"/>
    </row>
    <row r="202" spans="1:36" s="826" customFormat="1" ht="22.8">
      <c r="A202" s="836"/>
      <c r="B202" s="1080"/>
      <c r="C202" s="1038" t="s">
        <v>993</v>
      </c>
      <c r="D202" s="954"/>
      <c r="E202" s="1072"/>
      <c r="F202" s="1069"/>
      <c r="G202" s="1060"/>
      <c r="H202" s="1060"/>
      <c r="I202" s="1060"/>
      <c r="J202" s="1060"/>
      <c r="K202" s="1060"/>
      <c r="L202" s="843"/>
      <c r="M202" s="842"/>
      <c r="N202" s="842"/>
      <c r="O202" s="843"/>
      <c r="P202" s="842"/>
      <c r="Q202" s="844">
        <v>0.5</v>
      </c>
      <c r="R202" s="1076">
        <v>0.3</v>
      </c>
      <c r="S202" s="825">
        <v>0.1</v>
      </c>
      <c r="T202" s="1062">
        <f t="shared" si="12"/>
        <v>0.03</v>
      </c>
      <c r="U202" s="842"/>
      <c r="V202" s="824"/>
    </row>
    <row r="203" spans="1:36" s="826" customFormat="1" ht="22.8">
      <c r="A203" s="836"/>
      <c r="B203" s="1080" t="s">
        <v>964</v>
      </c>
      <c r="C203" s="1038"/>
      <c r="D203" s="954"/>
      <c r="E203" s="1072"/>
      <c r="F203" s="1069"/>
      <c r="G203" s="1060"/>
      <c r="H203" s="1060"/>
      <c r="I203" s="1060"/>
      <c r="J203" s="1060"/>
      <c r="K203" s="1060"/>
      <c r="L203" s="843"/>
      <c r="M203" s="842"/>
      <c r="N203" s="842"/>
      <c r="O203" s="843"/>
      <c r="P203" s="842"/>
      <c r="Q203" s="844"/>
      <c r="R203" s="1076"/>
      <c r="S203" s="825"/>
      <c r="T203" s="1062"/>
      <c r="U203" s="842"/>
      <c r="V203" s="824"/>
    </row>
    <row r="204" spans="1:36" s="826" customFormat="1" ht="22.8">
      <c r="A204" s="836"/>
      <c r="B204" s="1080" t="s">
        <v>967</v>
      </c>
      <c r="C204" s="1038"/>
      <c r="D204" s="954"/>
      <c r="E204" s="1072"/>
      <c r="F204" s="1069"/>
      <c r="G204" s="1060"/>
      <c r="H204" s="1060"/>
      <c r="I204" s="1060"/>
      <c r="J204" s="1060"/>
      <c r="K204" s="1060"/>
      <c r="L204" s="843"/>
      <c r="M204" s="842"/>
      <c r="N204" s="842"/>
      <c r="O204" s="843"/>
      <c r="P204" s="842"/>
      <c r="Q204" s="844"/>
      <c r="R204" s="1076">
        <f t="shared" si="14"/>
        <v>0</v>
      </c>
      <c r="S204" s="825"/>
      <c r="T204" s="1062">
        <f t="shared" si="12"/>
        <v>0</v>
      </c>
      <c r="U204" s="842"/>
      <c r="V204" s="824"/>
    </row>
    <row r="205" spans="1:36" s="826" customFormat="1" ht="22.8">
      <c r="A205" s="836"/>
      <c r="B205" s="1080" t="s">
        <v>968</v>
      </c>
      <c r="C205" s="1038"/>
      <c r="D205" s="954"/>
      <c r="E205" s="1072"/>
      <c r="F205" s="1069"/>
      <c r="G205" s="1060"/>
      <c r="H205" s="1060"/>
      <c r="I205" s="1060"/>
      <c r="J205" s="1060"/>
      <c r="K205" s="1060"/>
      <c r="L205" s="843"/>
      <c r="M205" s="842"/>
      <c r="N205" s="842"/>
      <c r="O205" s="843"/>
      <c r="P205" s="842"/>
      <c r="Q205" s="844"/>
      <c r="R205" s="1076">
        <f t="shared" si="14"/>
        <v>0</v>
      </c>
      <c r="S205" s="825"/>
      <c r="T205" s="1062">
        <f t="shared" si="12"/>
        <v>0</v>
      </c>
      <c r="U205" s="842"/>
      <c r="V205" s="824"/>
    </row>
    <row r="206" spans="1:36" s="826" customFormat="1" ht="22.8">
      <c r="A206" s="836"/>
      <c r="B206" s="1080" t="s">
        <v>969</v>
      </c>
      <c r="C206" s="1038"/>
      <c r="D206" s="954"/>
      <c r="E206" s="1072"/>
      <c r="F206" s="1069"/>
      <c r="G206" s="1060"/>
      <c r="H206" s="1060"/>
      <c r="I206" s="1060"/>
      <c r="J206" s="1060"/>
      <c r="K206" s="1060"/>
      <c r="L206" s="843"/>
      <c r="M206" s="842"/>
      <c r="N206" s="842"/>
      <c r="O206" s="843"/>
      <c r="P206" s="842"/>
      <c r="Q206" s="844"/>
      <c r="R206" s="1076">
        <f t="shared" si="14"/>
        <v>0</v>
      </c>
      <c r="S206" s="825"/>
      <c r="T206" s="1062">
        <f t="shared" si="12"/>
        <v>0</v>
      </c>
      <c r="U206" s="842"/>
      <c r="V206" s="824"/>
    </row>
    <row r="207" spans="1:36" s="826" customFormat="1" ht="22.8">
      <c r="A207" s="836"/>
      <c r="B207" s="1080" t="s">
        <v>970</v>
      </c>
      <c r="C207" s="1038"/>
      <c r="D207" s="954"/>
      <c r="E207" s="1072"/>
      <c r="F207" s="1069"/>
      <c r="G207" s="1060"/>
      <c r="H207" s="1060"/>
      <c r="I207" s="1060"/>
      <c r="J207" s="1060"/>
      <c r="K207" s="1060"/>
      <c r="L207" s="843"/>
      <c r="M207" s="842"/>
      <c r="N207" s="842"/>
      <c r="O207" s="843"/>
      <c r="P207" s="842"/>
      <c r="Q207" s="844"/>
      <c r="R207" s="1076">
        <f t="shared" si="14"/>
        <v>0</v>
      </c>
      <c r="S207" s="825"/>
      <c r="T207" s="1062">
        <f t="shared" si="12"/>
        <v>0</v>
      </c>
      <c r="U207" s="842"/>
      <c r="V207" s="824"/>
    </row>
    <row r="208" spans="1:36" s="826" customFormat="1" ht="22.8">
      <c r="A208" s="836"/>
      <c r="B208" s="1080" t="s">
        <v>1010</v>
      </c>
      <c r="C208" s="1038"/>
      <c r="D208" s="954"/>
      <c r="E208" s="1072"/>
      <c r="F208" s="1069"/>
      <c r="G208" s="1060"/>
      <c r="H208" s="1060"/>
      <c r="I208" s="1060"/>
      <c r="J208" s="1060"/>
      <c r="K208" s="1060"/>
      <c r="L208" s="843"/>
      <c r="M208" s="842"/>
      <c r="N208" s="842"/>
      <c r="O208" s="843"/>
      <c r="P208" s="842"/>
      <c r="Q208" s="844"/>
      <c r="R208" s="1076">
        <f t="shared" si="14"/>
        <v>0</v>
      </c>
      <c r="S208" s="825"/>
      <c r="T208" s="1062">
        <f t="shared" si="12"/>
        <v>0</v>
      </c>
      <c r="U208" s="842"/>
      <c r="V208" s="824"/>
    </row>
    <row r="209" spans="1:36" s="826" customFormat="1" ht="22.8">
      <c r="A209" s="836"/>
      <c r="B209" s="1080" t="s">
        <v>962</v>
      </c>
      <c r="C209" s="1038"/>
      <c r="D209" s="954"/>
      <c r="E209" s="1072"/>
      <c r="F209" s="1069"/>
      <c r="G209" s="1060"/>
      <c r="H209" s="1060"/>
      <c r="I209" s="1060"/>
      <c r="J209" s="1060"/>
      <c r="K209" s="1060"/>
      <c r="L209" s="843"/>
      <c r="M209" s="842"/>
      <c r="N209" s="842"/>
      <c r="O209" s="843"/>
      <c r="P209" s="842"/>
      <c r="Q209" s="844"/>
      <c r="R209" s="1076">
        <f t="shared" si="14"/>
        <v>0</v>
      </c>
      <c r="S209" s="825"/>
      <c r="T209" s="1062">
        <f t="shared" si="12"/>
        <v>0</v>
      </c>
      <c r="U209" s="842"/>
      <c r="V209" s="824"/>
    </row>
    <row r="210" spans="1:36" s="826" customFormat="1" ht="24" customHeight="1">
      <c r="A210" s="1187">
        <v>39</v>
      </c>
      <c r="B210" s="1121"/>
      <c r="C210" s="1122" t="s">
        <v>1143</v>
      </c>
      <c r="D210" s="1171" t="s">
        <v>663</v>
      </c>
      <c r="E210" s="1180">
        <v>2026</v>
      </c>
      <c r="F210" s="1069"/>
      <c r="G210" s="842"/>
      <c r="H210" s="842"/>
      <c r="I210" s="842"/>
      <c r="J210" s="842"/>
      <c r="K210" s="842"/>
      <c r="L210" s="843"/>
      <c r="M210" s="842"/>
      <c r="N210" s="842"/>
      <c r="O210" s="843"/>
      <c r="P210" s="842"/>
      <c r="Q210" s="844"/>
      <c r="R210" s="1076">
        <f t="shared" si="13"/>
        <v>0</v>
      </c>
      <c r="S210" s="825"/>
      <c r="T210" s="1062">
        <f t="shared" si="12"/>
        <v>0</v>
      </c>
      <c r="U210" s="960"/>
      <c r="V210" s="824"/>
      <c r="W210" s="803"/>
      <c r="X210" s="803"/>
      <c r="Y210" s="803"/>
      <c r="Z210" s="803"/>
      <c r="AA210" s="803"/>
      <c r="AB210" s="803"/>
      <c r="AC210" s="803"/>
      <c r="AD210" s="803"/>
      <c r="AE210" s="803"/>
      <c r="AF210" s="803"/>
      <c r="AG210" s="803"/>
      <c r="AH210" s="803"/>
      <c r="AI210" s="803"/>
      <c r="AJ210" s="803"/>
    </row>
    <row r="211" spans="1:36" s="826" customFormat="1" ht="24" customHeight="1">
      <c r="A211" s="822"/>
      <c r="B211" s="1080" t="s">
        <v>1162</v>
      </c>
      <c r="C211" s="1080" t="s">
        <v>960</v>
      </c>
      <c r="D211" s="1171"/>
      <c r="E211" s="1180"/>
      <c r="F211" s="1069"/>
      <c r="G211" s="842"/>
      <c r="H211" s="842">
        <v>0.01</v>
      </c>
      <c r="I211" s="842">
        <v>0.14000000000000001</v>
      </c>
      <c r="J211" s="1088"/>
      <c r="K211" s="1088"/>
      <c r="L211" s="843"/>
      <c r="M211" s="842"/>
      <c r="N211" s="842"/>
      <c r="O211" s="843"/>
      <c r="P211" s="842"/>
      <c r="Q211" s="844"/>
      <c r="R211" s="1076">
        <f t="shared" si="13"/>
        <v>0.15000000000000002</v>
      </c>
      <c r="S211" s="825">
        <v>0.8</v>
      </c>
      <c r="T211" s="1062">
        <f t="shared" si="12"/>
        <v>0.12000000000000002</v>
      </c>
      <c r="U211" s="960"/>
      <c r="V211" s="824" t="s">
        <v>1144</v>
      </c>
      <c r="W211" s="803"/>
      <c r="X211" s="803"/>
      <c r="Y211" s="803"/>
      <c r="Z211" s="803"/>
      <c r="AA211" s="803"/>
      <c r="AB211" s="803"/>
      <c r="AC211" s="803"/>
      <c r="AD211" s="803"/>
      <c r="AE211" s="803"/>
      <c r="AF211" s="803"/>
      <c r="AG211" s="803"/>
      <c r="AH211" s="803"/>
      <c r="AI211" s="803"/>
      <c r="AJ211" s="803"/>
    </row>
    <row r="212" spans="1:36" s="826" customFormat="1" ht="24" customHeight="1">
      <c r="A212" s="822"/>
      <c r="B212" s="1080"/>
      <c r="C212" s="1080" t="s">
        <v>1157</v>
      </c>
      <c r="D212" s="1171"/>
      <c r="E212" s="1180"/>
      <c r="F212" s="1069"/>
      <c r="G212" s="842"/>
      <c r="H212" s="842"/>
      <c r="I212" s="842"/>
      <c r="J212" s="1088">
        <v>0.24</v>
      </c>
      <c r="K212" s="1088"/>
      <c r="L212" s="843"/>
      <c r="M212" s="842"/>
      <c r="N212" s="842"/>
      <c r="O212" s="843"/>
      <c r="P212" s="842"/>
      <c r="Q212" s="844"/>
      <c r="R212" s="1076">
        <f t="shared" si="13"/>
        <v>0.24</v>
      </c>
      <c r="S212" s="825">
        <v>0.1</v>
      </c>
      <c r="T212" s="1062">
        <f t="shared" si="12"/>
        <v>2.4E-2</v>
      </c>
      <c r="U212" s="960"/>
      <c r="V212" s="824"/>
      <c r="W212" s="803"/>
      <c r="X212" s="803"/>
      <c r="Y212" s="803"/>
      <c r="Z212" s="803"/>
      <c r="AA212" s="803"/>
      <c r="AB212" s="803"/>
      <c r="AC212" s="803"/>
      <c r="AD212" s="803"/>
      <c r="AE212" s="803"/>
      <c r="AF212" s="803"/>
      <c r="AG212" s="803"/>
      <c r="AH212" s="803"/>
      <c r="AI212" s="803"/>
      <c r="AJ212" s="803"/>
    </row>
    <row r="213" spans="1:36" s="826" customFormat="1" ht="24" customHeight="1">
      <c r="A213" s="1190">
        <v>40</v>
      </c>
      <c r="B213" s="1122" t="s">
        <v>1150</v>
      </c>
      <c r="C213" s="1122" t="s">
        <v>1151</v>
      </c>
      <c r="D213" s="1171" t="s">
        <v>1040</v>
      </c>
      <c r="E213" s="1180">
        <v>2026</v>
      </c>
      <c r="F213" s="1069"/>
      <c r="G213" s="842"/>
      <c r="H213" s="842"/>
      <c r="I213" s="842"/>
      <c r="J213" s="842"/>
      <c r="K213" s="842"/>
      <c r="L213" s="843"/>
      <c r="M213" s="842"/>
      <c r="N213" s="842"/>
      <c r="O213" s="843"/>
      <c r="P213" s="842"/>
      <c r="Q213" s="844"/>
      <c r="R213" s="1076">
        <f t="shared" si="13"/>
        <v>0</v>
      </c>
      <c r="S213" s="825"/>
      <c r="T213" s="1062">
        <f t="shared" si="12"/>
        <v>0</v>
      </c>
      <c r="U213" s="960"/>
      <c r="V213" s="824"/>
      <c r="W213" s="803"/>
      <c r="X213" s="803"/>
      <c r="Y213" s="803"/>
      <c r="Z213" s="803"/>
      <c r="AA213" s="803"/>
      <c r="AB213" s="803"/>
      <c r="AC213" s="803"/>
      <c r="AD213" s="803"/>
      <c r="AE213" s="803"/>
      <c r="AF213" s="803"/>
      <c r="AG213" s="803"/>
      <c r="AH213" s="803"/>
      <c r="AI213" s="803"/>
      <c r="AJ213" s="803"/>
    </row>
    <row r="214" spans="1:36" s="826" customFormat="1" ht="24" customHeight="1">
      <c r="A214" s="822"/>
      <c r="B214" s="1080"/>
      <c r="C214" s="1080" t="s">
        <v>960</v>
      </c>
      <c r="D214" s="1171"/>
      <c r="E214" s="1180"/>
      <c r="F214" s="1069"/>
      <c r="G214" s="842"/>
      <c r="H214" s="842"/>
      <c r="I214" s="842"/>
      <c r="J214" s="842"/>
      <c r="K214" s="842"/>
      <c r="L214" s="843"/>
      <c r="M214" s="842"/>
      <c r="N214" s="842"/>
      <c r="O214" s="843"/>
      <c r="P214" s="842"/>
      <c r="Q214" s="844"/>
      <c r="R214" s="1076">
        <f t="shared" si="13"/>
        <v>0</v>
      </c>
      <c r="S214" s="825"/>
      <c r="T214" s="1062">
        <f t="shared" si="12"/>
        <v>0</v>
      </c>
      <c r="U214" s="960"/>
      <c r="V214" s="824"/>
      <c r="W214" s="803"/>
      <c r="X214" s="803"/>
      <c r="Y214" s="803"/>
      <c r="Z214" s="803"/>
      <c r="AA214" s="803"/>
      <c r="AB214" s="803"/>
      <c r="AC214" s="803"/>
      <c r="AD214" s="803"/>
      <c r="AE214" s="803"/>
      <c r="AF214" s="803"/>
      <c r="AG214" s="803"/>
      <c r="AH214" s="803"/>
      <c r="AI214" s="803"/>
      <c r="AJ214" s="803"/>
    </row>
    <row r="215" spans="1:36" s="826" customFormat="1" ht="24" customHeight="1">
      <c r="A215" s="822"/>
      <c r="B215" s="1080" t="s">
        <v>1153</v>
      </c>
      <c r="C215" s="1080" t="s">
        <v>1126</v>
      </c>
      <c r="D215" s="1171"/>
      <c r="E215" s="1180"/>
      <c r="F215" s="1069"/>
      <c r="G215" s="842"/>
      <c r="H215" s="842"/>
      <c r="I215" s="842"/>
      <c r="J215" s="842"/>
      <c r="K215" s="842"/>
      <c r="L215" s="843"/>
      <c r="M215" s="842"/>
      <c r="N215" s="842"/>
      <c r="O215" s="843"/>
      <c r="P215" s="842"/>
      <c r="Q215" s="844"/>
      <c r="R215" s="1076">
        <f t="shared" si="13"/>
        <v>0</v>
      </c>
      <c r="S215" s="825"/>
      <c r="T215" s="1062">
        <f t="shared" si="12"/>
        <v>0</v>
      </c>
      <c r="U215" s="960"/>
      <c r="V215" s="824"/>
      <c r="W215" s="803"/>
      <c r="X215" s="803"/>
      <c r="Y215" s="803"/>
      <c r="Z215" s="803"/>
      <c r="AA215" s="803"/>
      <c r="AB215" s="803"/>
      <c r="AC215" s="803"/>
      <c r="AD215" s="803"/>
      <c r="AE215" s="803"/>
      <c r="AF215" s="803"/>
      <c r="AG215" s="803"/>
      <c r="AH215" s="803"/>
      <c r="AI215" s="803"/>
      <c r="AJ215" s="803"/>
    </row>
    <row r="216" spans="1:36" s="826" customFormat="1" ht="24" customHeight="1">
      <c r="A216" s="822"/>
      <c r="B216" s="1080" t="s">
        <v>1148</v>
      </c>
      <c r="C216" s="1080" t="s">
        <v>1152</v>
      </c>
      <c r="D216" s="1171"/>
      <c r="E216" s="1180"/>
      <c r="F216" s="1069"/>
      <c r="G216" s="842"/>
      <c r="H216" s="842"/>
      <c r="I216" s="842"/>
      <c r="J216" s="842"/>
      <c r="K216" s="842"/>
      <c r="L216" s="843"/>
      <c r="M216" s="842"/>
      <c r="N216" s="842"/>
      <c r="O216" s="843"/>
      <c r="P216" s="842"/>
      <c r="Q216" s="844"/>
      <c r="R216" s="1076">
        <f t="shared" si="13"/>
        <v>0</v>
      </c>
      <c r="S216" s="825"/>
      <c r="T216" s="1062">
        <f t="shared" si="12"/>
        <v>0</v>
      </c>
      <c r="U216" s="960"/>
      <c r="V216" s="824"/>
      <c r="W216" s="803"/>
      <c r="X216" s="803"/>
      <c r="Y216" s="803"/>
      <c r="Z216" s="803"/>
      <c r="AA216" s="803"/>
      <c r="AB216" s="803"/>
      <c r="AC216" s="803"/>
      <c r="AD216" s="803"/>
      <c r="AE216" s="803"/>
      <c r="AF216" s="803"/>
      <c r="AG216" s="803"/>
      <c r="AH216" s="803"/>
      <c r="AI216" s="803"/>
      <c r="AJ216" s="803"/>
    </row>
    <row r="217" spans="1:36" s="826" customFormat="1" ht="22.8" customHeight="1">
      <c r="A217" s="836"/>
      <c r="B217" s="1080"/>
      <c r="C217" s="1080"/>
      <c r="D217" s="1171"/>
      <c r="E217" s="1180"/>
      <c r="F217" s="1069"/>
      <c r="G217" s="842"/>
      <c r="H217" s="842"/>
      <c r="I217" s="842"/>
      <c r="J217" s="842"/>
      <c r="K217" s="842"/>
      <c r="L217" s="843"/>
      <c r="M217" s="842"/>
      <c r="N217" s="842"/>
      <c r="O217" s="843"/>
      <c r="P217" s="842"/>
      <c r="Q217" s="844"/>
      <c r="R217" s="1076">
        <f t="shared" si="13"/>
        <v>0</v>
      </c>
      <c r="S217" s="825"/>
      <c r="T217" s="1062">
        <f t="shared" si="12"/>
        <v>0</v>
      </c>
      <c r="U217" s="960"/>
      <c r="V217" s="824"/>
      <c r="W217" s="803"/>
      <c r="X217" s="803"/>
      <c r="Y217" s="803"/>
      <c r="Z217" s="803"/>
      <c r="AA217" s="803"/>
      <c r="AB217" s="803"/>
      <c r="AC217" s="803"/>
      <c r="AD217" s="803"/>
      <c r="AE217" s="803"/>
      <c r="AF217" s="803"/>
      <c r="AG217" s="803"/>
      <c r="AH217" s="803"/>
      <c r="AI217" s="803"/>
      <c r="AJ217" s="803"/>
    </row>
    <row r="218" spans="1:36" s="826" customFormat="1" ht="22.8" customHeight="1">
      <c r="A218" s="1191">
        <v>41</v>
      </c>
      <c r="B218" s="1122" t="s">
        <v>825</v>
      </c>
      <c r="C218" s="1122" t="s">
        <v>1158</v>
      </c>
      <c r="D218" s="946" t="s">
        <v>611</v>
      </c>
      <c r="E218" s="1075">
        <v>2026</v>
      </c>
      <c r="F218" s="1069"/>
      <c r="G218" s="842"/>
      <c r="H218" s="842"/>
      <c r="I218" s="842"/>
      <c r="J218" s="842"/>
      <c r="K218" s="842"/>
      <c r="L218" s="843"/>
      <c r="M218" s="842"/>
      <c r="N218" s="842"/>
      <c r="O218" s="843"/>
      <c r="P218" s="842"/>
      <c r="Q218" s="844"/>
      <c r="R218" s="1076">
        <f t="shared" si="13"/>
        <v>0</v>
      </c>
      <c r="S218" s="825"/>
      <c r="T218" s="1062">
        <f t="shared" si="12"/>
        <v>0</v>
      </c>
      <c r="U218" s="960"/>
      <c r="V218" s="824"/>
      <c r="W218" s="803"/>
      <c r="X218" s="803"/>
      <c r="Y218" s="803"/>
      <c r="Z218" s="803"/>
      <c r="AA218" s="803"/>
      <c r="AB218" s="803"/>
      <c r="AC218" s="803"/>
      <c r="AD218" s="803"/>
      <c r="AE218" s="803"/>
      <c r="AF218" s="803"/>
      <c r="AG218" s="803"/>
      <c r="AH218" s="803"/>
      <c r="AI218" s="803"/>
      <c r="AJ218" s="803"/>
    </row>
    <row r="219" spans="1:36" s="826" customFormat="1" ht="22.8" customHeight="1">
      <c r="A219" s="836"/>
      <c r="B219" s="1080" t="s">
        <v>1155</v>
      </c>
      <c r="C219" s="1080" t="s">
        <v>1149</v>
      </c>
      <c r="D219" s="1171"/>
      <c r="E219" s="1180"/>
      <c r="F219" s="1069"/>
      <c r="G219" s="842"/>
      <c r="H219" s="842"/>
      <c r="I219" s="842"/>
      <c r="J219" s="842"/>
      <c r="K219" s="842"/>
      <c r="L219" s="843"/>
      <c r="M219" s="842"/>
      <c r="N219" s="842"/>
      <c r="O219" s="843"/>
      <c r="P219" s="842"/>
      <c r="Q219" s="844">
        <v>0.47</v>
      </c>
      <c r="R219" s="1076">
        <f t="shared" si="13"/>
        <v>0.47</v>
      </c>
      <c r="S219" s="825">
        <v>0.1</v>
      </c>
      <c r="T219" s="1062">
        <f t="shared" si="12"/>
        <v>4.7E-2</v>
      </c>
      <c r="U219" s="960"/>
      <c r="V219" s="824" t="s">
        <v>1160</v>
      </c>
      <c r="W219" s="803"/>
      <c r="X219" s="803"/>
      <c r="Y219" s="803"/>
      <c r="Z219" s="803"/>
      <c r="AA219" s="803"/>
      <c r="AB219" s="803"/>
      <c r="AC219" s="803"/>
      <c r="AD219" s="803"/>
      <c r="AE219" s="803"/>
      <c r="AF219" s="803"/>
      <c r="AG219" s="803"/>
      <c r="AH219" s="803"/>
      <c r="AI219" s="803"/>
      <c r="AJ219" s="803"/>
    </row>
    <row r="220" spans="1:36" s="826" customFormat="1" ht="22.8" customHeight="1">
      <c r="A220" s="836"/>
      <c r="B220" s="1080" t="s">
        <v>1154</v>
      </c>
      <c r="C220" s="1080" t="s">
        <v>1126</v>
      </c>
      <c r="D220" s="1171"/>
      <c r="E220" s="1180"/>
      <c r="F220" s="1069"/>
      <c r="G220" s="842"/>
      <c r="H220" s="842"/>
      <c r="I220" s="842"/>
      <c r="J220" s="842"/>
      <c r="K220" s="842"/>
      <c r="L220" s="843"/>
      <c r="M220" s="842"/>
      <c r="N220" s="842"/>
      <c r="O220" s="843"/>
      <c r="P220" s="842"/>
      <c r="Q220" s="844"/>
      <c r="R220" s="1076">
        <f t="shared" si="13"/>
        <v>0</v>
      </c>
      <c r="S220" s="825"/>
      <c r="T220" s="1062">
        <f t="shared" si="12"/>
        <v>0</v>
      </c>
      <c r="U220" s="960"/>
      <c r="V220" s="824" t="s">
        <v>1186</v>
      </c>
      <c r="W220" s="803"/>
      <c r="X220" s="803"/>
      <c r="Y220" s="803"/>
      <c r="Z220" s="803"/>
      <c r="AA220" s="803"/>
      <c r="AB220" s="803"/>
      <c r="AC220" s="803"/>
      <c r="AD220" s="803"/>
      <c r="AE220" s="803"/>
      <c r="AF220" s="803"/>
      <c r="AG220" s="803"/>
      <c r="AH220" s="803"/>
      <c r="AI220" s="803"/>
      <c r="AJ220" s="803"/>
    </row>
    <row r="221" spans="1:36" s="826" customFormat="1" ht="22.8">
      <c r="A221" s="836"/>
      <c r="B221" s="1080" t="s">
        <v>1156</v>
      </c>
      <c r="C221" s="1080" t="s">
        <v>1161</v>
      </c>
      <c r="D221" s="1171"/>
      <c r="E221" s="1180"/>
      <c r="F221" s="1069"/>
      <c r="G221" s="1060"/>
      <c r="H221" s="1060"/>
      <c r="I221" s="1060"/>
      <c r="J221" s="1060"/>
      <c r="K221" s="1060"/>
      <c r="L221" s="1069"/>
      <c r="M221" s="1060"/>
      <c r="N221" s="1060"/>
      <c r="O221" s="843"/>
      <c r="P221" s="842"/>
      <c r="Q221" s="844"/>
      <c r="R221" s="1076">
        <f t="shared" si="13"/>
        <v>0</v>
      </c>
      <c r="S221" s="825"/>
      <c r="T221" s="1062">
        <f t="shared" si="12"/>
        <v>0</v>
      </c>
      <c r="U221" s="960"/>
      <c r="V221" s="824" t="s">
        <v>1159</v>
      </c>
      <c r="W221" s="803"/>
      <c r="X221" s="803"/>
      <c r="Y221" s="803"/>
      <c r="Z221" s="803"/>
      <c r="AA221" s="803"/>
      <c r="AB221" s="803"/>
      <c r="AC221" s="803"/>
      <c r="AD221" s="803"/>
      <c r="AE221" s="803"/>
      <c r="AF221" s="803"/>
      <c r="AG221" s="803"/>
      <c r="AH221" s="803"/>
      <c r="AI221" s="803"/>
      <c r="AJ221" s="803"/>
    </row>
    <row r="222" spans="1:36" s="826" customFormat="1" ht="22.8">
      <c r="A222" s="836"/>
      <c r="B222" s="1080"/>
      <c r="C222" s="1080"/>
      <c r="D222" s="1171"/>
      <c r="E222" s="1180"/>
      <c r="F222" s="1069"/>
      <c r="G222" s="1060"/>
      <c r="H222" s="1060"/>
      <c r="I222" s="1060"/>
      <c r="J222" s="1060"/>
      <c r="K222" s="1060"/>
      <c r="L222" s="1069"/>
      <c r="M222" s="1060"/>
      <c r="N222" s="1060"/>
      <c r="O222" s="843"/>
      <c r="P222" s="842"/>
      <c r="Q222" s="844"/>
      <c r="R222" s="1076">
        <f t="shared" si="13"/>
        <v>0</v>
      </c>
      <c r="S222" s="825"/>
      <c r="T222" s="1062">
        <f t="shared" si="12"/>
        <v>0</v>
      </c>
      <c r="U222" s="960"/>
      <c r="V222" s="824"/>
      <c r="W222" s="803"/>
      <c r="X222" s="803"/>
      <c r="Y222" s="803"/>
      <c r="Z222" s="803"/>
      <c r="AA222" s="803"/>
      <c r="AB222" s="803"/>
      <c r="AC222" s="803"/>
      <c r="AD222" s="803"/>
      <c r="AE222" s="803"/>
      <c r="AF222" s="803"/>
      <c r="AG222" s="803"/>
      <c r="AH222" s="803"/>
      <c r="AI222" s="803"/>
      <c r="AJ222" s="803"/>
    </row>
    <row r="223" spans="1:36" s="826" customFormat="1" ht="22.8">
      <c r="A223" s="1191">
        <v>42</v>
      </c>
      <c r="B223" s="1121" t="s">
        <v>1164</v>
      </c>
      <c r="C223" s="1122" t="s">
        <v>1167</v>
      </c>
      <c r="D223" s="946" t="s">
        <v>611</v>
      </c>
      <c r="E223" s="1075">
        <v>2026</v>
      </c>
      <c r="F223" s="1069"/>
      <c r="G223" s="1060"/>
      <c r="H223" s="1060"/>
      <c r="I223" s="1060"/>
      <c r="J223" s="1060"/>
      <c r="K223" s="1060"/>
      <c r="L223" s="1069"/>
      <c r="M223" s="1060"/>
      <c r="N223" s="1060"/>
      <c r="O223" s="843"/>
      <c r="P223" s="842"/>
      <c r="Q223" s="844"/>
      <c r="R223" s="1076">
        <f t="shared" si="13"/>
        <v>0</v>
      </c>
      <c r="S223" s="825"/>
      <c r="T223" s="1062">
        <f t="shared" si="12"/>
        <v>0</v>
      </c>
      <c r="U223" s="960"/>
      <c r="V223" s="824"/>
      <c r="W223" s="803"/>
      <c r="X223" s="803"/>
      <c r="Y223" s="803"/>
      <c r="Z223" s="803"/>
      <c r="AA223" s="803"/>
      <c r="AB223" s="803"/>
      <c r="AC223" s="803"/>
      <c r="AD223" s="803"/>
      <c r="AE223" s="803"/>
      <c r="AF223" s="803"/>
      <c r="AG223" s="803"/>
      <c r="AH223" s="803"/>
      <c r="AI223" s="803"/>
      <c r="AJ223" s="803"/>
    </row>
    <row r="224" spans="1:36" s="826" customFormat="1" ht="22.8">
      <c r="A224" s="836"/>
      <c r="B224" s="1080" t="s">
        <v>1163</v>
      </c>
      <c r="C224" s="1080" t="s">
        <v>1174</v>
      </c>
      <c r="D224" s="1171"/>
      <c r="E224" s="1180"/>
      <c r="F224" s="1069"/>
      <c r="G224" s="1060"/>
      <c r="H224" s="1060"/>
      <c r="I224" s="1060"/>
      <c r="J224" s="1060"/>
      <c r="K224" s="1060"/>
      <c r="L224" s="1069"/>
      <c r="M224" s="1060"/>
      <c r="N224" s="1060"/>
      <c r="O224" s="843"/>
      <c r="P224" s="842"/>
      <c r="Q224" s="844"/>
      <c r="R224" s="1076">
        <f t="shared" si="13"/>
        <v>0</v>
      </c>
      <c r="S224" s="825"/>
      <c r="T224" s="1062">
        <f t="shared" si="12"/>
        <v>0</v>
      </c>
      <c r="U224" s="960"/>
      <c r="V224" s="824"/>
      <c r="W224" s="803"/>
      <c r="X224" s="803"/>
      <c r="Y224" s="803"/>
      <c r="Z224" s="803"/>
      <c r="AA224" s="803"/>
      <c r="AB224" s="803"/>
      <c r="AC224" s="803"/>
      <c r="AD224" s="803"/>
      <c r="AE224" s="803"/>
      <c r="AF224" s="803"/>
      <c r="AG224" s="803"/>
      <c r="AH224" s="803"/>
      <c r="AI224" s="803"/>
      <c r="AJ224" s="803"/>
    </row>
    <row r="225" spans="1:36" s="826" customFormat="1" ht="22.8">
      <c r="A225" s="836"/>
      <c r="B225" s="1080" t="s">
        <v>1168</v>
      </c>
      <c r="C225" s="1080" t="s">
        <v>1175</v>
      </c>
      <c r="D225" s="1171"/>
      <c r="E225" s="1180"/>
      <c r="F225" s="1069"/>
      <c r="G225" s="1060"/>
      <c r="H225" s="1060"/>
      <c r="I225" s="1060"/>
      <c r="J225" s="1060"/>
      <c r="K225" s="1060"/>
      <c r="L225" s="1069"/>
      <c r="M225" s="1060"/>
      <c r="N225" s="1060"/>
      <c r="O225" s="843"/>
      <c r="P225" s="842"/>
      <c r="Q225" s="844"/>
      <c r="R225" s="1076">
        <f t="shared" si="13"/>
        <v>0</v>
      </c>
      <c r="S225" s="825"/>
      <c r="T225" s="1062">
        <f t="shared" si="12"/>
        <v>0</v>
      </c>
      <c r="U225" s="960"/>
      <c r="V225" s="824"/>
      <c r="W225" s="803"/>
      <c r="X225" s="803"/>
      <c r="Y225" s="803"/>
      <c r="Z225" s="803"/>
      <c r="AA225" s="803"/>
      <c r="AB225" s="803"/>
      <c r="AC225" s="803"/>
      <c r="AD225" s="803"/>
      <c r="AE225" s="803"/>
      <c r="AF225" s="803"/>
      <c r="AG225" s="803"/>
      <c r="AH225" s="803"/>
      <c r="AI225" s="803"/>
      <c r="AJ225" s="803"/>
    </row>
    <row r="226" spans="1:36" s="826" customFormat="1" ht="22.8">
      <c r="A226" s="836"/>
      <c r="B226" s="1080"/>
      <c r="C226" s="1080"/>
      <c r="D226" s="1171"/>
      <c r="E226" s="1180"/>
      <c r="F226" s="1069"/>
      <c r="G226" s="1060"/>
      <c r="H226" s="1060"/>
      <c r="I226" s="1060"/>
      <c r="J226" s="1060"/>
      <c r="K226" s="1060"/>
      <c r="L226" s="1069"/>
      <c r="M226" s="1060"/>
      <c r="N226" s="1060"/>
      <c r="O226" s="843"/>
      <c r="P226" s="842"/>
      <c r="Q226" s="844"/>
      <c r="R226" s="1076">
        <f t="shared" si="13"/>
        <v>0</v>
      </c>
      <c r="S226" s="825"/>
      <c r="T226" s="1062">
        <f t="shared" si="12"/>
        <v>0</v>
      </c>
      <c r="U226" s="960"/>
      <c r="V226" s="824"/>
      <c r="W226" s="803"/>
      <c r="X226" s="803"/>
      <c r="Y226" s="803"/>
      <c r="Z226" s="803"/>
      <c r="AA226" s="803"/>
      <c r="AB226" s="803"/>
      <c r="AC226" s="803"/>
      <c r="AD226" s="803"/>
      <c r="AE226" s="803"/>
      <c r="AF226" s="803"/>
      <c r="AG226" s="803"/>
      <c r="AH226" s="803"/>
      <c r="AI226" s="803"/>
      <c r="AJ226" s="803"/>
    </row>
    <row r="227" spans="1:36" s="826" customFormat="1" ht="22.8">
      <c r="A227" s="1191">
        <v>43</v>
      </c>
      <c r="B227" s="1121" t="s">
        <v>1164</v>
      </c>
      <c r="C227" s="1122" t="s">
        <v>1170</v>
      </c>
      <c r="D227" s="946" t="s">
        <v>611</v>
      </c>
      <c r="E227" s="1075">
        <v>2026</v>
      </c>
      <c r="F227" s="1069"/>
      <c r="G227" s="1060"/>
      <c r="H227" s="1060"/>
      <c r="I227" s="1060"/>
      <c r="J227" s="1060"/>
      <c r="K227" s="1060"/>
      <c r="L227" s="1069"/>
      <c r="M227" s="1060"/>
      <c r="N227" s="1060"/>
      <c r="O227" s="843"/>
      <c r="P227" s="842"/>
      <c r="Q227" s="844"/>
      <c r="R227" s="1076">
        <f t="shared" ref="R227:R229" si="15">SUM(F227:Q227)</f>
        <v>0</v>
      </c>
      <c r="S227" s="825"/>
      <c r="T227" s="1062">
        <f t="shared" ref="T227:T229" si="16">R227*S227</f>
        <v>0</v>
      </c>
      <c r="U227" s="960"/>
      <c r="V227" s="824"/>
      <c r="W227" s="803"/>
      <c r="X227" s="803"/>
      <c r="Y227" s="803"/>
      <c r="Z227" s="803"/>
      <c r="AA227" s="803"/>
      <c r="AB227" s="803"/>
      <c r="AC227" s="803"/>
      <c r="AD227" s="803"/>
      <c r="AE227" s="803"/>
      <c r="AF227" s="803"/>
      <c r="AG227" s="803"/>
      <c r="AH227" s="803"/>
      <c r="AI227" s="803"/>
      <c r="AJ227" s="803"/>
    </row>
    <row r="228" spans="1:36" s="826" customFormat="1" ht="22.8">
      <c r="A228" s="836"/>
      <c r="B228" s="1080" t="s">
        <v>1163</v>
      </c>
      <c r="C228" s="1080" t="s">
        <v>1174</v>
      </c>
      <c r="D228" s="1171"/>
      <c r="E228" s="1180"/>
      <c r="F228" s="1069"/>
      <c r="G228" s="1060"/>
      <c r="H228" s="1060"/>
      <c r="I228" s="1060"/>
      <c r="J228" s="1060"/>
      <c r="K228" s="1060"/>
      <c r="L228" s="1069"/>
      <c r="M228" s="1060"/>
      <c r="N228" s="1060"/>
      <c r="O228" s="843"/>
      <c r="P228" s="842"/>
      <c r="Q228" s="844"/>
      <c r="R228" s="1076">
        <f t="shared" si="15"/>
        <v>0</v>
      </c>
      <c r="S228" s="825"/>
      <c r="T228" s="1062">
        <f t="shared" si="16"/>
        <v>0</v>
      </c>
      <c r="U228" s="960"/>
      <c r="V228" s="824"/>
      <c r="W228" s="803"/>
      <c r="X228" s="803"/>
      <c r="Y228" s="803"/>
      <c r="Z228" s="803"/>
      <c r="AA228" s="803"/>
      <c r="AB228" s="803"/>
      <c r="AC228" s="803"/>
      <c r="AD228" s="803"/>
      <c r="AE228" s="803"/>
      <c r="AF228" s="803"/>
      <c r="AG228" s="803"/>
      <c r="AH228" s="803"/>
      <c r="AI228" s="803"/>
      <c r="AJ228" s="803"/>
    </row>
    <row r="229" spans="1:36" s="826" customFormat="1" ht="22.8">
      <c r="A229" s="836"/>
      <c r="B229" s="1080" t="s">
        <v>1168</v>
      </c>
      <c r="C229" s="1080" t="s">
        <v>1175</v>
      </c>
      <c r="D229" s="1171"/>
      <c r="E229" s="1180"/>
      <c r="F229" s="1069"/>
      <c r="G229" s="1060"/>
      <c r="H229" s="1060"/>
      <c r="I229" s="1060"/>
      <c r="J229" s="1060"/>
      <c r="K229" s="1060"/>
      <c r="L229" s="1069"/>
      <c r="M229" s="1060"/>
      <c r="N229" s="1060"/>
      <c r="O229" s="843"/>
      <c r="P229" s="842"/>
      <c r="Q229" s="844"/>
      <c r="R229" s="1076">
        <f t="shared" si="15"/>
        <v>0</v>
      </c>
      <c r="S229" s="825"/>
      <c r="T229" s="1062">
        <f t="shared" si="16"/>
        <v>0</v>
      </c>
      <c r="U229" s="960"/>
      <c r="V229" s="824"/>
      <c r="W229" s="803"/>
      <c r="X229" s="803"/>
      <c r="Y229" s="803"/>
      <c r="Z229" s="803"/>
      <c r="AA229" s="803"/>
      <c r="AB229" s="803"/>
      <c r="AC229" s="803"/>
      <c r="AD229" s="803"/>
      <c r="AE229" s="803"/>
      <c r="AF229" s="803"/>
      <c r="AG229" s="803"/>
      <c r="AH229" s="803"/>
      <c r="AI229" s="803"/>
      <c r="AJ229" s="803"/>
    </row>
    <row r="230" spans="1:36" s="826" customFormat="1" ht="22.8">
      <c r="A230" s="836"/>
      <c r="B230" s="1080"/>
      <c r="C230" s="1080"/>
      <c r="D230" s="1171"/>
      <c r="E230" s="1180"/>
      <c r="F230" s="1069"/>
      <c r="G230" s="1060"/>
      <c r="H230" s="1060"/>
      <c r="I230" s="1060"/>
      <c r="J230" s="1060"/>
      <c r="K230" s="1060"/>
      <c r="L230" s="1069"/>
      <c r="M230" s="1060"/>
      <c r="N230" s="1060"/>
      <c r="O230" s="843"/>
      <c r="P230" s="842"/>
      <c r="Q230" s="844"/>
      <c r="R230" s="1076"/>
      <c r="S230" s="825"/>
      <c r="T230" s="1062"/>
      <c r="U230" s="960"/>
      <c r="V230" s="824"/>
      <c r="W230" s="803"/>
      <c r="X230" s="803"/>
      <c r="Y230" s="803"/>
      <c r="Z230" s="803"/>
      <c r="AA230" s="803"/>
      <c r="AB230" s="803"/>
      <c r="AC230" s="803"/>
      <c r="AD230" s="803"/>
      <c r="AE230" s="803"/>
      <c r="AF230" s="803"/>
      <c r="AG230" s="803"/>
      <c r="AH230" s="803"/>
      <c r="AI230" s="803"/>
      <c r="AJ230" s="803"/>
    </row>
    <row r="231" spans="1:36" s="826" customFormat="1" ht="22.8">
      <c r="A231" s="1191">
        <v>44</v>
      </c>
      <c r="B231" s="1121" t="s">
        <v>1164</v>
      </c>
      <c r="C231" s="1122" t="s">
        <v>1169</v>
      </c>
      <c r="D231" s="946" t="s">
        <v>611</v>
      </c>
      <c r="E231" s="1075">
        <v>2026</v>
      </c>
      <c r="F231" s="1069"/>
      <c r="G231" s="1060"/>
      <c r="H231" s="1060"/>
      <c r="I231" s="1060"/>
      <c r="J231" s="1060"/>
      <c r="K231" s="1060"/>
      <c r="L231" s="1069"/>
      <c r="M231" s="1060"/>
      <c r="N231" s="1060"/>
      <c r="O231" s="843"/>
      <c r="P231" s="842"/>
      <c r="Q231" s="844"/>
      <c r="R231" s="1076">
        <f t="shared" ref="R231:R233" si="17">SUM(F231:Q231)</f>
        <v>0</v>
      </c>
      <c r="S231" s="825"/>
      <c r="T231" s="1062">
        <f t="shared" ref="T231:T233" si="18">R231*S231</f>
        <v>0</v>
      </c>
      <c r="U231" s="960"/>
      <c r="V231" s="824"/>
      <c r="W231" s="803"/>
      <c r="X231" s="803"/>
      <c r="Y231" s="803"/>
      <c r="Z231" s="803"/>
      <c r="AA231" s="803"/>
      <c r="AB231" s="803"/>
      <c r="AC231" s="803"/>
      <c r="AD231" s="803"/>
      <c r="AE231" s="803"/>
      <c r="AF231" s="803"/>
      <c r="AG231" s="803"/>
      <c r="AH231" s="803"/>
      <c r="AI231" s="803"/>
      <c r="AJ231" s="803"/>
    </row>
    <row r="232" spans="1:36" s="826" customFormat="1" ht="22.8">
      <c r="A232" s="836"/>
      <c r="B232" s="1080" t="s">
        <v>1163</v>
      </c>
      <c r="C232" s="1080" t="s">
        <v>1174</v>
      </c>
      <c r="D232" s="1171"/>
      <c r="E232" s="1180"/>
      <c r="F232" s="1069"/>
      <c r="G232" s="1060"/>
      <c r="H232" s="1060"/>
      <c r="I232" s="1060"/>
      <c r="J232" s="1060"/>
      <c r="K232" s="1060"/>
      <c r="L232" s="1069"/>
      <c r="M232" s="1060"/>
      <c r="N232" s="1060"/>
      <c r="O232" s="843"/>
      <c r="P232" s="842"/>
      <c r="Q232" s="844"/>
      <c r="R232" s="1076">
        <f t="shared" si="17"/>
        <v>0</v>
      </c>
      <c r="S232" s="825"/>
      <c r="T232" s="1062">
        <f t="shared" si="18"/>
        <v>0</v>
      </c>
      <c r="U232" s="960"/>
      <c r="V232" s="824"/>
      <c r="W232" s="803"/>
      <c r="X232" s="803"/>
      <c r="Y232" s="803"/>
      <c r="Z232" s="803"/>
      <c r="AA232" s="803"/>
      <c r="AB232" s="803"/>
      <c r="AC232" s="803"/>
      <c r="AD232" s="803"/>
      <c r="AE232" s="803"/>
      <c r="AF232" s="803"/>
      <c r="AG232" s="803"/>
      <c r="AH232" s="803"/>
      <c r="AI232" s="803"/>
      <c r="AJ232" s="803"/>
    </row>
    <row r="233" spans="1:36" s="826" customFormat="1" ht="22.8">
      <c r="A233" s="836"/>
      <c r="B233" s="1080" t="s">
        <v>1168</v>
      </c>
      <c r="C233" s="1080" t="s">
        <v>1175</v>
      </c>
      <c r="D233" s="1171"/>
      <c r="E233" s="1180"/>
      <c r="F233" s="1069"/>
      <c r="G233" s="1060"/>
      <c r="H233" s="1060"/>
      <c r="I233" s="1060"/>
      <c r="J233" s="1060"/>
      <c r="K233" s="1060"/>
      <c r="L233" s="1069"/>
      <c r="M233" s="1060"/>
      <c r="N233" s="1060"/>
      <c r="O233" s="843"/>
      <c r="P233" s="842"/>
      <c r="Q233" s="844"/>
      <c r="R233" s="1076">
        <f t="shared" si="17"/>
        <v>0</v>
      </c>
      <c r="S233" s="825"/>
      <c r="T233" s="1062">
        <f t="shared" si="18"/>
        <v>0</v>
      </c>
      <c r="U233" s="960"/>
      <c r="V233" s="824"/>
      <c r="W233" s="803"/>
      <c r="X233" s="803"/>
      <c r="Y233" s="803"/>
      <c r="Z233" s="803"/>
      <c r="AA233" s="803"/>
      <c r="AB233" s="803"/>
      <c r="AC233" s="803"/>
      <c r="AD233" s="803"/>
      <c r="AE233" s="803"/>
      <c r="AF233" s="803"/>
      <c r="AG233" s="803"/>
      <c r="AH233" s="803"/>
      <c r="AI233" s="803"/>
      <c r="AJ233" s="803"/>
    </row>
    <row r="234" spans="1:36" s="826" customFormat="1" ht="22.8">
      <c r="A234" s="836"/>
      <c r="B234" s="1080"/>
      <c r="C234" s="1080"/>
      <c r="D234" s="1171"/>
      <c r="E234" s="1180"/>
      <c r="F234" s="1069"/>
      <c r="G234" s="1060"/>
      <c r="H234" s="1060"/>
      <c r="I234" s="1060"/>
      <c r="J234" s="1060"/>
      <c r="K234" s="1060"/>
      <c r="L234" s="1069"/>
      <c r="M234" s="1060"/>
      <c r="N234" s="1060"/>
      <c r="O234" s="843"/>
      <c r="P234" s="842"/>
      <c r="Q234" s="844"/>
      <c r="R234" s="1076"/>
      <c r="S234" s="825"/>
      <c r="T234" s="1062"/>
      <c r="U234" s="960"/>
      <c r="V234" s="824"/>
      <c r="W234" s="803"/>
      <c r="X234" s="803"/>
      <c r="Y234" s="803"/>
      <c r="Z234" s="803"/>
      <c r="AA234" s="803"/>
      <c r="AB234" s="803"/>
      <c r="AC234" s="803"/>
      <c r="AD234" s="803"/>
      <c r="AE234" s="803"/>
      <c r="AF234" s="803"/>
      <c r="AG234" s="803"/>
      <c r="AH234" s="803"/>
      <c r="AI234" s="803"/>
      <c r="AJ234" s="803"/>
    </row>
    <row r="235" spans="1:36" s="826" customFormat="1" ht="22.8">
      <c r="A235" s="1191">
        <v>45</v>
      </c>
      <c r="B235" s="1121" t="s">
        <v>1164</v>
      </c>
      <c r="C235" s="1122" t="s">
        <v>1171</v>
      </c>
      <c r="D235" s="946" t="s">
        <v>611</v>
      </c>
      <c r="E235" s="1075">
        <v>2026</v>
      </c>
      <c r="F235" s="1069"/>
      <c r="G235" s="1060"/>
      <c r="H235" s="1060"/>
      <c r="I235" s="1060"/>
      <c r="J235" s="1060"/>
      <c r="K235" s="1060"/>
      <c r="L235" s="1069"/>
      <c r="M235" s="1060"/>
      <c r="N235" s="1060"/>
      <c r="O235" s="843"/>
      <c r="P235" s="842"/>
      <c r="Q235" s="844"/>
      <c r="R235" s="1076">
        <f t="shared" ref="R235:R237" si="19">SUM(F235:Q235)</f>
        <v>0</v>
      </c>
      <c r="S235" s="825"/>
      <c r="T235" s="1062">
        <f t="shared" ref="T235:T237" si="20">R235*S235</f>
        <v>0</v>
      </c>
      <c r="U235" s="960"/>
      <c r="V235" s="824" t="s">
        <v>1166</v>
      </c>
      <c r="W235" s="803"/>
      <c r="X235" s="803"/>
      <c r="Y235" s="803"/>
      <c r="Z235" s="803"/>
      <c r="AA235" s="803"/>
      <c r="AB235" s="803"/>
      <c r="AC235" s="803"/>
      <c r="AD235" s="803"/>
      <c r="AE235" s="803"/>
      <c r="AF235" s="803"/>
      <c r="AG235" s="803"/>
      <c r="AH235" s="803"/>
      <c r="AI235" s="803"/>
      <c r="AJ235" s="803"/>
    </row>
    <row r="236" spans="1:36" s="826" customFormat="1" ht="22.8">
      <c r="A236" s="836"/>
      <c r="B236" s="1080" t="s">
        <v>1163</v>
      </c>
      <c r="C236" s="1080" t="s">
        <v>1174</v>
      </c>
      <c r="D236" s="1171"/>
      <c r="E236" s="1180"/>
      <c r="F236" s="1069"/>
      <c r="G236" s="1060"/>
      <c r="H236" s="1060"/>
      <c r="I236" s="1060"/>
      <c r="J236" s="1060"/>
      <c r="K236" s="1060"/>
      <c r="L236" s="1069"/>
      <c r="M236" s="1060"/>
      <c r="N236" s="1060"/>
      <c r="O236" s="843"/>
      <c r="P236" s="842"/>
      <c r="Q236" s="844"/>
      <c r="R236" s="1076">
        <f t="shared" si="19"/>
        <v>0</v>
      </c>
      <c r="S236" s="825"/>
      <c r="T236" s="1062">
        <f t="shared" si="20"/>
        <v>0</v>
      </c>
      <c r="U236" s="960"/>
      <c r="V236" s="824"/>
      <c r="W236" s="803"/>
      <c r="X236" s="803"/>
      <c r="Y236" s="803"/>
      <c r="Z236" s="803"/>
      <c r="AA236" s="803"/>
      <c r="AB236" s="803"/>
      <c r="AC236" s="803"/>
      <c r="AD236" s="803"/>
      <c r="AE236" s="803"/>
      <c r="AF236" s="803"/>
      <c r="AG236" s="803"/>
      <c r="AH236" s="803"/>
      <c r="AI236" s="803"/>
      <c r="AJ236" s="803"/>
    </row>
    <row r="237" spans="1:36" s="826" customFormat="1" ht="22.8">
      <c r="A237" s="836"/>
      <c r="B237" s="1080" t="s">
        <v>1168</v>
      </c>
      <c r="C237" s="1080" t="s">
        <v>1175</v>
      </c>
      <c r="D237" s="1171"/>
      <c r="E237" s="1180"/>
      <c r="F237" s="1069"/>
      <c r="G237" s="1060"/>
      <c r="H237" s="1060"/>
      <c r="I237" s="1060"/>
      <c r="J237" s="1060"/>
      <c r="K237" s="1060"/>
      <c r="L237" s="1069"/>
      <c r="M237" s="1060"/>
      <c r="N237" s="1060"/>
      <c r="O237" s="843"/>
      <c r="P237" s="842"/>
      <c r="Q237" s="844"/>
      <c r="R237" s="1076">
        <f t="shared" si="19"/>
        <v>0</v>
      </c>
      <c r="S237" s="825"/>
      <c r="T237" s="1062">
        <f t="shared" si="20"/>
        <v>0</v>
      </c>
      <c r="U237" s="960"/>
      <c r="V237" s="824"/>
      <c r="W237" s="803"/>
      <c r="X237" s="803"/>
      <c r="Y237" s="803"/>
      <c r="Z237" s="803"/>
      <c r="AA237" s="803"/>
      <c r="AB237" s="803"/>
      <c r="AC237" s="803"/>
      <c r="AD237" s="803"/>
      <c r="AE237" s="803"/>
      <c r="AF237" s="803"/>
      <c r="AG237" s="803"/>
      <c r="AH237" s="803"/>
      <c r="AI237" s="803"/>
      <c r="AJ237" s="803"/>
    </row>
    <row r="238" spans="1:36" s="826" customFormat="1" ht="22.8">
      <c r="A238" s="836"/>
      <c r="B238" s="1080"/>
      <c r="C238" s="1080"/>
      <c r="D238" s="1171"/>
      <c r="E238" s="1180"/>
      <c r="F238" s="1069"/>
      <c r="G238" s="1060"/>
      <c r="H238" s="1060"/>
      <c r="I238" s="1060"/>
      <c r="J238" s="1060"/>
      <c r="K238" s="1060"/>
      <c r="L238" s="1069"/>
      <c r="M238" s="1060"/>
      <c r="N238" s="1060"/>
      <c r="O238" s="843"/>
      <c r="P238" s="842"/>
      <c r="Q238" s="844"/>
      <c r="R238" s="1076">
        <f t="shared" si="13"/>
        <v>0</v>
      </c>
      <c r="S238" s="825"/>
      <c r="T238" s="1062">
        <f t="shared" si="12"/>
        <v>0</v>
      </c>
      <c r="U238" s="960"/>
      <c r="V238" s="824"/>
      <c r="W238" s="803"/>
      <c r="X238" s="803"/>
      <c r="Y238" s="803"/>
      <c r="Z238" s="803"/>
      <c r="AA238" s="803"/>
      <c r="AB238" s="803"/>
      <c r="AC238" s="803"/>
      <c r="AD238" s="803"/>
      <c r="AE238" s="803"/>
      <c r="AF238" s="803"/>
      <c r="AG238" s="803"/>
      <c r="AH238" s="803"/>
      <c r="AI238" s="803"/>
      <c r="AJ238" s="803"/>
    </row>
    <row r="239" spans="1:36" s="826" customFormat="1" ht="22.8">
      <c r="A239" s="1191">
        <v>46</v>
      </c>
      <c r="B239" s="1121" t="s">
        <v>1164</v>
      </c>
      <c r="C239" s="1122" t="s">
        <v>1172</v>
      </c>
      <c r="D239" s="946" t="s">
        <v>611</v>
      </c>
      <c r="E239" s="1075">
        <v>2026</v>
      </c>
      <c r="F239" s="1069"/>
      <c r="G239" s="1060"/>
      <c r="H239" s="1060"/>
      <c r="I239" s="1060"/>
      <c r="J239" s="1060"/>
      <c r="K239" s="1060"/>
      <c r="L239" s="1069"/>
      <c r="M239" s="1060"/>
      <c r="N239" s="1060"/>
      <c r="O239" s="843"/>
      <c r="P239" s="842"/>
      <c r="Q239" s="844"/>
      <c r="R239" s="1076">
        <f t="shared" si="13"/>
        <v>0</v>
      </c>
      <c r="S239" s="825"/>
      <c r="T239" s="1062">
        <f t="shared" si="12"/>
        <v>0</v>
      </c>
      <c r="U239" s="960"/>
      <c r="V239" s="824"/>
      <c r="W239" s="803"/>
      <c r="X239" s="803"/>
      <c r="Y239" s="803"/>
      <c r="Z239" s="803"/>
      <c r="AA239" s="803"/>
      <c r="AB239" s="803"/>
      <c r="AC239" s="803"/>
      <c r="AD239" s="803"/>
      <c r="AE239" s="803"/>
      <c r="AF239" s="803"/>
      <c r="AG239" s="803"/>
      <c r="AH239" s="803"/>
      <c r="AI239" s="803"/>
      <c r="AJ239" s="803"/>
    </row>
    <row r="240" spans="1:36" s="826" customFormat="1" ht="22.8">
      <c r="A240" s="836"/>
      <c r="B240" s="1080" t="s">
        <v>1163</v>
      </c>
      <c r="C240" s="1080" t="s">
        <v>1174</v>
      </c>
      <c r="D240" s="1171"/>
      <c r="E240" s="1180"/>
      <c r="F240" s="1069"/>
      <c r="G240" s="1060"/>
      <c r="H240" s="1060"/>
      <c r="I240" s="1060"/>
      <c r="J240" s="1060"/>
      <c r="K240" s="1060"/>
      <c r="L240" s="1069"/>
      <c r="M240" s="1060"/>
      <c r="N240" s="1060"/>
      <c r="O240" s="843"/>
      <c r="P240" s="842"/>
      <c r="Q240" s="844"/>
      <c r="R240" s="1076">
        <f t="shared" si="13"/>
        <v>0</v>
      </c>
      <c r="S240" s="825"/>
      <c r="T240" s="1062">
        <f t="shared" si="12"/>
        <v>0</v>
      </c>
      <c r="U240" s="960"/>
      <c r="V240" s="824"/>
      <c r="W240" s="803"/>
      <c r="X240" s="803"/>
      <c r="Y240" s="803"/>
      <c r="Z240" s="803"/>
      <c r="AA240" s="803"/>
      <c r="AB240" s="803"/>
      <c r="AC240" s="803"/>
      <c r="AD240" s="803"/>
      <c r="AE240" s="803"/>
      <c r="AF240" s="803"/>
      <c r="AG240" s="803"/>
      <c r="AH240" s="803"/>
      <c r="AI240" s="803"/>
      <c r="AJ240" s="803"/>
    </row>
    <row r="241" spans="1:36" s="826" customFormat="1" ht="22.8">
      <c r="A241" s="836"/>
      <c r="B241" s="1080" t="s">
        <v>1168</v>
      </c>
      <c r="C241" s="1080" t="s">
        <v>1175</v>
      </c>
      <c r="D241" s="1171"/>
      <c r="E241" s="1180"/>
      <c r="F241" s="1069"/>
      <c r="G241" s="1060"/>
      <c r="H241" s="1060"/>
      <c r="I241" s="1060"/>
      <c r="J241" s="1060"/>
      <c r="K241" s="1060"/>
      <c r="L241" s="1069"/>
      <c r="M241" s="1060"/>
      <c r="N241" s="1060"/>
      <c r="O241" s="843"/>
      <c r="P241" s="842"/>
      <c r="Q241" s="844"/>
      <c r="R241" s="1076">
        <f t="shared" si="13"/>
        <v>0</v>
      </c>
      <c r="S241" s="825"/>
      <c r="T241" s="1062">
        <f t="shared" si="12"/>
        <v>0</v>
      </c>
      <c r="U241" s="960"/>
      <c r="V241" s="824"/>
      <c r="W241" s="803"/>
      <c r="X241" s="803"/>
      <c r="Y241" s="803"/>
      <c r="Z241" s="803"/>
      <c r="AA241" s="803"/>
      <c r="AB241" s="803"/>
      <c r="AC241" s="803"/>
      <c r="AD241" s="803"/>
      <c r="AE241" s="803"/>
      <c r="AF241" s="803"/>
      <c r="AG241" s="803"/>
      <c r="AH241" s="803"/>
      <c r="AI241" s="803"/>
      <c r="AJ241" s="803"/>
    </row>
    <row r="242" spans="1:36" s="826" customFormat="1" ht="22.8">
      <c r="A242" s="836"/>
      <c r="B242" s="1080"/>
      <c r="C242" s="1143"/>
      <c r="D242" s="1185"/>
      <c r="E242" s="1180"/>
      <c r="F242" s="1069"/>
      <c r="G242" s="1060"/>
      <c r="H242" s="1060"/>
      <c r="I242" s="1060"/>
      <c r="J242" s="1060"/>
      <c r="K242" s="1060"/>
      <c r="L242" s="1069"/>
      <c r="M242" s="1060"/>
      <c r="N242" s="1060"/>
      <c r="O242" s="843"/>
      <c r="P242" s="842"/>
      <c r="Q242" s="844"/>
      <c r="R242" s="1076"/>
      <c r="S242" s="825"/>
      <c r="T242" s="1062"/>
      <c r="U242" s="960"/>
      <c r="V242" s="824"/>
      <c r="W242" s="803"/>
      <c r="X242" s="803"/>
      <c r="Y242" s="803"/>
      <c r="Z242" s="803"/>
      <c r="AA242" s="803"/>
      <c r="AB242" s="803"/>
      <c r="AC242" s="803"/>
      <c r="AD242" s="803"/>
      <c r="AE242" s="803"/>
      <c r="AF242" s="803"/>
      <c r="AG242" s="803"/>
      <c r="AH242" s="803"/>
      <c r="AI242" s="803"/>
      <c r="AJ242" s="803"/>
    </row>
    <row r="243" spans="1:36" s="826" customFormat="1" ht="22.8">
      <c r="A243" s="1191">
        <v>47</v>
      </c>
      <c r="B243" s="1121" t="s">
        <v>1164</v>
      </c>
      <c r="C243" s="1122" t="s">
        <v>1173</v>
      </c>
      <c r="D243" s="946" t="s">
        <v>611</v>
      </c>
      <c r="E243" s="1075">
        <v>2026</v>
      </c>
      <c r="F243" s="1069"/>
      <c r="G243" s="1060"/>
      <c r="H243" s="1060"/>
      <c r="I243" s="1060"/>
      <c r="J243" s="1060"/>
      <c r="K243" s="1060"/>
      <c r="L243" s="1069"/>
      <c r="M243" s="1060"/>
      <c r="N243" s="1060"/>
      <c r="O243" s="843"/>
      <c r="P243" s="842"/>
      <c r="Q243" s="844"/>
      <c r="R243" s="1076">
        <f t="shared" ref="R243:R245" si="21">SUM(F243:Q243)</f>
        <v>0</v>
      </c>
      <c r="S243" s="825"/>
      <c r="T243" s="1062">
        <f t="shared" ref="T243:T245" si="22">R243*S243</f>
        <v>0</v>
      </c>
      <c r="U243" s="960"/>
      <c r="V243" s="824"/>
      <c r="W243" s="803"/>
      <c r="X243" s="803"/>
      <c r="Y243" s="803"/>
      <c r="Z243" s="803"/>
      <c r="AA243" s="803"/>
      <c r="AB243" s="803"/>
      <c r="AC243" s="803"/>
      <c r="AD243" s="803"/>
      <c r="AE243" s="803"/>
      <c r="AF243" s="803"/>
      <c r="AG243" s="803"/>
      <c r="AH243" s="803"/>
      <c r="AI243" s="803"/>
      <c r="AJ243" s="803"/>
    </row>
    <row r="244" spans="1:36" s="826" customFormat="1" ht="22.8">
      <c r="A244" s="836"/>
      <c r="B244" s="1080" t="s">
        <v>1163</v>
      </c>
      <c r="C244" s="1080" t="s">
        <v>1174</v>
      </c>
      <c r="D244" s="1171"/>
      <c r="E244" s="1180"/>
      <c r="F244" s="1069"/>
      <c r="G244" s="1060"/>
      <c r="H244" s="1060"/>
      <c r="I244" s="1060"/>
      <c r="J244" s="1060"/>
      <c r="K244" s="1060"/>
      <c r="L244" s="1069"/>
      <c r="M244" s="1060"/>
      <c r="N244" s="1060"/>
      <c r="O244" s="843"/>
      <c r="P244" s="842"/>
      <c r="Q244" s="844"/>
      <c r="R244" s="1076">
        <f t="shared" si="21"/>
        <v>0</v>
      </c>
      <c r="S244" s="825"/>
      <c r="T244" s="1062">
        <f t="shared" si="22"/>
        <v>0</v>
      </c>
      <c r="U244" s="960"/>
      <c r="V244" s="824"/>
      <c r="W244" s="803"/>
      <c r="X244" s="803"/>
      <c r="Y244" s="803"/>
      <c r="Z244" s="803"/>
      <c r="AA244" s="803"/>
      <c r="AB244" s="803"/>
      <c r="AC244" s="803"/>
      <c r="AD244" s="803"/>
      <c r="AE244" s="803"/>
      <c r="AF244" s="803"/>
      <c r="AG244" s="803"/>
      <c r="AH244" s="803"/>
      <c r="AI244" s="803"/>
      <c r="AJ244" s="803"/>
    </row>
    <row r="245" spans="1:36" s="826" customFormat="1" ht="22.8">
      <c r="A245" s="836"/>
      <c r="B245" s="1080" t="s">
        <v>1168</v>
      </c>
      <c r="C245" s="1080" t="s">
        <v>1175</v>
      </c>
      <c r="D245" s="1171"/>
      <c r="E245" s="1180"/>
      <c r="F245" s="1069"/>
      <c r="G245" s="1060"/>
      <c r="H245" s="1060"/>
      <c r="I245" s="1060"/>
      <c r="J245" s="1060"/>
      <c r="K245" s="1060"/>
      <c r="L245" s="1069"/>
      <c r="M245" s="1060"/>
      <c r="N245" s="1060"/>
      <c r="O245" s="843"/>
      <c r="P245" s="842"/>
      <c r="Q245" s="844"/>
      <c r="R245" s="1076">
        <f t="shared" si="21"/>
        <v>0</v>
      </c>
      <c r="S245" s="825"/>
      <c r="T245" s="1062">
        <f t="shared" si="22"/>
        <v>0</v>
      </c>
      <c r="U245" s="960"/>
      <c r="V245" s="824"/>
      <c r="W245" s="803"/>
      <c r="X245" s="803"/>
      <c r="Y245" s="803"/>
      <c r="Z245" s="803"/>
      <c r="AA245" s="803"/>
      <c r="AB245" s="803"/>
      <c r="AC245" s="803"/>
      <c r="AD245" s="803"/>
      <c r="AE245" s="803"/>
      <c r="AF245" s="803"/>
      <c r="AG245" s="803"/>
      <c r="AH245" s="803"/>
      <c r="AI245" s="803"/>
      <c r="AJ245" s="803"/>
    </row>
    <row r="246" spans="1:36" s="826" customFormat="1" ht="22.8">
      <c r="A246" s="836"/>
      <c r="B246" s="1080"/>
      <c r="C246" s="1143"/>
      <c r="D246" s="1171"/>
      <c r="E246" s="1180"/>
      <c r="F246" s="1069"/>
      <c r="G246" s="1060"/>
      <c r="H246" s="1060"/>
      <c r="I246" s="1060"/>
      <c r="J246" s="1060"/>
      <c r="K246" s="1060"/>
      <c r="L246" s="1069"/>
      <c r="M246" s="1060"/>
      <c r="N246" s="1060"/>
      <c r="O246" s="843"/>
      <c r="P246" s="842"/>
      <c r="Q246" s="844"/>
      <c r="R246" s="1076"/>
      <c r="S246" s="825"/>
      <c r="T246" s="1062"/>
      <c r="U246" s="960"/>
      <c r="V246" s="824"/>
      <c r="W246" s="803"/>
      <c r="X246" s="803"/>
      <c r="Y246" s="803"/>
      <c r="Z246" s="803"/>
      <c r="AA246" s="803"/>
      <c r="AB246" s="803"/>
      <c r="AC246" s="803"/>
      <c r="AD246" s="803"/>
      <c r="AE246" s="803"/>
      <c r="AF246" s="803"/>
      <c r="AG246" s="803"/>
      <c r="AH246" s="803"/>
      <c r="AI246" s="803"/>
      <c r="AJ246" s="803"/>
    </row>
    <row r="247" spans="1:36" s="826" customFormat="1" ht="22.8">
      <c r="A247" s="1191">
        <v>48</v>
      </c>
      <c r="B247" s="1121" t="s">
        <v>1176</v>
      </c>
      <c r="C247" s="1122" t="s">
        <v>1165</v>
      </c>
      <c r="D247" s="946" t="s">
        <v>611</v>
      </c>
      <c r="E247" s="1075">
        <v>2026</v>
      </c>
      <c r="F247" s="1069"/>
      <c r="G247" s="1060"/>
      <c r="H247" s="1060"/>
      <c r="I247" s="1060"/>
      <c r="J247" s="1060"/>
      <c r="K247" s="1060"/>
      <c r="L247" s="1069"/>
      <c r="M247" s="1060"/>
      <c r="N247" s="1060"/>
      <c r="O247" s="843"/>
      <c r="P247" s="842"/>
      <c r="Q247" s="844"/>
      <c r="R247" s="1076">
        <f t="shared" si="13"/>
        <v>0</v>
      </c>
      <c r="S247" s="825"/>
      <c r="T247" s="1062">
        <f t="shared" si="12"/>
        <v>0</v>
      </c>
      <c r="U247" s="960"/>
      <c r="V247" s="824"/>
      <c r="W247" s="803"/>
      <c r="X247" s="803"/>
      <c r="Y247" s="803"/>
      <c r="Z247" s="803"/>
      <c r="AA247" s="803"/>
      <c r="AB247" s="803"/>
      <c r="AC247" s="803"/>
      <c r="AD247" s="803"/>
      <c r="AE247" s="803"/>
      <c r="AF247" s="803"/>
      <c r="AG247" s="803"/>
      <c r="AH247" s="803"/>
      <c r="AI247" s="803"/>
      <c r="AJ247" s="803"/>
    </row>
    <row r="248" spans="1:36" s="826" customFormat="1" ht="22.8">
      <c r="A248" s="836"/>
      <c r="B248" s="1080" t="s">
        <v>1177</v>
      </c>
      <c r="C248" s="1080" t="s">
        <v>1174</v>
      </c>
      <c r="D248" s="1171"/>
      <c r="E248" s="1180"/>
      <c r="F248" s="1069"/>
      <c r="G248" s="1060"/>
      <c r="H248" s="1060"/>
      <c r="I248" s="1060"/>
      <c r="J248" s="1060"/>
      <c r="K248" s="1060"/>
      <c r="L248" s="1069"/>
      <c r="M248" s="1060"/>
      <c r="N248" s="1060"/>
      <c r="O248" s="843"/>
      <c r="P248" s="842"/>
      <c r="Q248" s="844"/>
      <c r="R248" s="1076">
        <f t="shared" si="13"/>
        <v>0</v>
      </c>
      <c r="S248" s="825"/>
      <c r="T248" s="1062">
        <f t="shared" si="12"/>
        <v>0</v>
      </c>
      <c r="U248" s="960"/>
      <c r="V248" s="824"/>
      <c r="W248" s="803"/>
      <c r="X248" s="803"/>
      <c r="Y248" s="803"/>
      <c r="Z248" s="803"/>
      <c r="AA248" s="803"/>
      <c r="AB248" s="803"/>
      <c r="AC248" s="803"/>
      <c r="AD248" s="803"/>
      <c r="AE248" s="803"/>
      <c r="AF248" s="803"/>
      <c r="AG248" s="803"/>
      <c r="AH248" s="803"/>
      <c r="AI248" s="803"/>
      <c r="AJ248" s="803"/>
    </row>
    <row r="249" spans="1:36" s="826" customFormat="1" ht="22.8">
      <c r="A249" s="836"/>
      <c r="B249" s="1080" t="s">
        <v>1178</v>
      </c>
      <c r="C249" s="1080" t="s">
        <v>1175</v>
      </c>
      <c r="D249" s="1171"/>
      <c r="E249" s="1180"/>
      <c r="F249" s="1069"/>
      <c r="G249" s="1060"/>
      <c r="H249" s="1060"/>
      <c r="I249" s="1060"/>
      <c r="J249" s="1060"/>
      <c r="K249" s="1060"/>
      <c r="L249" s="1069"/>
      <c r="M249" s="1060"/>
      <c r="N249" s="1060"/>
      <c r="O249" s="843"/>
      <c r="P249" s="842"/>
      <c r="Q249" s="844"/>
      <c r="R249" s="1076">
        <f t="shared" si="13"/>
        <v>0</v>
      </c>
      <c r="S249" s="825"/>
      <c r="T249" s="1062">
        <f t="shared" si="12"/>
        <v>0</v>
      </c>
      <c r="U249" s="960"/>
      <c r="V249" s="824"/>
      <c r="W249" s="803"/>
      <c r="X249" s="803"/>
      <c r="Y249" s="803"/>
      <c r="Z249" s="803"/>
      <c r="AA249" s="803"/>
      <c r="AB249" s="803"/>
      <c r="AC249" s="803"/>
      <c r="AD249" s="803"/>
      <c r="AE249" s="803"/>
      <c r="AF249" s="803"/>
      <c r="AG249" s="803"/>
      <c r="AH249" s="803"/>
      <c r="AI249" s="803"/>
      <c r="AJ249" s="803"/>
    </row>
    <row r="250" spans="1:36" s="826" customFormat="1" ht="22.8">
      <c r="A250" s="836"/>
      <c r="B250" s="1080" t="s">
        <v>1179</v>
      </c>
      <c r="C250" s="1080" t="s">
        <v>1180</v>
      </c>
      <c r="D250" s="1171"/>
      <c r="E250" s="1180"/>
      <c r="F250" s="1069"/>
      <c r="G250" s="1060"/>
      <c r="H250" s="1060"/>
      <c r="I250" s="1060"/>
      <c r="J250" s="1060"/>
      <c r="K250" s="1060"/>
      <c r="L250" s="1069"/>
      <c r="M250" s="1060"/>
      <c r="N250" s="1060"/>
      <c r="O250" s="843"/>
      <c r="P250" s="842"/>
      <c r="Q250" s="844"/>
      <c r="R250" s="1076">
        <f t="shared" si="13"/>
        <v>0</v>
      </c>
      <c r="S250" s="825"/>
      <c r="T250" s="1062">
        <f t="shared" si="12"/>
        <v>0</v>
      </c>
      <c r="U250" s="960"/>
      <c r="V250" s="824"/>
      <c r="W250" s="803"/>
      <c r="X250" s="803"/>
      <c r="Y250" s="803"/>
      <c r="Z250" s="803"/>
      <c r="AA250" s="803"/>
      <c r="AB250" s="803"/>
      <c r="AC250" s="803"/>
      <c r="AD250" s="803"/>
      <c r="AE250" s="803"/>
      <c r="AF250" s="803"/>
      <c r="AG250" s="803"/>
      <c r="AH250" s="803"/>
      <c r="AI250" s="803"/>
      <c r="AJ250" s="803"/>
    </row>
    <row r="251" spans="1:36" s="826" customFormat="1" ht="22.8">
      <c r="A251" s="836"/>
      <c r="B251" s="1080"/>
      <c r="C251" s="1080" t="s">
        <v>1152</v>
      </c>
      <c r="D251" s="1171"/>
      <c r="E251" s="1180"/>
      <c r="F251" s="1069"/>
      <c r="G251" s="1060"/>
      <c r="H251" s="1060"/>
      <c r="I251" s="1060"/>
      <c r="J251" s="1060"/>
      <c r="K251" s="1060"/>
      <c r="L251" s="1069"/>
      <c r="M251" s="1060"/>
      <c r="N251" s="1060"/>
      <c r="O251" s="843"/>
      <c r="P251" s="842"/>
      <c r="Q251" s="844"/>
      <c r="R251" s="1076">
        <f t="shared" si="13"/>
        <v>0</v>
      </c>
      <c r="S251" s="825"/>
      <c r="T251" s="1062">
        <f t="shared" si="12"/>
        <v>0</v>
      </c>
      <c r="U251" s="960"/>
      <c r="V251" s="824"/>
      <c r="W251" s="803"/>
      <c r="X251" s="803"/>
      <c r="Y251" s="803"/>
      <c r="Z251" s="803"/>
      <c r="AA251" s="803"/>
      <c r="AB251" s="803"/>
      <c r="AC251" s="803"/>
      <c r="AD251" s="803"/>
      <c r="AE251" s="803"/>
      <c r="AF251" s="803"/>
      <c r="AG251" s="803"/>
      <c r="AH251" s="803"/>
      <c r="AI251" s="803"/>
      <c r="AJ251" s="803"/>
    </row>
    <row r="252" spans="1:36" s="826" customFormat="1" ht="22.8">
      <c r="A252" s="836"/>
      <c r="B252" s="1080"/>
      <c r="C252" s="1080"/>
      <c r="D252" s="1171"/>
      <c r="E252" s="1180"/>
      <c r="F252" s="1069"/>
      <c r="G252" s="1060"/>
      <c r="H252" s="1060"/>
      <c r="I252" s="1060"/>
      <c r="J252" s="1060"/>
      <c r="K252" s="1060"/>
      <c r="L252" s="1069"/>
      <c r="M252" s="1060"/>
      <c r="N252" s="1060"/>
      <c r="O252" s="843"/>
      <c r="P252" s="842"/>
      <c r="Q252" s="844"/>
      <c r="R252" s="1076">
        <f t="shared" si="13"/>
        <v>0</v>
      </c>
      <c r="S252" s="825"/>
      <c r="T252" s="1062">
        <f t="shared" si="12"/>
        <v>0</v>
      </c>
      <c r="U252" s="960"/>
      <c r="V252" s="824"/>
      <c r="W252" s="803"/>
      <c r="X252" s="803"/>
      <c r="Y252" s="803"/>
      <c r="Z252" s="803"/>
      <c r="AA252" s="803"/>
      <c r="AB252" s="803"/>
      <c r="AC252" s="803"/>
      <c r="AD252" s="803"/>
      <c r="AE252" s="803"/>
      <c r="AF252" s="803"/>
      <c r="AG252" s="803"/>
      <c r="AH252" s="803"/>
      <c r="AI252" s="803"/>
      <c r="AJ252" s="803"/>
    </row>
    <row r="253" spans="1:36" s="826" customFormat="1" ht="22.8">
      <c r="A253" s="1191">
        <v>49</v>
      </c>
      <c r="B253" s="1121" t="s">
        <v>1183</v>
      </c>
      <c r="C253" s="1122" t="s">
        <v>1181</v>
      </c>
      <c r="D253" s="946" t="s">
        <v>611</v>
      </c>
      <c r="E253" s="1075">
        <v>2026</v>
      </c>
      <c r="F253" s="1069"/>
      <c r="G253" s="1060"/>
      <c r="H253" s="1060"/>
      <c r="I253" s="1060"/>
      <c r="J253" s="1060"/>
      <c r="K253" s="1060"/>
      <c r="L253" s="1069"/>
      <c r="M253" s="1060"/>
      <c r="N253" s="1060"/>
      <c r="O253" s="843"/>
      <c r="P253" s="842"/>
      <c r="Q253" s="844"/>
      <c r="R253" s="1076">
        <f t="shared" si="13"/>
        <v>0</v>
      </c>
      <c r="S253" s="825"/>
      <c r="T253" s="1062">
        <f t="shared" si="12"/>
        <v>0</v>
      </c>
      <c r="U253" s="960"/>
      <c r="V253" s="1189" t="s">
        <v>1185</v>
      </c>
      <c r="W253" s="803"/>
      <c r="X253" s="803"/>
      <c r="Y253" s="803"/>
      <c r="Z253" s="803"/>
      <c r="AA253" s="803"/>
      <c r="AB253" s="803"/>
      <c r="AC253" s="803"/>
      <c r="AD253" s="803"/>
      <c r="AE253" s="803"/>
      <c r="AF253" s="803"/>
      <c r="AG253" s="803"/>
      <c r="AH253" s="803"/>
      <c r="AI253" s="803"/>
      <c r="AJ253" s="803"/>
    </row>
    <row r="254" spans="1:36" s="826" customFormat="1" ht="22.8">
      <c r="A254" s="836"/>
      <c r="B254" s="1080" t="s">
        <v>1184</v>
      </c>
      <c r="C254" s="1080" t="s">
        <v>1182</v>
      </c>
      <c r="D254" s="1171"/>
      <c r="E254" s="1180"/>
      <c r="F254" s="1069"/>
      <c r="G254" s="1060"/>
      <c r="H254" s="1060"/>
      <c r="I254" s="1060"/>
      <c r="J254" s="1060"/>
      <c r="K254" s="1060"/>
      <c r="L254" s="1069"/>
      <c r="M254" s="1060"/>
      <c r="N254" s="1060"/>
      <c r="O254" s="843"/>
      <c r="P254" s="842"/>
      <c r="Q254" s="844">
        <v>8.9</v>
      </c>
      <c r="R254" s="1076">
        <f t="shared" si="13"/>
        <v>8.9</v>
      </c>
      <c r="S254" s="825">
        <v>0.1</v>
      </c>
      <c r="T254" s="1062">
        <f t="shared" ref="T254:T263" si="23">R254*S254</f>
        <v>0.89000000000000012</v>
      </c>
      <c r="U254" s="960"/>
      <c r="V254" s="824"/>
      <c r="W254" s="803"/>
      <c r="X254" s="803"/>
      <c r="Y254" s="803"/>
      <c r="Z254" s="803"/>
      <c r="AA254" s="803"/>
      <c r="AB254" s="803"/>
      <c r="AC254" s="803"/>
      <c r="AD254" s="803"/>
      <c r="AE254" s="803"/>
      <c r="AF254" s="803"/>
      <c r="AG254" s="803"/>
      <c r="AH254" s="803"/>
      <c r="AI254" s="803"/>
      <c r="AJ254" s="803"/>
    </row>
    <row r="255" spans="1:36" s="826" customFormat="1" ht="22.8">
      <c r="A255" s="836"/>
      <c r="B255" s="1080" t="s">
        <v>1187</v>
      </c>
      <c r="C255" s="1080" t="s">
        <v>1175</v>
      </c>
      <c r="D255" s="1171"/>
      <c r="E255" s="1180"/>
      <c r="F255" s="1069"/>
      <c r="G255" s="1060"/>
      <c r="H255" s="1060"/>
      <c r="I255" s="1060"/>
      <c r="J255" s="1060"/>
      <c r="K255" s="1060"/>
      <c r="L255" s="1069"/>
      <c r="M255" s="1060"/>
      <c r="N255" s="1060"/>
      <c r="O255" s="843"/>
      <c r="P255" s="842"/>
      <c r="Q255" s="844">
        <v>1.3</v>
      </c>
      <c r="R255" s="1076">
        <f t="shared" si="13"/>
        <v>1.3</v>
      </c>
      <c r="S255" s="825">
        <v>0.1</v>
      </c>
      <c r="T255" s="1062">
        <f t="shared" si="23"/>
        <v>0.13</v>
      </c>
      <c r="U255" s="960"/>
      <c r="V255" s="824"/>
      <c r="W255" s="803"/>
      <c r="X255" s="803"/>
      <c r="Y255" s="803"/>
      <c r="Z255" s="803"/>
      <c r="AA255" s="803"/>
      <c r="AB255" s="803"/>
      <c r="AC255" s="803"/>
      <c r="AD255" s="803"/>
      <c r="AE255" s="803"/>
      <c r="AF255" s="803"/>
      <c r="AG255" s="803"/>
      <c r="AH255" s="803"/>
      <c r="AI255" s="803"/>
      <c r="AJ255" s="803"/>
    </row>
    <row r="256" spans="1:36" s="826" customFormat="1" ht="22.8">
      <c r="A256" s="836"/>
      <c r="B256" s="1080"/>
      <c r="C256" s="1080"/>
      <c r="D256" s="1171"/>
      <c r="E256" s="1180"/>
      <c r="F256" s="1069"/>
      <c r="G256" s="1060"/>
      <c r="H256" s="1060"/>
      <c r="I256" s="1060"/>
      <c r="J256" s="1060"/>
      <c r="K256" s="1060"/>
      <c r="L256" s="1069"/>
      <c r="M256" s="1060"/>
      <c r="N256" s="1060"/>
      <c r="O256" s="843"/>
      <c r="P256" s="842"/>
      <c r="Q256" s="844"/>
      <c r="R256" s="1076">
        <f t="shared" si="13"/>
        <v>0</v>
      </c>
      <c r="S256" s="825"/>
      <c r="T256" s="1062">
        <f t="shared" si="23"/>
        <v>0</v>
      </c>
      <c r="U256" s="960"/>
      <c r="V256" s="824"/>
      <c r="W256" s="803"/>
      <c r="X256" s="803"/>
      <c r="Y256" s="803"/>
      <c r="Z256" s="803"/>
      <c r="AA256" s="803"/>
      <c r="AB256" s="803"/>
      <c r="AC256" s="803"/>
      <c r="AD256" s="803"/>
      <c r="AE256" s="803"/>
      <c r="AF256" s="803"/>
      <c r="AG256" s="803"/>
      <c r="AH256" s="803"/>
      <c r="AI256" s="803"/>
      <c r="AJ256" s="803"/>
    </row>
    <row r="257" spans="1:36" s="826" customFormat="1" ht="22.8">
      <c r="A257" s="836"/>
      <c r="B257" s="1080"/>
      <c r="C257" s="1080"/>
      <c r="D257" s="1171"/>
      <c r="E257" s="1180"/>
      <c r="F257" s="1069"/>
      <c r="G257" s="1060"/>
      <c r="H257" s="1060"/>
      <c r="I257" s="1060"/>
      <c r="J257" s="1060"/>
      <c r="K257" s="1060"/>
      <c r="L257" s="1069"/>
      <c r="M257" s="1060"/>
      <c r="N257" s="1060"/>
      <c r="O257" s="843"/>
      <c r="P257" s="842"/>
      <c r="Q257" s="844"/>
      <c r="R257" s="1076">
        <f t="shared" si="13"/>
        <v>0</v>
      </c>
      <c r="S257" s="825"/>
      <c r="T257" s="1062">
        <f t="shared" si="23"/>
        <v>0</v>
      </c>
      <c r="U257" s="960"/>
      <c r="V257" s="824"/>
      <c r="W257" s="803"/>
      <c r="X257" s="803"/>
      <c r="Y257" s="803"/>
      <c r="Z257" s="803"/>
      <c r="AA257" s="803"/>
      <c r="AB257" s="803"/>
      <c r="AC257" s="803"/>
      <c r="AD257" s="803"/>
      <c r="AE257" s="803"/>
      <c r="AF257" s="803"/>
      <c r="AG257" s="803"/>
      <c r="AH257" s="803"/>
      <c r="AI257" s="803"/>
      <c r="AJ257" s="803"/>
    </row>
    <row r="258" spans="1:36" s="826" customFormat="1" ht="22.8">
      <c r="A258" s="836"/>
      <c r="B258" s="1080"/>
      <c r="C258" s="1080"/>
      <c r="D258" s="1171"/>
      <c r="E258" s="1180"/>
      <c r="F258" s="1069"/>
      <c r="G258" s="1060"/>
      <c r="H258" s="1060"/>
      <c r="I258" s="1060"/>
      <c r="J258" s="1060"/>
      <c r="K258" s="1060"/>
      <c r="L258" s="1069"/>
      <c r="M258" s="1060"/>
      <c r="N258" s="1060"/>
      <c r="O258" s="843"/>
      <c r="P258" s="842"/>
      <c r="Q258" s="844"/>
      <c r="R258" s="1076">
        <f t="shared" si="13"/>
        <v>0</v>
      </c>
      <c r="S258" s="825"/>
      <c r="T258" s="1062">
        <f t="shared" si="23"/>
        <v>0</v>
      </c>
      <c r="U258" s="960"/>
      <c r="V258" s="824"/>
      <c r="W258" s="803"/>
      <c r="X258" s="803"/>
      <c r="Y258" s="803"/>
      <c r="Z258" s="803"/>
      <c r="AA258" s="803"/>
      <c r="AB258" s="803"/>
      <c r="AC258" s="803"/>
      <c r="AD258" s="803"/>
      <c r="AE258" s="803"/>
      <c r="AF258" s="803"/>
      <c r="AG258" s="803"/>
      <c r="AH258" s="803"/>
      <c r="AI258" s="803"/>
      <c r="AJ258" s="803"/>
    </row>
    <row r="259" spans="1:36" s="826" customFormat="1" ht="22.8">
      <c r="A259" s="836"/>
      <c r="B259" s="1080"/>
      <c r="C259" s="1080"/>
      <c r="D259" s="1171"/>
      <c r="E259" s="1180"/>
      <c r="F259" s="1069"/>
      <c r="G259" s="1060"/>
      <c r="H259" s="1060"/>
      <c r="I259" s="1060"/>
      <c r="J259" s="1060"/>
      <c r="K259" s="1060"/>
      <c r="L259" s="1069"/>
      <c r="M259" s="1060"/>
      <c r="N259" s="1060"/>
      <c r="O259" s="843"/>
      <c r="P259" s="842"/>
      <c r="Q259" s="844"/>
      <c r="R259" s="1076">
        <f t="shared" si="13"/>
        <v>0</v>
      </c>
      <c r="S259" s="825"/>
      <c r="T259" s="1062">
        <f t="shared" si="23"/>
        <v>0</v>
      </c>
      <c r="U259" s="960"/>
      <c r="V259" s="824"/>
      <c r="W259" s="803"/>
      <c r="X259" s="803"/>
      <c r="Y259" s="803"/>
      <c r="Z259" s="803"/>
      <c r="AA259" s="803"/>
      <c r="AB259" s="803"/>
      <c r="AC259" s="803"/>
      <c r="AD259" s="803"/>
      <c r="AE259" s="803"/>
      <c r="AF259" s="803"/>
      <c r="AG259" s="803"/>
      <c r="AH259" s="803"/>
      <c r="AI259" s="803"/>
      <c r="AJ259" s="803"/>
    </row>
    <row r="260" spans="1:36" s="826" customFormat="1" ht="22.8">
      <c r="A260" s="836"/>
      <c r="B260" s="1080"/>
      <c r="C260" s="1080"/>
      <c r="D260" s="1171"/>
      <c r="E260" s="1180"/>
      <c r="F260" s="1069"/>
      <c r="G260" s="1060"/>
      <c r="H260" s="1060"/>
      <c r="I260" s="1060"/>
      <c r="J260" s="1060"/>
      <c r="K260" s="1060"/>
      <c r="L260" s="1069"/>
      <c r="M260" s="1060"/>
      <c r="N260" s="1060"/>
      <c r="O260" s="843"/>
      <c r="P260" s="842"/>
      <c r="Q260" s="844"/>
      <c r="R260" s="1076">
        <f t="shared" si="13"/>
        <v>0</v>
      </c>
      <c r="S260" s="825"/>
      <c r="T260" s="1062">
        <f t="shared" si="23"/>
        <v>0</v>
      </c>
      <c r="U260" s="960"/>
      <c r="V260" s="824"/>
      <c r="W260" s="803"/>
      <c r="X260" s="803"/>
      <c r="Y260" s="803"/>
      <c r="Z260" s="803"/>
      <c r="AA260" s="803"/>
      <c r="AB260" s="803"/>
      <c r="AC260" s="803"/>
      <c r="AD260" s="803"/>
      <c r="AE260" s="803"/>
      <c r="AF260" s="803"/>
      <c r="AG260" s="803"/>
      <c r="AH260" s="803"/>
      <c r="AI260" s="803"/>
      <c r="AJ260" s="803"/>
    </row>
    <row r="261" spans="1:36" s="826" customFormat="1" ht="22.8">
      <c r="A261" s="836"/>
      <c r="B261" s="1040"/>
      <c r="C261" s="1038"/>
      <c r="D261" s="1167"/>
      <c r="E261" s="1177"/>
      <c r="F261" s="1069"/>
      <c r="G261" s="1060"/>
      <c r="H261" s="1060"/>
      <c r="I261" s="1060"/>
      <c r="J261" s="1060"/>
      <c r="K261" s="1060"/>
      <c r="L261" s="1069"/>
      <c r="M261" s="1060"/>
      <c r="N261" s="1060"/>
      <c r="O261" s="843"/>
      <c r="P261" s="842"/>
      <c r="Q261" s="844"/>
      <c r="R261" s="1076">
        <f t="shared" si="13"/>
        <v>0</v>
      </c>
      <c r="S261" s="825"/>
      <c r="T261" s="1062">
        <f t="shared" si="23"/>
        <v>0</v>
      </c>
      <c r="U261" s="960"/>
      <c r="V261" s="824"/>
      <c r="W261" s="803"/>
      <c r="X261" s="803"/>
      <c r="Y261" s="803"/>
      <c r="Z261" s="803"/>
      <c r="AA261" s="803"/>
      <c r="AB261" s="803"/>
      <c r="AC261" s="803"/>
      <c r="AD261" s="803"/>
      <c r="AE261" s="803"/>
      <c r="AF261" s="803"/>
      <c r="AG261" s="803"/>
      <c r="AH261" s="803"/>
      <c r="AI261" s="803"/>
      <c r="AJ261" s="803"/>
    </row>
    <row r="262" spans="1:36" s="826" customFormat="1" ht="22.8">
      <c r="A262" s="836"/>
      <c r="B262" s="1040"/>
      <c r="C262" s="1038"/>
      <c r="D262" s="1167"/>
      <c r="E262" s="1177"/>
      <c r="F262" s="1069"/>
      <c r="G262" s="1060"/>
      <c r="H262" s="1060"/>
      <c r="I262" s="1060"/>
      <c r="J262" s="1060"/>
      <c r="K262" s="1060"/>
      <c r="L262" s="1069"/>
      <c r="M262" s="1060"/>
      <c r="N262" s="1060"/>
      <c r="O262" s="843"/>
      <c r="P262" s="842"/>
      <c r="Q262" s="844"/>
      <c r="R262" s="1076">
        <f t="shared" si="13"/>
        <v>0</v>
      </c>
      <c r="S262" s="825"/>
      <c r="T262" s="1062">
        <f t="shared" si="23"/>
        <v>0</v>
      </c>
      <c r="U262" s="960"/>
      <c r="V262" s="824"/>
      <c r="W262" s="803"/>
      <c r="X262" s="803"/>
      <c r="Y262" s="803"/>
      <c r="Z262" s="803"/>
      <c r="AA262" s="803"/>
      <c r="AB262" s="803"/>
      <c r="AC262" s="803"/>
      <c r="AD262" s="803"/>
      <c r="AE262" s="803"/>
      <c r="AF262" s="803"/>
      <c r="AG262" s="803"/>
      <c r="AH262" s="803"/>
      <c r="AI262" s="803"/>
      <c r="AJ262" s="803"/>
    </row>
    <row r="263" spans="1:36" s="826" customFormat="1" ht="23.4" thickBot="1">
      <c r="A263" s="836"/>
      <c r="B263" s="1040"/>
      <c r="C263" s="1038"/>
      <c r="D263" s="1172"/>
      <c r="E263" s="1181"/>
      <c r="F263" s="1090"/>
      <c r="G263" s="1091"/>
      <c r="H263" s="1091"/>
      <c r="I263" s="1091"/>
      <c r="J263" s="1091"/>
      <c r="K263" s="1091"/>
      <c r="L263" s="1091"/>
      <c r="M263" s="1091"/>
      <c r="N263" s="1091"/>
      <c r="O263" s="843"/>
      <c r="P263" s="842"/>
      <c r="Q263" s="844"/>
      <c r="R263" s="1076">
        <f t="shared" si="13"/>
        <v>0</v>
      </c>
      <c r="S263" s="825"/>
      <c r="T263" s="1062">
        <f t="shared" si="23"/>
        <v>0</v>
      </c>
      <c r="U263" s="842"/>
      <c r="V263" s="824"/>
      <c r="W263" s="803"/>
      <c r="X263" s="803"/>
      <c r="Y263" s="803"/>
      <c r="Z263" s="803"/>
      <c r="AA263" s="803"/>
      <c r="AB263" s="803"/>
      <c r="AC263" s="803"/>
      <c r="AD263" s="803"/>
      <c r="AE263" s="803"/>
      <c r="AF263" s="803"/>
      <c r="AG263" s="803"/>
      <c r="AH263" s="803"/>
      <c r="AI263" s="803"/>
      <c r="AJ263" s="803"/>
    </row>
    <row r="264" spans="1:36" s="826" customFormat="1" ht="24" customHeight="1" thickTop="1" thickBot="1">
      <c r="A264" s="850"/>
      <c r="B264" s="1255" t="s">
        <v>608</v>
      </c>
      <c r="C264" s="1256"/>
      <c r="D264" s="1173"/>
      <c r="E264" s="1178"/>
      <c r="F264" s="1093">
        <f>SUM(F5:F263)</f>
        <v>0</v>
      </c>
      <c r="G264" s="1093">
        <f>SUM(G5:G263)</f>
        <v>0</v>
      </c>
      <c r="H264" s="1093">
        <f>SUM(H5:H263)</f>
        <v>0.14000000000000001</v>
      </c>
      <c r="I264" s="1093">
        <f>SUM(I5:I263)</f>
        <v>0.88</v>
      </c>
      <c r="J264" s="1093">
        <f>SUM(F5:F158)</f>
        <v>0</v>
      </c>
      <c r="K264" s="1093">
        <f t="shared" ref="K264:R264" si="24">SUM(K5:K263)</f>
        <v>0</v>
      </c>
      <c r="L264" s="1093">
        <f t="shared" si="24"/>
        <v>1.6</v>
      </c>
      <c r="M264" s="1093">
        <f t="shared" si="24"/>
        <v>0.7</v>
      </c>
      <c r="N264" s="1094">
        <f t="shared" si="24"/>
        <v>0.15</v>
      </c>
      <c r="O264" s="1095">
        <f t="shared" si="24"/>
        <v>11.43</v>
      </c>
      <c r="P264" s="1094">
        <f t="shared" si="24"/>
        <v>0.35</v>
      </c>
      <c r="Q264" s="1094">
        <f t="shared" si="24"/>
        <v>33.97</v>
      </c>
      <c r="R264" s="1096">
        <f t="shared" si="24"/>
        <v>50.059999999999995</v>
      </c>
      <c r="S264" s="1097">
        <f>AVERAGE(S5:S158)</f>
        <v>0.33333333333333337</v>
      </c>
      <c r="T264" s="1095">
        <f>SUM(T5:T263)</f>
        <v>8.3660000000000014</v>
      </c>
      <c r="U264" s="1098">
        <f>SUM(U5:U263)</f>
        <v>69.930000000000021</v>
      </c>
      <c r="V264" s="1099"/>
      <c r="W264" s="803"/>
      <c r="X264" s="803"/>
      <c r="Y264" s="803"/>
      <c r="Z264" s="803"/>
      <c r="AA264" s="803"/>
      <c r="AB264" s="803"/>
      <c r="AC264" s="803"/>
      <c r="AD264" s="803"/>
      <c r="AE264" s="803"/>
      <c r="AF264" s="803"/>
      <c r="AG264" s="803"/>
      <c r="AH264" s="803"/>
      <c r="AI264" s="803"/>
      <c r="AJ264" s="803"/>
    </row>
    <row r="265" spans="1:36" s="826" customFormat="1" ht="24" customHeight="1" thickBot="1">
      <c r="A265" s="980"/>
      <c r="B265" s="956"/>
      <c r="D265" s="1174"/>
      <c r="E265" s="1163"/>
      <c r="S265" s="1100"/>
      <c r="U265" s="980"/>
    </row>
    <row r="266" spans="1:36" s="826" customFormat="1" ht="24" customHeight="1">
      <c r="A266" s="980"/>
      <c r="B266" s="956"/>
      <c r="C266" s="956"/>
      <c r="D266" s="1174"/>
      <c r="E266" s="1163"/>
      <c r="F266" s="956"/>
      <c r="G266" s="956"/>
      <c r="Q266" s="1101"/>
      <c r="R266" s="1102" t="s">
        <v>637</v>
      </c>
      <c r="S266" s="1103">
        <v>25</v>
      </c>
      <c r="U266" s="980"/>
    </row>
    <row r="267" spans="1:36" s="826" customFormat="1" ht="24" customHeight="1">
      <c r="A267" s="980"/>
      <c r="B267" s="956"/>
      <c r="D267" s="1174"/>
      <c r="E267" s="1163"/>
      <c r="Q267" s="1101"/>
      <c r="R267" s="1104" t="s">
        <v>638</v>
      </c>
      <c r="S267" s="1105">
        <f>T264</f>
        <v>8.3660000000000014</v>
      </c>
      <c r="U267" s="980"/>
    </row>
    <row r="268" spans="1:36" s="826" customFormat="1" ht="24" customHeight="1">
      <c r="A268" s="980"/>
      <c r="B268" s="956"/>
      <c r="D268" s="1174"/>
      <c r="E268" s="1163"/>
      <c r="Q268" s="1101"/>
      <c r="R268" s="1104" t="s">
        <v>639</v>
      </c>
      <c r="S268" s="1106">
        <f>S264</f>
        <v>0.33333333333333337</v>
      </c>
      <c r="U268" s="980"/>
    </row>
    <row r="269" spans="1:36" s="826" customFormat="1" ht="24" customHeight="1" thickBot="1">
      <c r="A269" s="980"/>
      <c r="B269" s="1107"/>
      <c r="D269" s="1174"/>
      <c r="E269" s="1163"/>
      <c r="Q269" s="1108"/>
      <c r="R269" s="1109" t="s">
        <v>640</v>
      </c>
      <c r="S269" s="1110">
        <f>S268/S266</f>
        <v>1.3333333333333334E-2</v>
      </c>
      <c r="U269" s="980"/>
    </row>
    <row r="270" spans="1:36" s="826" customFormat="1" ht="24" customHeight="1">
      <c r="A270" s="980"/>
      <c r="B270" s="956"/>
      <c r="D270" s="1174"/>
      <c r="E270" s="1163"/>
      <c r="S270" s="1100"/>
      <c r="U270" s="980"/>
    </row>
    <row r="271" spans="1:36" s="826" customFormat="1" ht="24" customHeight="1">
      <c r="A271" s="980"/>
      <c r="B271" s="956"/>
      <c r="C271" s="1111"/>
      <c r="D271" s="1174"/>
      <c r="E271" s="1163"/>
      <c r="S271" s="1100"/>
      <c r="U271" s="980"/>
    </row>
    <row r="272" spans="1:36" s="826" customFormat="1" ht="24" customHeight="1">
      <c r="A272" s="980"/>
      <c r="B272" s="956"/>
      <c r="C272" s="1111"/>
      <c r="D272" s="1174"/>
      <c r="E272" s="1163"/>
      <c r="S272" s="1100"/>
      <c r="U272" s="980"/>
    </row>
    <row r="273" spans="1:21" s="826" customFormat="1" ht="24" customHeight="1">
      <c r="A273" s="980"/>
      <c r="B273" s="956"/>
      <c r="C273" s="1111"/>
      <c r="D273" s="1174"/>
      <c r="E273" s="1163"/>
      <c r="S273" s="1100"/>
      <c r="U273" s="980"/>
    </row>
    <row r="274" spans="1:21" s="826" customFormat="1" ht="24" customHeight="1">
      <c r="A274" s="980"/>
      <c r="B274" s="956"/>
      <c r="C274" s="1111"/>
      <c r="D274" s="1174"/>
      <c r="E274" s="1163"/>
      <c r="S274" s="1100"/>
      <c r="U274" s="980"/>
    </row>
    <row r="275" spans="1:21" s="826" customFormat="1">
      <c r="A275" s="980"/>
      <c r="B275" s="956"/>
      <c r="D275" s="1174"/>
      <c r="E275" s="1163"/>
      <c r="S275" s="1100"/>
      <c r="U275" s="980"/>
    </row>
    <row r="276" spans="1:21" s="826" customFormat="1">
      <c r="A276" s="980"/>
      <c r="B276" s="956"/>
      <c r="D276" s="1174"/>
      <c r="E276" s="1163"/>
      <c r="S276" s="1100"/>
      <c r="U276" s="980"/>
    </row>
    <row r="277" spans="1:21" s="826" customFormat="1">
      <c r="A277" s="980"/>
      <c r="B277" s="956"/>
      <c r="D277" s="1174"/>
      <c r="E277" s="1163"/>
      <c r="S277" s="1100"/>
      <c r="U277" s="980"/>
    </row>
    <row r="278" spans="1:21" s="826" customFormat="1">
      <c r="A278" s="980"/>
      <c r="B278" s="956"/>
      <c r="D278" s="1174"/>
      <c r="E278" s="1163"/>
      <c r="S278" s="1100"/>
      <c r="U278" s="980"/>
    </row>
    <row r="279" spans="1:21" s="826" customFormat="1">
      <c r="A279" s="980"/>
      <c r="B279" s="956"/>
      <c r="D279" s="1174"/>
      <c r="E279" s="1163"/>
      <c r="S279" s="1100"/>
      <c r="U279" s="980"/>
    </row>
    <row r="280" spans="1:21" s="826" customFormat="1">
      <c r="A280" s="980"/>
      <c r="B280" s="956"/>
      <c r="D280" s="1174"/>
      <c r="E280" s="1163"/>
      <c r="S280" s="1100"/>
      <c r="U280" s="980"/>
    </row>
    <row r="281" spans="1:21" s="826" customFormat="1">
      <c r="A281" s="980"/>
      <c r="B281" s="956"/>
      <c r="D281" s="1174"/>
      <c r="E281" s="1163"/>
      <c r="S281" s="1100"/>
      <c r="U281" s="980"/>
    </row>
    <row r="282" spans="1:21" s="826" customFormat="1">
      <c r="A282" s="980"/>
      <c r="B282" s="956"/>
      <c r="D282" s="1174"/>
      <c r="E282" s="1163"/>
      <c r="S282" s="1100"/>
      <c r="U282" s="980"/>
    </row>
    <row r="283" spans="1:21" s="826" customFormat="1">
      <c r="A283" s="980"/>
      <c r="B283" s="956"/>
      <c r="D283" s="1174"/>
      <c r="E283" s="1163"/>
      <c r="S283" s="1100"/>
      <c r="U283" s="980"/>
    </row>
    <row r="284" spans="1:21" s="826" customFormat="1">
      <c r="A284" s="980"/>
      <c r="B284" s="956"/>
      <c r="D284" s="1174"/>
      <c r="E284" s="1163"/>
      <c r="S284" s="1100"/>
      <c r="U284" s="980"/>
    </row>
    <row r="285" spans="1:21" s="826" customFormat="1">
      <c r="A285" s="980"/>
      <c r="B285" s="956"/>
      <c r="D285" s="1174"/>
      <c r="E285" s="1163"/>
      <c r="S285" s="1100"/>
      <c r="U285" s="980"/>
    </row>
    <row r="286" spans="1:21" s="826" customFormat="1">
      <c r="A286" s="980"/>
      <c r="B286" s="956"/>
      <c r="D286" s="1174"/>
      <c r="E286" s="1163"/>
      <c r="S286" s="1100"/>
      <c r="U286" s="980"/>
    </row>
    <row r="287" spans="1:21" s="826" customFormat="1">
      <c r="A287" s="980"/>
      <c r="B287" s="956"/>
      <c r="D287" s="1174"/>
      <c r="E287" s="1163"/>
      <c r="S287" s="1100"/>
      <c r="U287" s="980"/>
    </row>
    <row r="288" spans="1:21" s="826" customFormat="1">
      <c r="A288" s="980"/>
      <c r="B288" s="956"/>
      <c r="D288" s="1174"/>
      <c r="E288" s="1163"/>
      <c r="S288" s="1100"/>
      <c r="U288" s="980"/>
    </row>
    <row r="289" spans="1:21" s="826" customFormat="1">
      <c r="A289" s="980"/>
      <c r="B289" s="956"/>
      <c r="D289" s="1174"/>
      <c r="E289" s="1163"/>
      <c r="S289" s="1100"/>
      <c r="U289" s="980"/>
    </row>
    <row r="290" spans="1:21" s="826" customFormat="1">
      <c r="A290" s="980"/>
      <c r="B290" s="956"/>
      <c r="D290" s="1174"/>
      <c r="E290" s="1163"/>
      <c r="S290" s="1100"/>
      <c r="U290" s="980"/>
    </row>
    <row r="291" spans="1:21" s="826" customFormat="1">
      <c r="A291" s="980"/>
      <c r="B291" s="956"/>
      <c r="D291" s="1174"/>
      <c r="E291" s="1163"/>
      <c r="S291" s="1100"/>
      <c r="U291" s="980"/>
    </row>
    <row r="292" spans="1:21" s="826" customFormat="1">
      <c r="A292" s="980"/>
      <c r="B292" s="956"/>
      <c r="D292" s="1174"/>
      <c r="E292" s="1163"/>
      <c r="S292" s="1100"/>
      <c r="U292" s="980"/>
    </row>
    <row r="293" spans="1:21" s="826" customFormat="1">
      <c r="A293" s="980"/>
      <c r="B293" s="956"/>
      <c r="D293" s="1174"/>
      <c r="E293" s="1163"/>
      <c r="S293" s="1100"/>
      <c r="U293" s="980"/>
    </row>
    <row r="294" spans="1:21" s="826" customFormat="1">
      <c r="A294" s="980"/>
      <c r="B294" s="956"/>
      <c r="D294" s="1174"/>
      <c r="E294" s="1163"/>
      <c r="S294" s="1100"/>
      <c r="U294" s="980"/>
    </row>
    <row r="295" spans="1:21" s="826" customFormat="1">
      <c r="A295" s="980"/>
      <c r="B295" s="956"/>
      <c r="D295" s="1174"/>
      <c r="E295" s="1163"/>
      <c r="S295" s="1100"/>
      <c r="U295" s="980"/>
    </row>
    <row r="296" spans="1:21" s="826" customFormat="1">
      <c r="A296" s="980"/>
      <c r="B296" s="956"/>
      <c r="D296" s="1174"/>
      <c r="E296" s="1163"/>
      <c r="S296" s="1100"/>
      <c r="U296" s="980"/>
    </row>
    <row r="297" spans="1:21" s="826" customFormat="1">
      <c r="A297" s="980"/>
      <c r="B297" s="956"/>
      <c r="D297" s="1174"/>
      <c r="E297" s="1163"/>
      <c r="S297" s="1100"/>
      <c r="U297" s="980"/>
    </row>
    <row r="298" spans="1:21" s="826" customFormat="1">
      <c r="A298" s="980"/>
      <c r="B298" s="956"/>
      <c r="D298" s="1174"/>
      <c r="E298" s="1163"/>
      <c r="S298" s="1100"/>
      <c r="U298" s="980"/>
    </row>
    <row r="299" spans="1:21" s="826" customFormat="1">
      <c r="A299" s="980"/>
      <c r="B299" s="956"/>
      <c r="D299" s="1174"/>
      <c r="E299" s="1163"/>
      <c r="S299" s="1100"/>
      <c r="U299" s="980"/>
    </row>
    <row r="300" spans="1:21" s="826" customFormat="1">
      <c r="A300" s="980"/>
      <c r="B300" s="956"/>
      <c r="D300" s="1174"/>
      <c r="E300" s="1163"/>
      <c r="S300" s="1100"/>
      <c r="U300" s="980"/>
    </row>
    <row r="301" spans="1:21" s="826" customFormat="1">
      <c r="A301" s="980"/>
      <c r="B301" s="956"/>
      <c r="D301" s="1174"/>
      <c r="E301" s="1163"/>
      <c r="S301" s="1100"/>
      <c r="U301" s="980"/>
    </row>
    <row r="302" spans="1:21">
      <c r="D302" s="1175"/>
    </row>
    <row r="303" spans="1:21">
      <c r="D303" s="1175"/>
    </row>
    <row r="304" spans="1:21">
      <c r="D304" s="1175"/>
    </row>
    <row r="305" spans="4:4">
      <c r="D305" s="1175"/>
    </row>
    <row r="306" spans="4:4">
      <c r="D306" s="1175"/>
    </row>
    <row r="307" spans="4:4">
      <c r="D307" s="1175"/>
    </row>
    <row r="308" spans="4:4">
      <c r="D308" s="1175"/>
    </row>
    <row r="309" spans="4:4">
      <c r="D309" s="1175"/>
    </row>
    <row r="310" spans="4:4">
      <c r="D310" s="1175"/>
    </row>
    <row r="311" spans="4:4">
      <c r="D311" s="1175"/>
    </row>
    <row r="312" spans="4:4">
      <c r="D312" s="1175"/>
    </row>
    <row r="313" spans="4:4">
      <c r="D313" s="1175"/>
    </row>
    <row r="314" spans="4:4">
      <c r="D314" s="1175"/>
    </row>
    <row r="315" spans="4:4">
      <c r="D315" s="1175"/>
    </row>
    <row r="316" spans="4:4">
      <c r="D316" s="1175"/>
    </row>
    <row r="317" spans="4:4">
      <c r="D317" s="1175"/>
    </row>
  </sheetData>
  <mergeCells count="10">
    <mergeCell ref="F3:T3"/>
    <mergeCell ref="U3:U4"/>
    <mergeCell ref="V3:V4"/>
    <mergeCell ref="B264:C264"/>
    <mergeCell ref="A1:C1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97266-64C7-4C8C-A353-BCCAAC7658CC}">
  <sheetPr>
    <tabColor rgb="FFFFFF00"/>
  </sheetPr>
  <dimension ref="A1:V186"/>
  <sheetViews>
    <sheetView zoomScale="90" zoomScaleNormal="90" workbookViewId="0">
      <pane ySplit="4" topLeftCell="A119" activePane="bottomLeft" state="frozen"/>
      <selection pane="bottomLeft" activeCell="A55" sqref="A55:XFD63"/>
    </sheetView>
  </sheetViews>
  <sheetFormatPr defaultColWidth="9.109375" defaultRowHeight="21"/>
  <cols>
    <col min="1" max="1" width="5.109375" style="980" customWidth="1"/>
    <col min="2" max="2" width="30.6640625" style="803" customWidth="1"/>
    <col min="3" max="3" width="52.88671875" style="835" customWidth="1"/>
    <col min="4" max="4" width="10.33203125" style="956" customWidth="1"/>
    <col min="5" max="6" width="8.6640625" style="835" customWidth="1"/>
    <col min="7" max="11" width="6.77734375" style="835" customWidth="1"/>
    <col min="12" max="12" width="6.6640625" style="835" customWidth="1"/>
    <col min="13" max="17" width="6.77734375" style="835" customWidth="1"/>
    <col min="18" max="18" width="11" style="835" customWidth="1"/>
    <col min="19" max="19" width="8.6640625" style="858" customWidth="1"/>
    <col min="20" max="20" width="8.6640625" style="835" customWidth="1"/>
    <col min="21" max="21" width="14.77734375" style="857" customWidth="1"/>
    <col min="22" max="22" width="31.88671875" style="835" customWidth="1"/>
    <col min="23" max="257" width="9.109375" style="835"/>
    <col min="258" max="258" width="8.5546875" style="835" customWidth="1"/>
    <col min="259" max="259" width="45.21875" style="835" customWidth="1"/>
    <col min="260" max="260" width="61.6640625" style="835" customWidth="1"/>
    <col min="261" max="261" width="10.33203125" style="835" customWidth="1"/>
    <col min="262" max="273" width="8.6640625" style="835" customWidth="1"/>
    <col min="274" max="274" width="11" style="835" customWidth="1"/>
    <col min="275" max="276" width="8.6640625" style="835" customWidth="1"/>
    <col min="277" max="277" width="21" style="835" customWidth="1"/>
    <col min="278" max="278" width="31.88671875" style="835" customWidth="1"/>
    <col min="279" max="513" width="9.109375" style="835"/>
    <col min="514" max="514" width="8.5546875" style="835" customWidth="1"/>
    <col min="515" max="515" width="45.21875" style="835" customWidth="1"/>
    <col min="516" max="516" width="61.6640625" style="835" customWidth="1"/>
    <col min="517" max="517" width="10.33203125" style="835" customWidth="1"/>
    <col min="518" max="529" width="8.6640625" style="835" customWidth="1"/>
    <col min="530" max="530" width="11" style="835" customWidth="1"/>
    <col min="531" max="532" width="8.6640625" style="835" customWidth="1"/>
    <col min="533" max="533" width="21" style="835" customWidth="1"/>
    <col min="534" max="534" width="31.88671875" style="835" customWidth="1"/>
    <col min="535" max="769" width="9.109375" style="835"/>
    <col min="770" max="770" width="8.5546875" style="835" customWidth="1"/>
    <col min="771" max="771" width="45.21875" style="835" customWidth="1"/>
    <col min="772" max="772" width="61.6640625" style="835" customWidth="1"/>
    <col min="773" max="773" width="10.33203125" style="835" customWidth="1"/>
    <col min="774" max="785" width="8.6640625" style="835" customWidth="1"/>
    <col min="786" max="786" width="11" style="835" customWidth="1"/>
    <col min="787" max="788" width="8.6640625" style="835" customWidth="1"/>
    <col min="789" max="789" width="21" style="835" customWidth="1"/>
    <col min="790" max="790" width="31.88671875" style="835" customWidth="1"/>
    <col min="791" max="1025" width="9.109375" style="835"/>
    <col min="1026" max="1026" width="8.5546875" style="835" customWidth="1"/>
    <col min="1027" max="1027" width="45.21875" style="835" customWidth="1"/>
    <col min="1028" max="1028" width="61.6640625" style="835" customWidth="1"/>
    <col min="1029" max="1029" width="10.33203125" style="835" customWidth="1"/>
    <col min="1030" max="1041" width="8.6640625" style="835" customWidth="1"/>
    <col min="1042" max="1042" width="11" style="835" customWidth="1"/>
    <col min="1043" max="1044" width="8.6640625" style="835" customWidth="1"/>
    <col min="1045" max="1045" width="21" style="835" customWidth="1"/>
    <col min="1046" max="1046" width="31.88671875" style="835" customWidth="1"/>
    <col min="1047" max="1281" width="9.109375" style="835"/>
    <col min="1282" max="1282" width="8.5546875" style="835" customWidth="1"/>
    <col min="1283" max="1283" width="45.21875" style="835" customWidth="1"/>
    <col min="1284" max="1284" width="61.6640625" style="835" customWidth="1"/>
    <col min="1285" max="1285" width="10.33203125" style="835" customWidth="1"/>
    <col min="1286" max="1297" width="8.6640625" style="835" customWidth="1"/>
    <col min="1298" max="1298" width="11" style="835" customWidth="1"/>
    <col min="1299" max="1300" width="8.6640625" style="835" customWidth="1"/>
    <col min="1301" max="1301" width="21" style="835" customWidth="1"/>
    <col min="1302" max="1302" width="31.88671875" style="835" customWidth="1"/>
    <col min="1303" max="1537" width="9.109375" style="835"/>
    <col min="1538" max="1538" width="8.5546875" style="835" customWidth="1"/>
    <col min="1539" max="1539" width="45.21875" style="835" customWidth="1"/>
    <col min="1540" max="1540" width="61.6640625" style="835" customWidth="1"/>
    <col min="1541" max="1541" width="10.33203125" style="835" customWidth="1"/>
    <col min="1542" max="1553" width="8.6640625" style="835" customWidth="1"/>
    <col min="1554" max="1554" width="11" style="835" customWidth="1"/>
    <col min="1555" max="1556" width="8.6640625" style="835" customWidth="1"/>
    <col min="1557" max="1557" width="21" style="835" customWidth="1"/>
    <col min="1558" max="1558" width="31.88671875" style="835" customWidth="1"/>
    <col min="1559" max="1793" width="9.109375" style="835"/>
    <col min="1794" max="1794" width="8.5546875" style="835" customWidth="1"/>
    <col min="1795" max="1795" width="45.21875" style="835" customWidth="1"/>
    <col min="1796" max="1796" width="61.6640625" style="835" customWidth="1"/>
    <col min="1797" max="1797" width="10.33203125" style="835" customWidth="1"/>
    <col min="1798" max="1809" width="8.6640625" style="835" customWidth="1"/>
    <col min="1810" max="1810" width="11" style="835" customWidth="1"/>
    <col min="1811" max="1812" width="8.6640625" style="835" customWidth="1"/>
    <col min="1813" max="1813" width="21" style="835" customWidth="1"/>
    <col min="1814" max="1814" width="31.88671875" style="835" customWidth="1"/>
    <col min="1815" max="2049" width="9.109375" style="835"/>
    <col min="2050" max="2050" width="8.5546875" style="835" customWidth="1"/>
    <col min="2051" max="2051" width="45.21875" style="835" customWidth="1"/>
    <col min="2052" max="2052" width="61.6640625" style="835" customWidth="1"/>
    <col min="2053" max="2053" width="10.33203125" style="835" customWidth="1"/>
    <col min="2054" max="2065" width="8.6640625" style="835" customWidth="1"/>
    <col min="2066" max="2066" width="11" style="835" customWidth="1"/>
    <col min="2067" max="2068" width="8.6640625" style="835" customWidth="1"/>
    <col min="2069" max="2069" width="21" style="835" customWidth="1"/>
    <col min="2070" max="2070" width="31.88671875" style="835" customWidth="1"/>
    <col min="2071" max="2305" width="9.109375" style="835"/>
    <col min="2306" max="2306" width="8.5546875" style="835" customWidth="1"/>
    <col min="2307" max="2307" width="45.21875" style="835" customWidth="1"/>
    <col min="2308" max="2308" width="61.6640625" style="835" customWidth="1"/>
    <col min="2309" max="2309" width="10.33203125" style="835" customWidth="1"/>
    <col min="2310" max="2321" width="8.6640625" style="835" customWidth="1"/>
    <col min="2322" max="2322" width="11" style="835" customWidth="1"/>
    <col min="2323" max="2324" width="8.6640625" style="835" customWidth="1"/>
    <col min="2325" max="2325" width="21" style="835" customWidth="1"/>
    <col min="2326" max="2326" width="31.88671875" style="835" customWidth="1"/>
    <col min="2327" max="2561" width="9.109375" style="835"/>
    <col min="2562" max="2562" width="8.5546875" style="835" customWidth="1"/>
    <col min="2563" max="2563" width="45.21875" style="835" customWidth="1"/>
    <col min="2564" max="2564" width="61.6640625" style="835" customWidth="1"/>
    <col min="2565" max="2565" width="10.33203125" style="835" customWidth="1"/>
    <col min="2566" max="2577" width="8.6640625" style="835" customWidth="1"/>
    <col min="2578" max="2578" width="11" style="835" customWidth="1"/>
    <col min="2579" max="2580" width="8.6640625" style="835" customWidth="1"/>
    <col min="2581" max="2581" width="21" style="835" customWidth="1"/>
    <col min="2582" max="2582" width="31.88671875" style="835" customWidth="1"/>
    <col min="2583" max="2817" width="9.109375" style="835"/>
    <col min="2818" max="2818" width="8.5546875" style="835" customWidth="1"/>
    <col min="2819" max="2819" width="45.21875" style="835" customWidth="1"/>
    <col min="2820" max="2820" width="61.6640625" style="835" customWidth="1"/>
    <col min="2821" max="2821" width="10.33203125" style="835" customWidth="1"/>
    <col min="2822" max="2833" width="8.6640625" style="835" customWidth="1"/>
    <col min="2834" max="2834" width="11" style="835" customWidth="1"/>
    <col min="2835" max="2836" width="8.6640625" style="835" customWidth="1"/>
    <col min="2837" max="2837" width="21" style="835" customWidth="1"/>
    <col min="2838" max="2838" width="31.88671875" style="835" customWidth="1"/>
    <col min="2839" max="3073" width="9.109375" style="835"/>
    <col min="3074" max="3074" width="8.5546875" style="835" customWidth="1"/>
    <col min="3075" max="3075" width="45.21875" style="835" customWidth="1"/>
    <col min="3076" max="3076" width="61.6640625" style="835" customWidth="1"/>
    <col min="3077" max="3077" width="10.33203125" style="835" customWidth="1"/>
    <col min="3078" max="3089" width="8.6640625" style="835" customWidth="1"/>
    <col min="3090" max="3090" width="11" style="835" customWidth="1"/>
    <col min="3091" max="3092" width="8.6640625" style="835" customWidth="1"/>
    <col min="3093" max="3093" width="21" style="835" customWidth="1"/>
    <col min="3094" max="3094" width="31.88671875" style="835" customWidth="1"/>
    <col min="3095" max="3329" width="9.109375" style="835"/>
    <col min="3330" max="3330" width="8.5546875" style="835" customWidth="1"/>
    <col min="3331" max="3331" width="45.21875" style="835" customWidth="1"/>
    <col min="3332" max="3332" width="61.6640625" style="835" customWidth="1"/>
    <col min="3333" max="3333" width="10.33203125" style="835" customWidth="1"/>
    <col min="3334" max="3345" width="8.6640625" style="835" customWidth="1"/>
    <col min="3346" max="3346" width="11" style="835" customWidth="1"/>
    <col min="3347" max="3348" width="8.6640625" style="835" customWidth="1"/>
    <col min="3349" max="3349" width="21" style="835" customWidth="1"/>
    <col min="3350" max="3350" width="31.88671875" style="835" customWidth="1"/>
    <col min="3351" max="3585" width="9.109375" style="835"/>
    <col min="3586" max="3586" width="8.5546875" style="835" customWidth="1"/>
    <col min="3587" max="3587" width="45.21875" style="835" customWidth="1"/>
    <col min="3588" max="3588" width="61.6640625" style="835" customWidth="1"/>
    <col min="3589" max="3589" width="10.33203125" style="835" customWidth="1"/>
    <col min="3590" max="3601" width="8.6640625" style="835" customWidth="1"/>
    <col min="3602" max="3602" width="11" style="835" customWidth="1"/>
    <col min="3603" max="3604" width="8.6640625" style="835" customWidth="1"/>
    <col min="3605" max="3605" width="21" style="835" customWidth="1"/>
    <col min="3606" max="3606" width="31.88671875" style="835" customWidth="1"/>
    <col min="3607" max="3841" width="9.109375" style="835"/>
    <col min="3842" max="3842" width="8.5546875" style="835" customWidth="1"/>
    <col min="3843" max="3843" width="45.21875" style="835" customWidth="1"/>
    <col min="3844" max="3844" width="61.6640625" style="835" customWidth="1"/>
    <col min="3845" max="3845" width="10.33203125" style="835" customWidth="1"/>
    <col min="3846" max="3857" width="8.6640625" style="835" customWidth="1"/>
    <col min="3858" max="3858" width="11" style="835" customWidth="1"/>
    <col min="3859" max="3860" width="8.6640625" style="835" customWidth="1"/>
    <col min="3861" max="3861" width="21" style="835" customWidth="1"/>
    <col min="3862" max="3862" width="31.88671875" style="835" customWidth="1"/>
    <col min="3863" max="4097" width="9.109375" style="835"/>
    <col min="4098" max="4098" width="8.5546875" style="835" customWidth="1"/>
    <col min="4099" max="4099" width="45.21875" style="835" customWidth="1"/>
    <col min="4100" max="4100" width="61.6640625" style="835" customWidth="1"/>
    <col min="4101" max="4101" width="10.33203125" style="835" customWidth="1"/>
    <col min="4102" max="4113" width="8.6640625" style="835" customWidth="1"/>
    <col min="4114" max="4114" width="11" style="835" customWidth="1"/>
    <col min="4115" max="4116" width="8.6640625" style="835" customWidth="1"/>
    <col min="4117" max="4117" width="21" style="835" customWidth="1"/>
    <col min="4118" max="4118" width="31.88671875" style="835" customWidth="1"/>
    <col min="4119" max="4353" width="9.109375" style="835"/>
    <col min="4354" max="4354" width="8.5546875" style="835" customWidth="1"/>
    <col min="4355" max="4355" width="45.21875" style="835" customWidth="1"/>
    <col min="4356" max="4356" width="61.6640625" style="835" customWidth="1"/>
    <col min="4357" max="4357" width="10.33203125" style="835" customWidth="1"/>
    <col min="4358" max="4369" width="8.6640625" style="835" customWidth="1"/>
    <col min="4370" max="4370" width="11" style="835" customWidth="1"/>
    <col min="4371" max="4372" width="8.6640625" style="835" customWidth="1"/>
    <col min="4373" max="4373" width="21" style="835" customWidth="1"/>
    <col min="4374" max="4374" width="31.88671875" style="835" customWidth="1"/>
    <col min="4375" max="4609" width="9.109375" style="835"/>
    <col min="4610" max="4610" width="8.5546875" style="835" customWidth="1"/>
    <col min="4611" max="4611" width="45.21875" style="835" customWidth="1"/>
    <col min="4612" max="4612" width="61.6640625" style="835" customWidth="1"/>
    <col min="4613" max="4613" width="10.33203125" style="835" customWidth="1"/>
    <col min="4614" max="4625" width="8.6640625" style="835" customWidth="1"/>
    <col min="4626" max="4626" width="11" style="835" customWidth="1"/>
    <col min="4627" max="4628" width="8.6640625" style="835" customWidth="1"/>
    <col min="4629" max="4629" width="21" style="835" customWidth="1"/>
    <col min="4630" max="4630" width="31.88671875" style="835" customWidth="1"/>
    <col min="4631" max="4865" width="9.109375" style="835"/>
    <col min="4866" max="4866" width="8.5546875" style="835" customWidth="1"/>
    <col min="4867" max="4867" width="45.21875" style="835" customWidth="1"/>
    <col min="4868" max="4868" width="61.6640625" style="835" customWidth="1"/>
    <col min="4869" max="4869" width="10.33203125" style="835" customWidth="1"/>
    <col min="4870" max="4881" width="8.6640625" style="835" customWidth="1"/>
    <col min="4882" max="4882" width="11" style="835" customWidth="1"/>
    <col min="4883" max="4884" width="8.6640625" style="835" customWidth="1"/>
    <col min="4885" max="4885" width="21" style="835" customWidth="1"/>
    <col min="4886" max="4886" width="31.88671875" style="835" customWidth="1"/>
    <col min="4887" max="5121" width="9.109375" style="835"/>
    <col min="5122" max="5122" width="8.5546875" style="835" customWidth="1"/>
    <col min="5123" max="5123" width="45.21875" style="835" customWidth="1"/>
    <col min="5124" max="5124" width="61.6640625" style="835" customWidth="1"/>
    <col min="5125" max="5125" width="10.33203125" style="835" customWidth="1"/>
    <col min="5126" max="5137" width="8.6640625" style="835" customWidth="1"/>
    <col min="5138" max="5138" width="11" style="835" customWidth="1"/>
    <col min="5139" max="5140" width="8.6640625" style="835" customWidth="1"/>
    <col min="5141" max="5141" width="21" style="835" customWidth="1"/>
    <col min="5142" max="5142" width="31.88671875" style="835" customWidth="1"/>
    <col min="5143" max="5377" width="9.109375" style="835"/>
    <col min="5378" max="5378" width="8.5546875" style="835" customWidth="1"/>
    <col min="5379" max="5379" width="45.21875" style="835" customWidth="1"/>
    <col min="5380" max="5380" width="61.6640625" style="835" customWidth="1"/>
    <col min="5381" max="5381" width="10.33203125" style="835" customWidth="1"/>
    <col min="5382" max="5393" width="8.6640625" style="835" customWidth="1"/>
    <col min="5394" max="5394" width="11" style="835" customWidth="1"/>
    <col min="5395" max="5396" width="8.6640625" style="835" customWidth="1"/>
    <col min="5397" max="5397" width="21" style="835" customWidth="1"/>
    <col min="5398" max="5398" width="31.88671875" style="835" customWidth="1"/>
    <col min="5399" max="5633" width="9.109375" style="835"/>
    <col min="5634" max="5634" width="8.5546875" style="835" customWidth="1"/>
    <col min="5635" max="5635" width="45.21875" style="835" customWidth="1"/>
    <col min="5636" max="5636" width="61.6640625" style="835" customWidth="1"/>
    <col min="5637" max="5637" width="10.33203125" style="835" customWidth="1"/>
    <col min="5638" max="5649" width="8.6640625" style="835" customWidth="1"/>
    <col min="5650" max="5650" width="11" style="835" customWidth="1"/>
    <col min="5651" max="5652" width="8.6640625" style="835" customWidth="1"/>
    <col min="5653" max="5653" width="21" style="835" customWidth="1"/>
    <col min="5654" max="5654" width="31.88671875" style="835" customWidth="1"/>
    <col min="5655" max="5889" width="9.109375" style="835"/>
    <col min="5890" max="5890" width="8.5546875" style="835" customWidth="1"/>
    <col min="5891" max="5891" width="45.21875" style="835" customWidth="1"/>
    <col min="5892" max="5892" width="61.6640625" style="835" customWidth="1"/>
    <col min="5893" max="5893" width="10.33203125" style="835" customWidth="1"/>
    <col min="5894" max="5905" width="8.6640625" style="835" customWidth="1"/>
    <col min="5906" max="5906" width="11" style="835" customWidth="1"/>
    <col min="5907" max="5908" width="8.6640625" style="835" customWidth="1"/>
    <col min="5909" max="5909" width="21" style="835" customWidth="1"/>
    <col min="5910" max="5910" width="31.88671875" style="835" customWidth="1"/>
    <col min="5911" max="6145" width="9.109375" style="835"/>
    <col min="6146" max="6146" width="8.5546875" style="835" customWidth="1"/>
    <col min="6147" max="6147" width="45.21875" style="835" customWidth="1"/>
    <col min="6148" max="6148" width="61.6640625" style="835" customWidth="1"/>
    <col min="6149" max="6149" width="10.33203125" style="835" customWidth="1"/>
    <col min="6150" max="6161" width="8.6640625" style="835" customWidth="1"/>
    <col min="6162" max="6162" width="11" style="835" customWidth="1"/>
    <col min="6163" max="6164" width="8.6640625" style="835" customWidth="1"/>
    <col min="6165" max="6165" width="21" style="835" customWidth="1"/>
    <col min="6166" max="6166" width="31.88671875" style="835" customWidth="1"/>
    <col min="6167" max="6401" width="9.109375" style="835"/>
    <col min="6402" max="6402" width="8.5546875" style="835" customWidth="1"/>
    <col min="6403" max="6403" width="45.21875" style="835" customWidth="1"/>
    <col min="6404" max="6404" width="61.6640625" style="835" customWidth="1"/>
    <col min="6405" max="6405" width="10.33203125" style="835" customWidth="1"/>
    <col min="6406" max="6417" width="8.6640625" style="835" customWidth="1"/>
    <col min="6418" max="6418" width="11" style="835" customWidth="1"/>
    <col min="6419" max="6420" width="8.6640625" style="835" customWidth="1"/>
    <col min="6421" max="6421" width="21" style="835" customWidth="1"/>
    <col min="6422" max="6422" width="31.88671875" style="835" customWidth="1"/>
    <col min="6423" max="6657" width="9.109375" style="835"/>
    <col min="6658" max="6658" width="8.5546875" style="835" customWidth="1"/>
    <col min="6659" max="6659" width="45.21875" style="835" customWidth="1"/>
    <col min="6660" max="6660" width="61.6640625" style="835" customWidth="1"/>
    <col min="6661" max="6661" width="10.33203125" style="835" customWidth="1"/>
    <col min="6662" max="6673" width="8.6640625" style="835" customWidth="1"/>
    <col min="6674" max="6674" width="11" style="835" customWidth="1"/>
    <col min="6675" max="6676" width="8.6640625" style="835" customWidth="1"/>
    <col min="6677" max="6677" width="21" style="835" customWidth="1"/>
    <col min="6678" max="6678" width="31.88671875" style="835" customWidth="1"/>
    <col min="6679" max="6913" width="9.109375" style="835"/>
    <col min="6914" max="6914" width="8.5546875" style="835" customWidth="1"/>
    <col min="6915" max="6915" width="45.21875" style="835" customWidth="1"/>
    <col min="6916" max="6916" width="61.6640625" style="835" customWidth="1"/>
    <col min="6917" max="6917" width="10.33203125" style="835" customWidth="1"/>
    <col min="6918" max="6929" width="8.6640625" style="835" customWidth="1"/>
    <col min="6930" max="6930" width="11" style="835" customWidth="1"/>
    <col min="6931" max="6932" width="8.6640625" style="835" customWidth="1"/>
    <col min="6933" max="6933" width="21" style="835" customWidth="1"/>
    <col min="6934" max="6934" width="31.88671875" style="835" customWidth="1"/>
    <col min="6935" max="7169" width="9.109375" style="835"/>
    <col min="7170" max="7170" width="8.5546875" style="835" customWidth="1"/>
    <col min="7171" max="7171" width="45.21875" style="835" customWidth="1"/>
    <col min="7172" max="7172" width="61.6640625" style="835" customWidth="1"/>
    <col min="7173" max="7173" width="10.33203125" style="835" customWidth="1"/>
    <col min="7174" max="7185" width="8.6640625" style="835" customWidth="1"/>
    <col min="7186" max="7186" width="11" style="835" customWidth="1"/>
    <col min="7187" max="7188" width="8.6640625" style="835" customWidth="1"/>
    <col min="7189" max="7189" width="21" style="835" customWidth="1"/>
    <col min="7190" max="7190" width="31.88671875" style="835" customWidth="1"/>
    <col min="7191" max="7425" width="9.109375" style="835"/>
    <col min="7426" max="7426" width="8.5546875" style="835" customWidth="1"/>
    <col min="7427" max="7427" width="45.21875" style="835" customWidth="1"/>
    <col min="7428" max="7428" width="61.6640625" style="835" customWidth="1"/>
    <col min="7429" max="7429" width="10.33203125" style="835" customWidth="1"/>
    <col min="7430" max="7441" width="8.6640625" style="835" customWidth="1"/>
    <col min="7442" max="7442" width="11" style="835" customWidth="1"/>
    <col min="7443" max="7444" width="8.6640625" style="835" customWidth="1"/>
    <col min="7445" max="7445" width="21" style="835" customWidth="1"/>
    <col min="7446" max="7446" width="31.88671875" style="835" customWidth="1"/>
    <col min="7447" max="7681" width="9.109375" style="835"/>
    <col min="7682" max="7682" width="8.5546875" style="835" customWidth="1"/>
    <col min="7683" max="7683" width="45.21875" style="835" customWidth="1"/>
    <col min="7684" max="7684" width="61.6640625" style="835" customWidth="1"/>
    <col min="7685" max="7685" width="10.33203125" style="835" customWidth="1"/>
    <col min="7686" max="7697" width="8.6640625" style="835" customWidth="1"/>
    <col min="7698" max="7698" width="11" style="835" customWidth="1"/>
    <col min="7699" max="7700" width="8.6640625" style="835" customWidth="1"/>
    <col min="7701" max="7701" width="21" style="835" customWidth="1"/>
    <col min="7702" max="7702" width="31.88671875" style="835" customWidth="1"/>
    <col min="7703" max="7937" width="9.109375" style="835"/>
    <col min="7938" max="7938" width="8.5546875" style="835" customWidth="1"/>
    <col min="7939" max="7939" width="45.21875" style="835" customWidth="1"/>
    <col min="7940" max="7940" width="61.6640625" style="835" customWidth="1"/>
    <col min="7941" max="7941" width="10.33203125" style="835" customWidth="1"/>
    <col min="7942" max="7953" width="8.6640625" style="835" customWidth="1"/>
    <col min="7954" max="7954" width="11" style="835" customWidth="1"/>
    <col min="7955" max="7956" width="8.6640625" style="835" customWidth="1"/>
    <col min="7957" max="7957" width="21" style="835" customWidth="1"/>
    <col min="7958" max="7958" width="31.88671875" style="835" customWidth="1"/>
    <col min="7959" max="8193" width="9.109375" style="835"/>
    <col min="8194" max="8194" width="8.5546875" style="835" customWidth="1"/>
    <col min="8195" max="8195" width="45.21875" style="835" customWidth="1"/>
    <col min="8196" max="8196" width="61.6640625" style="835" customWidth="1"/>
    <col min="8197" max="8197" width="10.33203125" style="835" customWidth="1"/>
    <col min="8198" max="8209" width="8.6640625" style="835" customWidth="1"/>
    <col min="8210" max="8210" width="11" style="835" customWidth="1"/>
    <col min="8211" max="8212" width="8.6640625" style="835" customWidth="1"/>
    <col min="8213" max="8213" width="21" style="835" customWidth="1"/>
    <col min="8214" max="8214" width="31.88671875" style="835" customWidth="1"/>
    <col min="8215" max="8449" width="9.109375" style="835"/>
    <col min="8450" max="8450" width="8.5546875" style="835" customWidth="1"/>
    <col min="8451" max="8451" width="45.21875" style="835" customWidth="1"/>
    <col min="8452" max="8452" width="61.6640625" style="835" customWidth="1"/>
    <col min="8453" max="8453" width="10.33203125" style="835" customWidth="1"/>
    <col min="8454" max="8465" width="8.6640625" style="835" customWidth="1"/>
    <col min="8466" max="8466" width="11" style="835" customWidth="1"/>
    <col min="8467" max="8468" width="8.6640625" style="835" customWidth="1"/>
    <col min="8469" max="8469" width="21" style="835" customWidth="1"/>
    <col min="8470" max="8470" width="31.88671875" style="835" customWidth="1"/>
    <col min="8471" max="8705" width="9.109375" style="835"/>
    <col min="8706" max="8706" width="8.5546875" style="835" customWidth="1"/>
    <col min="8707" max="8707" width="45.21875" style="835" customWidth="1"/>
    <col min="8708" max="8708" width="61.6640625" style="835" customWidth="1"/>
    <col min="8709" max="8709" width="10.33203125" style="835" customWidth="1"/>
    <col min="8710" max="8721" width="8.6640625" style="835" customWidth="1"/>
    <col min="8722" max="8722" width="11" style="835" customWidth="1"/>
    <col min="8723" max="8724" width="8.6640625" style="835" customWidth="1"/>
    <col min="8725" max="8725" width="21" style="835" customWidth="1"/>
    <col min="8726" max="8726" width="31.88671875" style="835" customWidth="1"/>
    <col min="8727" max="8961" width="9.109375" style="835"/>
    <col min="8962" max="8962" width="8.5546875" style="835" customWidth="1"/>
    <col min="8963" max="8963" width="45.21875" style="835" customWidth="1"/>
    <col min="8964" max="8964" width="61.6640625" style="835" customWidth="1"/>
    <col min="8965" max="8965" width="10.33203125" style="835" customWidth="1"/>
    <col min="8966" max="8977" width="8.6640625" style="835" customWidth="1"/>
    <col min="8978" max="8978" width="11" style="835" customWidth="1"/>
    <col min="8979" max="8980" width="8.6640625" style="835" customWidth="1"/>
    <col min="8981" max="8981" width="21" style="835" customWidth="1"/>
    <col min="8982" max="8982" width="31.88671875" style="835" customWidth="1"/>
    <col min="8983" max="9217" width="9.109375" style="835"/>
    <col min="9218" max="9218" width="8.5546875" style="835" customWidth="1"/>
    <col min="9219" max="9219" width="45.21875" style="835" customWidth="1"/>
    <col min="9220" max="9220" width="61.6640625" style="835" customWidth="1"/>
    <col min="9221" max="9221" width="10.33203125" style="835" customWidth="1"/>
    <col min="9222" max="9233" width="8.6640625" style="835" customWidth="1"/>
    <col min="9234" max="9234" width="11" style="835" customWidth="1"/>
    <col min="9235" max="9236" width="8.6640625" style="835" customWidth="1"/>
    <col min="9237" max="9237" width="21" style="835" customWidth="1"/>
    <col min="9238" max="9238" width="31.88671875" style="835" customWidth="1"/>
    <col min="9239" max="9473" width="9.109375" style="835"/>
    <col min="9474" max="9474" width="8.5546875" style="835" customWidth="1"/>
    <col min="9475" max="9475" width="45.21875" style="835" customWidth="1"/>
    <col min="9476" max="9476" width="61.6640625" style="835" customWidth="1"/>
    <col min="9477" max="9477" width="10.33203125" style="835" customWidth="1"/>
    <col min="9478" max="9489" width="8.6640625" style="835" customWidth="1"/>
    <col min="9490" max="9490" width="11" style="835" customWidth="1"/>
    <col min="9491" max="9492" width="8.6640625" style="835" customWidth="1"/>
    <col min="9493" max="9493" width="21" style="835" customWidth="1"/>
    <col min="9494" max="9494" width="31.88671875" style="835" customWidth="1"/>
    <col min="9495" max="9729" width="9.109375" style="835"/>
    <col min="9730" max="9730" width="8.5546875" style="835" customWidth="1"/>
    <col min="9731" max="9731" width="45.21875" style="835" customWidth="1"/>
    <col min="9732" max="9732" width="61.6640625" style="835" customWidth="1"/>
    <col min="9733" max="9733" width="10.33203125" style="835" customWidth="1"/>
    <col min="9734" max="9745" width="8.6640625" style="835" customWidth="1"/>
    <col min="9746" max="9746" width="11" style="835" customWidth="1"/>
    <col min="9747" max="9748" width="8.6640625" style="835" customWidth="1"/>
    <col min="9749" max="9749" width="21" style="835" customWidth="1"/>
    <col min="9750" max="9750" width="31.88671875" style="835" customWidth="1"/>
    <col min="9751" max="9985" width="9.109375" style="835"/>
    <col min="9986" max="9986" width="8.5546875" style="835" customWidth="1"/>
    <col min="9987" max="9987" width="45.21875" style="835" customWidth="1"/>
    <col min="9988" max="9988" width="61.6640625" style="835" customWidth="1"/>
    <col min="9989" max="9989" width="10.33203125" style="835" customWidth="1"/>
    <col min="9990" max="10001" width="8.6640625" style="835" customWidth="1"/>
    <col min="10002" max="10002" width="11" style="835" customWidth="1"/>
    <col min="10003" max="10004" width="8.6640625" style="835" customWidth="1"/>
    <col min="10005" max="10005" width="21" style="835" customWidth="1"/>
    <col min="10006" max="10006" width="31.88671875" style="835" customWidth="1"/>
    <col min="10007" max="10241" width="9.109375" style="835"/>
    <col min="10242" max="10242" width="8.5546875" style="835" customWidth="1"/>
    <col min="10243" max="10243" width="45.21875" style="835" customWidth="1"/>
    <col min="10244" max="10244" width="61.6640625" style="835" customWidth="1"/>
    <col min="10245" max="10245" width="10.33203125" style="835" customWidth="1"/>
    <col min="10246" max="10257" width="8.6640625" style="835" customWidth="1"/>
    <col min="10258" max="10258" width="11" style="835" customWidth="1"/>
    <col min="10259" max="10260" width="8.6640625" style="835" customWidth="1"/>
    <col min="10261" max="10261" width="21" style="835" customWidth="1"/>
    <col min="10262" max="10262" width="31.88671875" style="835" customWidth="1"/>
    <col min="10263" max="10497" width="9.109375" style="835"/>
    <col min="10498" max="10498" width="8.5546875" style="835" customWidth="1"/>
    <col min="10499" max="10499" width="45.21875" style="835" customWidth="1"/>
    <col min="10500" max="10500" width="61.6640625" style="835" customWidth="1"/>
    <col min="10501" max="10501" width="10.33203125" style="835" customWidth="1"/>
    <col min="10502" max="10513" width="8.6640625" style="835" customWidth="1"/>
    <col min="10514" max="10514" width="11" style="835" customWidth="1"/>
    <col min="10515" max="10516" width="8.6640625" style="835" customWidth="1"/>
    <col min="10517" max="10517" width="21" style="835" customWidth="1"/>
    <col min="10518" max="10518" width="31.88671875" style="835" customWidth="1"/>
    <col min="10519" max="10753" width="9.109375" style="835"/>
    <col min="10754" max="10754" width="8.5546875" style="835" customWidth="1"/>
    <col min="10755" max="10755" width="45.21875" style="835" customWidth="1"/>
    <col min="10756" max="10756" width="61.6640625" style="835" customWidth="1"/>
    <col min="10757" max="10757" width="10.33203125" style="835" customWidth="1"/>
    <col min="10758" max="10769" width="8.6640625" style="835" customWidth="1"/>
    <col min="10770" max="10770" width="11" style="835" customWidth="1"/>
    <col min="10771" max="10772" width="8.6640625" style="835" customWidth="1"/>
    <col min="10773" max="10773" width="21" style="835" customWidth="1"/>
    <col min="10774" max="10774" width="31.88671875" style="835" customWidth="1"/>
    <col min="10775" max="11009" width="9.109375" style="835"/>
    <col min="11010" max="11010" width="8.5546875" style="835" customWidth="1"/>
    <col min="11011" max="11011" width="45.21875" style="835" customWidth="1"/>
    <col min="11012" max="11012" width="61.6640625" style="835" customWidth="1"/>
    <col min="11013" max="11013" width="10.33203125" style="835" customWidth="1"/>
    <col min="11014" max="11025" width="8.6640625" style="835" customWidth="1"/>
    <col min="11026" max="11026" width="11" style="835" customWidth="1"/>
    <col min="11027" max="11028" width="8.6640625" style="835" customWidth="1"/>
    <col min="11029" max="11029" width="21" style="835" customWidth="1"/>
    <col min="11030" max="11030" width="31.88671875" style="835" customWidth="1"/>
    <col min="11031" max="11265" width="9.109375" style="835"/>
    <col min="11266" max="11266" width="8.5546875" style="835" customWidth="1"/>
    <col min="11267" max="11267" width="45.21875" style="835" customWidth="1"/>
    <col min="11268" max="11268" width="61.6640625" style="835" customWidth="1"/>
    <col min="11269" max="11269" width="10.33203125" style="835" customWidth="1"/>
    <col min="11270" max="11281" width="8.6640625" style="835" customWidth="1"/>
    <col min="11282" max="11282" width="11" style="835" customWidth="1"/>
    <col min="11283" max="11284" width="8.6640625" style="835" customWidth="1"/>
    <col min="11285" max="11285" width="21" style="835" customWidth="1"/>
    <col min="11286" max="11286" width="31.88671875" style="835" customWidth="1"/>
    <col min="11287" max="11521" width="9.109375" style="835"/>
    <col min="11522" max="11522" width="8.5546875" style="835" customWidth="1"/>
    <col min="11523" max="11523" width="45.21875" style="835" customWidth="1"/>
    <col min="11524" max="11524" width="61.6640625" style="835" customWidth="1"/>
    <col min="11525" max="11525" width="10.33203125" style="835" customWidth="1"/>
    <col min="11526" max="11537" width="8.6640625" style="835" customWidth="1"/>
    <col min="11538" max="11538" width="11" style="835" customWidth="1"/>
    <col min="11539" max="11540" width="8.6640625" style="835" customWidth="1"/>
    <col min="11541" max="11541" width="21" style="835" customWidth="1"/>
    <col min="11542" max="11542" width="31.88671875" style="835" customWidth="1"/>
    <col min="11543" max="11777" width="9.109375" style="835"/>
    <col min="11778" max="11778" width="8.5546875" style="835" customWidth="1"/>
    <col min="11779" max="11779" width="45.21875" style="835" customWidth="1"/>
    <col min="11780" max="11780" width="61.6640625" style="835" customWidth="1"/>
    <col min="11781" max="11781" width="10.33203125" style="835" customWidth="1"/>
    <col min="11782" max="11793" width="8.6640625" style="835" customWidth="1"/>
    <col min="11794" max="11794" width="11" style="835" customWidth="1"/>
    <col min="11795" max="11796" width="8.6640625" style="835" customWidth="1"/>
    <col min="11797" max="11797" width="21" style="835" customWidth="1"/>
    <col min="11798" max="11798" width="31.88671875" style="835" customWidth="1"/>
    <col min="11799" max="12033" width="9.109375" style="835"/>
    <col min="12034" max="12034" width="8.5546875" style="835" customWidth="1"/>
    <col min="12035" max="12035" width="45.21875" style="835" customWidth="1"/>
    <col min="12036" max="12036" width="61.6640625" style="835" customWidth="1"/>
    <col min="12037" max="12037" width="10.33203125" style="835" customWidth="1"/>
    <col min="12038" max="12049" width="8.6640625" style="835" customWidth="1"/>
    <col min="12050" max="12050" width="11" style="835" customWidth="1"/>
    <col min="12051" max="12052" width="8.6640625" style="835" customWidth="1"/>
    <col min="12053" max="12053" width="21" style="835" customWidth="1"/>
    <col min="12054" max="12054" width="31.88671875" style="835" customWidth="1"/>
    <col min="12055" max="12289" width="9.109375" style="835"/>
    <col min="12290" max="12290" width="8.5546875" style="835" customWidth="1"/>
    <col min="12291" max="12291" width="45.21875" style="835" customWidth="1"/>
    <col min="12292" max="12292" width="61.6640625" style="835" customWidth="1"/>
    <col min="12293" max="12293" width="10.33203125" style="835" customWidth="1"/>
    <col min="12294" max="12305" width="8.6640625" style="835" customWidth="1"/>
    <col min="12306" max="12306" width="11" style="835" customWidth="1"/>
    <col min="12307" max="12308" width="8.6640625" style="835" customWidth="1"/>
    <col min="12309" max="12309" width="21" style="835" customWidth="1"/>
    <col min="12310" max="12310" width="31.88671875" style="835" customWidth="1"/>
    <col min="12311" max="12545" width="9.109375" style="835"/>
    <col min="12546" max="12546" width="8.5546875" style="835" customWidth="1"/>
    <col min="12547" max="12547" width="45.21875" style="835" customWidth="1"/>
    <col min="12548" max="12548" width="61.6640625" style="835" customWidth="1"/>
    <col min="12549" max="12549" width="10.33203125" style="835" customWidth="1"/>
    <col min="12550" max="12561" width="8.6640625" style="835" customWidth="1"/>
    <col min="12562" max="12562" width="11" style="835" customWidth="1"/>
    <col min="12563" max="12564" width="8.6640625" style="835" customWidth="1"/>
    <col min="12565" max="12565" width="21" style="835" customWidth="1"/>
    <col min="12566" max="12566" width="31.88671875" style="835" customWidth="1"/>
    <col min="12567" max="12801" width="9.109375" style="835"/>
    <col min="12802" max="12802" width="8.5546875" style="835" customWidth="1"/>
    <col min="12803" max="12803" width="45.21875" style="835" customWidth="1"/>
    <col min="12804" max="12804" width="61.6640625" style="835" customWidth="1"/>
    <col min="12805" max="12805" width="10.33203125" style="835" customWidth="1"/>
    <col min="12806" max="12817" width="8.6640625" style="835" customWidth="1"/>
    <col min="12818" max="12818" width="11" style="835" customWidth="1"/>
    <col min="12819" max="12820" width="8.6640625" style="835" customWidth="1"/>
    <col min="12821" max="12821" width="21" style="835" customWidth="1"/>
    <col min="12822" max="12822" width="31.88671875" style="835" customWidth="1"/>
    <col min="12823" max="13057" width="9.109375" style="835"/>
    <col min="13058" max="13058" width="8.5546875" style="835" customWidth="1"/>
    <col min="13059" max="13059" width="45.21875" style="835" customWidth="1"/>
    <col min="13060" max="13060" width="61.6640625" style="835" customWidth="1"/>
    <col min="13061" max="13061" width="10.33203125" style="835" customWidth="1"/>
    <col min="13062" max="13073" width="8.6640625" style="835" customWidth="1"/>
    <col min="13074" max="13074" width="11" style="835" customWidth="1"/>
    <col min="13075" max="13076" width="8.6640625" style="835" customWidth="1"/>
    <col min="13077" max="13077" width="21" style="835" customWidth="1"/>
    <col min="13078" max="13078" width="31.88671875" style="835" customWidth="1"/>
    <col min="13079" max="13313" width="9.109375" style="835"/>
    <col min="13314" max="13314" width="8.5546875" style="835" customWidth="1"/>
    <col min="13315" max="13315" width="45.21875" style="835" customWidth="1"/>
    <col min="13316" max="13316" width="61.6640625" style="835" customWidth="1"/>
    <col min="13317" max="13317" width="10.33203125" style="835" customWidth="1"/>
    <col min="13318" max="13329" width="8.6640625" style="835" customWidth="1"/>
    <col min="13330" max="13330" width="11" style="835" customWidth="1"/>
    <col min="13331" max="13332" width="8.6640625" style="835" customWidth="1"/>
    <col min="13333" max="13333" width="21" style="835" customWidth="1"/>
    <col min="13334" max="13334" width="31.88671875" style="835" customWidth="1"/>
    <col min="13335" max="13569" width="9.109375" style="835"/>
    <col min="13570" max="13570" width="8.5546875" style="835" customWidth="1"/>
    <col min="13571" max="13571" width="45.21875" style="835" customWidth="1"/>
    <col min="13572" max="13572" width="61.6640625" style="835" customWidth="1"/>
    <col min="13573" max="13573" width="10.33203125" style="835" customWidth="1"/>
    <col min="13574" max="13585" width="8.6640625" style="835" customWidth="1"/>
    <col min="13586" max="13586" width="11" style="835" customWidth="1"/>
    <col min="13587" max="13588" width="8.6640625" style="835" customWidth="1"/>
    <col min="13589" max="13589" width="21" style="835" customWidth="1"/>
    <col min="13590" max="13590" width="31.88671875" style="835" customWidth="1"/>
    <col min="13591" max="13825" width="9.109375" style="835"/>
    <col min="13826" max="13826" width="8.5546875" style="835" customWidth="1"/>
    <col min="13827" max="13827" width="45.21875" style="835" customWidth="1"/>
    <col min="13828" max="13828" width="61.6640625" style="835" customWidth="1"/>
    <col min="13829" max="13829" width="10.33203125" style="835" customWidth="1"/>
    <col min="13830" max="13841" width="8.6640625" style="835" customWidth="1"/>
    <col min="13842" max="13842" width="11" style="835" customWidth="1"/>
    <col min="13843" max="13844" width="8.6640625" style="835" customWidth="1"/>
    <col min="13845" max="13845" width="21" style="835" customWidth="1"/>
    <col min="13846" max="13846" width="31.88671875" style="835" customWidth="1"/>
    <col min="13847" max="14081" width="9.109375" style="835"/>
    <col min="14082" max="14082" width="8.5546875" style="835" customWidth="1"/>
    <col min="14083" max="14083" width="45.21875" style="835" customWidth="1"/>
    <col min="14084" max="14084" width="61.6640625" style="835" customWidth="1"/>
    <col min="14085" max="14085" width="10.33203125" style="835" customWidth="1"/>
    <col min="14086" max="14097" width="8.6640625" style="835" customWidth="1"/>
    <col min="14098" max="14098" width="11" style="835" customWidth="1"/>
    <col min="14099" max="14100" width="8.6640625" style="835" customWidth="1"/>
    <col min="14101" max="14101" width="21" style="835" customWidth="1"/>
    <col min="14102" max="14102" width="31.88671875" style="835" customWidth="1"/>
    <col min="14103" max="14337" width="9.109375" style="835"/>
    <col min="14338" max="14338" width="8.5546875" style="835" customWidth="1"/>
    <col min="14339" max="14339" width="45.21875" style="835" customWidth="1"/>
    <col min="14340" max="14340" width="61.6640625" style="835" customWidth="1"/>
    <col min="14341" max="14341" width="10.33203125" style="835" customWidth="1"/>
    <col min="14342" max="14353" width="8.6640625" style="835" customWidth="1"/>
    <col min="14354" max="14354" width="11" style="835" customWidth="1"/>
    <col min="14355" max="14356" width="8.6640625" style="835" customWidth="1"/>
    <col min="14357" max="14357" width="21" style="835" customWidth="1"/>
    <col min="14358" max="14358" width="31.88671875" style="835" customWidth="1"/>
    <col min="14359" max="14593" width="9.109375" style="835"/>
    <col min="14594" max="14594" width="8.5546875" style="835" customWidth="1"/>
    <col min="14595" max="14595" width="45.21875" style="835" customWidth="1"/>
    <col min="14596" max="14596" width="61.6640625" style="835" customWidth="1"/>
    <col min="14597" max="14597" width="10.33203125" style="835" customWidth="1"/>
    <col min="14598" max="14609" width="8.6640625" style="835" customWidth="1"/>
    <col min="14610" max="14610" width="11" style="835" customWidth="1"/>
    <col min="14611" max="14612" width="8.6640625" style="835" customWidth="1"/>
    <col min="14613" max="14613" width="21" style="835" customWidth="1"/>
    <col min="14614" max="14614" width="31.88671875" style="835" customWidth="1"/>
    <col min="14615" max="14849" width="9.109375" style="835"/>
    <col min="14850" max="14850" width="8.5546875" style="835" customWidth="1"/>
    <col min="14851" max="14851" width="45.21875" style="835" customWidth="1"/>
    <col min="14852" max="14852" width="61.6640625" style="835" customWidth="1"/>
    <col min="14853" max="14853" width="10.33203125" style="835" customWidth="1"/>
    <col min="14854" max="14865" width="8.6640625" style="835" customWidth="1"/>
    <col min="14866" max="14866" width="11" style="835" customWidth="1"/>
    <col min="14867" max="14868" width="8.6640625" style="835" customWidth="1"/>
    <col min="14869" max="14869" width="21" style="835" customWidth="1"/>
    <col min="14870" max="14870" width="31.88671875" style="835" customWidth="1"/>
    <col min="14871" max="15105" width="9.109375" style="835"/>
    <col min="15106" max="15106" width="8.5546875" style="835" customWidth="1"/>
    <col min="15107" max="15107" width="45.21875" style="835" customWidth="1"/>
    <col min="15108" max="15108" width="61.6640625" style="835" customWidth="1"/>
    <col min="15109" max="15109" width="10.33203125" style="835" customWidth="1"/>
    <col min="15110" max="15121" width="8.6640625" style="835" customWidth="1"/>
    <col min="15122" max="15122" width="11" style="835" customWidth="1"/>
    <col min="15123" max="15124" width="8.6640625" style="835" customWidth="1"/>
    <col min="15125" max="15125" width="21" style="835" customWidth="1"/>
    <col min="15126" max="15126" width="31.88671875" style="835" customWidth="1"/>
    <col min="15127" max="15361" width="9.109375" style="835"/>
    <col min="15362" max="15362" width="8.5546875" style="835" customWidth="1"/>
    <col min="15363" max="15363" width="45.21875" style="835" customWidth="1"/>
    <col min="15364" max="15364" width="61.6640625" style="835" customWidth="1"/>
    <col min="15365" max="15365" width="10.33203125" style="835" customWidth="1"/>
    <col min="15366" max="15377" width="8.6640625" style="835" customWidth="1"/>
    <col min="15378" max="15378" width="11" style="835" customWidth="1"/>
    <col min="15379" max="15380" width="8.6640625" style="835" customWidth="1"/>
    <col min="15381" max="15381" width="21" style="835" customWidth="1"/>
    <col min="15382" max="15382" width="31.88671875" style="835" customWidth="1"/>
    <col min="15383" max="15617" width="9.109375" style="835"/>
    <col min="15618" max="15618" width="8.5546875" style="835" customWidth="1"/>
    <col min="15619" max="15619" width="45.21875" style="835" customWidth="1"/>
    <col min="15620" max="15620" width="61.6640625" style="835" customWidth="1"/>
    <col min="15621" max="15621" width="10.33203125" style="835" customWidth="1"/>
    <col min="15622" max="15633" width="8.6640625" style="835" customWidth="1"/>
    <col min="15634" max="15634" width="11" style="835" customWidth="1"/>
    <col min="15635" max="15636" width="8.6640625" style="835" customWidth="1"/>
    <col min="15637" max="15637" width="21" style="835" customWidth="1"/>
    <col min="15638" max="15638" width="31.88671875" style="835" customWidth="1"/>
    <col min="15639" max="15873" width="9.109375" style="835"/>
    <col min="15874" max="15874" width="8.5546875" style="835" customWidth="1"/>
    <col min="15875" max="15875" width="45.21875" style="835" customWidth="1"/>
    <col min="15876" max="15876" width="61.6640625" style="835" customWidth="1"/>
    <col min="15877" max="15877" width="10.33203125" style="835" customWidth="1"/>
    <col min="15878" max="15889" width="8.6640625" style="835" customWidth="1"/>
    <col min="15890" max="15890" width="11" style="835" customWidth="1"/>
    <col min="15891" max="15892" width="8.6640625" style="835" customWidth="1"/>
    <col min="15893" max="15893" width="21" style="835" customWidth="1"/>
    <col min="15894" max="15894" width="31.88671875" style="835" customWidth="1"/>
    <col min="15895" max="16129" width="9.109375" style="835"/>
    <col min="16130" max="16130" width="8.5546875" style="835" customWidth="1"/>
    <col min="16131" max="16131" width="45.21875" style="835" customWidth="1"/>
    <col min="16132" max="16132" width="61.6640625" style="835" customWidth="1"/>
    <col min="16133" max="16133" width="10.33203125" style="835" customWidth="1"/>
    <col min="16134" max="16145" width="8.6640625" style="835" customWidth="1"/>
    <col min="16146" max="16146" width="11" style="835" customWidth="1"/>
    <col min="16147" max="16148" width="8.6640625" style="835" customWidth="1"/>
    <col min="16149" max="16149" width="21" style="835" customWidth="1"/>
    <col min="16150" max="16150" width="31.88671875" style="835" customWidth="1"/>
    <col min="16151" max="16384" width="9.109375" style="835"/>
  </cols>
  <sheetData>
    <row r="1" spans="1:22" s="803" customFormat="1" ht="24" customHeight="1" thickBot="1">
      <c r="A1" s="1259" t="s">
        <v>591</v>
      </c>
      <c r="B1" s="1259"/>
      <c r="C1" s="1259"/>
      <c r="D1" s="949"/>
      <c r="S1" s="804"/>
      <c r="U1" s="958"/>
    </row>
    <row r="2" spans="1:22" s="803" customFormat="1" ht="24" customHeight="1" thickBot="1">
      <c r="A2" s="979" t="s">
        <v>592</v>
      </c>
      <c r="B2" s="805"/>
      <c r="C2" s="805"/>
      <c r="D2" s="950"/>
      <c r="F2" s="1268" t="s">
        <v>594</v>
      </c>
      <c r="G2" s="1269"/>
      <c r="H2" s="1269"/>
      <c r="I2" s="1269"/>
      <c r="J2" s="1269"/>
      <c r="K2" s="1269"/>
      <c r="L2" s="1269"/>
      <c r="M2" s="1269"/>
      <c r="N2" s="1269"/>
      <c r="O2" s="1269"/>
      <c r="P2" s="1269"/>
      <c r="Q2" s="1269"/>
      <c r="R2" s="1269"/>
      <c r="S2" s="1269"/>
      <c r="T2" s="1270"/>
      <c r="U2" s="958"/>
    </row>
    <row r="3" spans="1:22" s="803" customFormat="1" ht="24" customHeight="1" thickBot="1">
      <c r="A3" s="1260" t="s">
        <v>37</v>
      </c>
      <c r="B3" s="1262" t="s">
        <v>593</v>
      </c>
      <c r="C3" s="1264" t="s">
        <v>523</v>
      </c>
      <c r="D3" s="1277" t="s">
        <v>42</v>
      </c>
      <c r="E3" s="1273" t="s">
        <v>946</v>
      </c>
      <c r="F3" s="1268" t="s">
        <v>642</v>
      </c>
      <c r="G3" s="1269"/>
      <c r="H3" s="1270"/>
      <c r="I3" s="1268" t="s">
        <v>643</v>
      </c>
      <c r="J3" s="1269"/>
      <c r="K3" s="1270"/>
      <c r="L3" s="1268" t="s">
        <v>644</v>
      </c>
      <c r="M3" s="1269"/>
      <c r="N3" s="1270"/>
      <c r="O3" s="1269" t="s">
        <v>645</v>
      </c>
      <c r="P3" s="1269"/>
      <c r="Q3" s="1270"/>
      <c r="R3" s="1147"/>
      <c r="S3" s="1147"/>
      <c r="T3" s="1148"/>
      <c r="U3" s="1271" t="s">
        <v>677</v>
      </c>
      <c r="V3" s="1257" t="s">
        <v>595</v>
      </c>
    </row>
    <row r="4" spans="1:22" s="803" customFormat="1" ht="24" customHeight="1" thickBot="1">
      <c r="A4" s="1261"/>
      <c r="B4" s="1263"/>
      <c r="C4" s="1265"/>
      <c r="D4" s="1278"/>
      <c r="E4" s="1274"/>
      <c r="F4" s="806" t="s">
        <v>596</v>
      </c>
      <c r="G4" s="807" t="s">
        <v>597</v>
      </c>
      <c r="H4" s="807" t="s">
        <v>598</v>
      </c>
      <c r="I4" s="807" t="s">
        <v>599</v>
      </c>
      <c r="J4" s="808" t="s">
        <v>600</v>
      </c>
      <c r="K4" s="807" t="s">
        <v>601</v>
      </c>
      <c r="L4" s="1149" t="s">
        <v>602</v>
      </c>
      <c r="M4" s="1149" t="s">
        <v>603</v>
      </c>
      <c r="N4" s="1149" t="s">
        <v>604</v>
      </c>
      <c r="O4" s="1149" t="s">
        <v>605</v>
      </c>
      <c r="P4" s="1149" t="s">
        <v>606</v>
      </c>
      <c r="Q4" s="1150" t="s">
        <v>607</v>
      </c>
      <c r="R4" s="812" t="s">
        <v>608</v>
      </c>
      <c r="S4" s="813" t="s">
        <v>609</v>
      </c>
      <c r="T4" s="814" t="s">
        <v>610</v>
      </c>
      <c r="U4" s="1272"/>
      <c r="V4" s="1258"/>
    </row>
    <row r="5" spans="1:22" s="826" customFormat="1" ht="22.8">
      <c r="A5" s="836">
        <v>1</v>
      </c>
      <c r="B5" s="1036" t="s">
        <v>924</v>
      </c>
      <c r="C5" s="1041" t="s">
        <v>926</v>
      </c>
      <c r="D5" s="947" t="s">
        <v>663</v>
      </c>
      <c r="E5" s="1075">
        <v>2026</v>
      </c>
      <c r="F5" s="1069"/>
      <c r="G5" s="1060"/>
      <c r="H5" s="1060"/>
      <c r="I5" s="1060"/>
      <c r="J5" s="1060"/>
      <c r="K5" s="1060"/>
      <c r="L5" s="843"/>
      <c r="M5" s="842"/>
      <c r="N5" s="842"/>
      <c r="O5" s="843"/>
      <c r="P5" s="842"/>
      <c r="Q5" s="844"/>
      <c r="R5" s="1076">
        <f t="shared" ref="R5:R45" si="0">SUM(F5:Q5)</f>
        <v>0</v>
      </c>
      <c r="S5" s="825"/>
      <c r="T5" s="1062">
        <f t="shared" ref="T5:T54" si="1">R5*S5</f>
        <v>0</v>
      </c>
      <c r="U5" s="842"/>
      <c r="V5" s="824"/>
    </row>
    <row r="6" spans="1:22" s="826" customFormat="1" ht="22.8">
      <c r="A6" s="836"/>
      <c r="B6" s="1040"/>
      <c r="C6" s="1038" t="s">
        <v>615</v>
      </c>
      <c r="D6" s="954"/>
      <c r="E6" s="1072"/>
      <c r="F6" s="1069"/>
      <c r="G6" s="1060"/>
      <c r="H6" s="1060">
        <v>0.01</v>
      </c>
      <c r="I6" s="1060"/>
      <c r="J6" s="1060"/>
      <c r="K6" s="1060"/>
      <c r="L6" s="843"/>
      <c r="M6" s="842"/>
      <c r="N6" s="842"/>
      <c r="O6" s="843"/>
      <c r="P6" s="842"/>
      <c r="Q6" s="844"/>
      <c r="R6" s="1076">
        <f t="shared" si="0"/>
        <v>0.01</v>
      </c>
      <c r="S6" s="825">
        <v>1</v>
      </c>
      <c r="T6" s="1062">
        <f t="shared" si="1"/>
        <v>0.01</v>
      </c>
      <c r="U6" s="842"/>
      <c r="V6" s="824"/>
    </row>
    <row r="7" spans="1:22" s="826" customFormat="1" ht="22.8">
      <c r="A7" s="836"/>
      <c r="B7" s="1040"/>
      <c r="C7" s="1038"/>
      <c r="D7" s="954"/>
      <c r="E7" s="1072"/>
      <c r="F7" s="1069"/>
      <c r="G7" s="1060"/>
      <c r="H7" s="1060"/>
      <c r="I7" s="1060"/>
      <c r="J7" s="1060"/>
      <c r="K7" s="1060"/>
      <c r="L7" s="843"/>
      <c r="M7" s="842"/>
      <c r="N7" s="842"/>
      <c r="O7" s="843"/>
      <c r="P7" s="842"/>
      <c r="Q7" s="844"/>
      <c r="R7" s="1076">
        <f t="shared" si="0"/>
        <v>0</v>
      </c>
      <c r="S7" s="825"/>
      <c r="T7" s="1062">
        <f t="shared" si="1"/>
        <v>0</v>
      </c>
      <c r="U7" s="844"/>
      <c r="V7" s="824"/>
    </row>
    <row r="8" spans="1:22" s="826" customFormat="1" ht="22.8">
      <c r="A8" s="836">
        <v>2</v>
      </c>
      <c r="B8" s="823" t="s">
        <v>988</v>
      </c>
      <c r="C8" s="1041" t="s">
        <v>986</v>
      </c>
      <c r="D8" s="947" t="s">
        <v>663</v>
      </c>
      <c r="E8" s="1113" t="s">
        <v>951</v>
      </c>
      <c r="F8" s="1069"/>
      <c r="G8" s="842"/>
      <c r="H8" s="842"/>
      <c r="I8" s="842"/>
      <c r="J8" s="842"/>
      <c r="K8" s="842"/>
      <c r="L8" s="843"/>
      <c r="M8" s="842"/>
      <c r="N8" s="842"/>
      <c r="O8" s="843"/>
      <c r="P8" s="842"/>
      <c r="Q8" s="844"/>
      <c r="R8" s="1076">
        <f t="shared" si="0"/>
        <v>0</v>
      </c>
      <c r="S8" s="825"/>
      <c r="T8" s="1062">
        <f t="shared" si="1"/>
        <v>0</v>
      </c>
      <c r="U8" s="960"/>
      <c r="V8" s="824"/>
    </row>
    <row r="9" spans="1:22" s="826" customFormat="1" ht="22.8">
      <c r="A9" s="836"/>
      <c r="B9" s="1080" t="s">
        <v>989</v>
      </c>
      <c r="C9" s="1038" t="s">
        <v>960</v>
      </c>
      <c r="D9" s="954"/>
      <c r="E9" s="1072"/>
      <c r="F9" s="1069"/>
      <c r="G9" s="842"/>
      <c r="H9" s="842"/>
      <c r="I9" s="842"/>
      <c r="J9" s="842"/>
      <c r="K9" s="842"/>
      <c r="L9" s="843">
        <v>1</v>
      </c>
      <c r="M9" s="842">
        <v>0.7</v>
      </c>
      <c r="N9" s="842"/>
      <c r="O9" s="843"/>
      <c r="P9" s="842"/>
      <c r="Q9" s="844"/>
      <c r="R9" s="1076">
        <f t="shared" si="0"/>
        <v>1.7</v>
      </c>
      <c r="S9" s="825">
        <v>0.5</v>
      </c>
      <c r="T9" s="1062">
        <f t="shared" si="1"/>
        <v>0.85</v>
      </c>
      <c r="U9" s="960"/>
      <c r="V9" s="824" t="s">
        <v>990</v>
      </c>
    </row>
    <row r="10" spans="1:22" s="826" customFormat="1" ht="22.8" customHeight="1">
      <c r="A10" s="836"/>
      <c r="B10" s="1040"/>
      <c r="C10" s="1038"/>
      <c r="D10" s="954"/>
      <c r="E10" s="1078"/>
      <c r="F10" s="843"/>
      <c r="G10" s="842"/>
      <c r="H10" s="842"/>
      <c r="I10" s="842"/>
      <c r="J10" s="842"/>
      <c r="K10" s="842"/>
      <c r="L10" s="843"/>
      <c r="M10" s="842"/>
      <c r="N10" s="842"/>
      <c r="O10" s="843"/>
      <c r="P10" s="842"/>
      <c r="Q10" s="844"/>
      <c r="R10" s="1076">
        <f t="shared" si="0"/>
        <v>0</v>
      </c>
      <c r="S10" s="825"/>
      <c r="T10" s="1062">
        <f t="shared" si="1"/>
        <v>0</v>
      </c>
      <c r="U10" s="960"/>
      <c r="V10" s="824"/>
    </row>
    <row r="11" spans="1:22" s="826" customFormat="1" ht="22.8" customHeight="1">
      <c r="A11" s="836"/>
      <c r="B11" s="1042"/>
      <c r="C11" s="1041"/>
      <c r="D11" s="954"/>
      <c r="E11" s="1078"/>
      <c r="F11" s="843"/>
      <c r="G11" s="842"/>
      <c r="H11" s="842"/>
      <c r="I11" s="842"/>
      <c r="J11" s="842"/>
      <c r="K11" s="842"/>
      <c r="L11" s="843"/>
      <c r="M11" s="842"/>
      <c r="N11" s="842"/>
      <c r="O11" s="843"/>
      <c r="P11" s="842"/>
      <c r="Q11" s="844"/>
      <c r="R11" s="1076">
        <f t="shared" si="0"/>
        <v>0</v>
      </c>
      <c r="S11" s="825"/>
      <c r="T11" s="1062">
        <f t="shared" si="1"/>
        <v>0</v>
      </c>
      <c r="U11" s="960"/>
      <c r="V11" s="824"/>
    </row>
    <row r="12" spans="1:22" s="826" customFormat="1" ht="22.8">
      <c r="A12" s="836">
        <v>3</v>
      </c>
      <c r="B12" s="823" t="s">
        <v>1011</v>
      </c>
      <c r="C12" s="1041" t="s">
        <v>1012</v>
      </c>
      <c r="D12" s="1117" t="s">
        <v>663</v>
      </c>
      <c r="E12" s="1141" t="s">
        <v>1013</v>
      </c>
      <c r="F12" s="1069"/>
      <c r="G12" s="1060"/>
      <c r="H12" s="1060"/>
      <c r="I12" s="1060"/>
      <c r="J12" s="1060"/>
      <c r="K12" s="1060"/>
      <c r="L12" s="1069"/>
      <c r="M12" s="1060"/>
      <c r="N12" s="1060"/>
      <c r="O12" s="843"/>
      <c r="P12" s="842"/>
      <c r="Q12" s="844"/>
      <c r="R12" s="1076">
        <f t="shared" si="0"/>
        <v>0</v>
      </c>
      <c r="S12" s="825"/>
      <c r="T12" s="1062">
        <f t="shared" si="1"/>
        <v>0</v>
      </c>
      <c r="U12" s="960"/>
      <c r="V12" s="824"/>
    </row>
    <row r="13" spans="1:22" s="826" customFormat="1" ht="22.8">
      <c r="A13" s="836"/>
      <c r="B13" s="1080"/>
      <c r="C13" s="1038" t="s">
        <v>1014</v>
      </c>
      <c r="D13" s="1114"/>
      <c r="E13" s="1078"/>
      <c r="F13" s="1069"/>
      <c r="G13" s="1060"/>
      <c r="H13" s="1060"/>
      <c r="I13" s="1060"/>
      <c r="J13" s="1060"/>
      <c r="K13" s="1060"/>
      <c r="L13" s="1069"/>
      <c r="M13" s="1060"/>
      <c r="N13" s="1060"/>
      <c r="O13" s="843"/>
      <c r="P13" s="842"/>
      <c r="Q13" s="844"/>
      <c r="R13" s="1076">
        <f t="shared" si="0"/>
        <v>0</v>
      </c>
      <c r="S13" s="825"/>
      <c r="T13" s="1062">
        <f t="shared" si="1"/>
        <v>0</v>
      </c>
      <c r="U13" s="960"/>
      <c r="V13" s="824"/>
    </row>
    <row r="14" spans="1:22" s="826" customFormat="1" ht="22.8">
      <c r="A14" s="836"/>
      <c r="B14" s="1080"/>
      <c r="C14" s="1038" t="s">
        <v>1015</v>
      </c>
      <c r="D14" s="1114"/>
      <c r="E14" s="1078"/>
      <c r="F14" s="1069"/>
      <c r="G14" s="1060"/>
      <c r="H14" s="1060"/>
      <c r="I14" s="1060"/>
      <c r="J14" s="1060"/>
      <c r="K14" s="1060"/>
      <c r="L14" s="1069"/>
      <c r="M14" s="1060"/>
      <c r="N14" s="1060"/>
      <c r="O14" s="843"/>
      <c r="P14" s="842"/>
      <c r="Q14" s="844"/>
      <c r="R14" s="1076">
        <f t="shared" si="0"/>
        <v>0</v>
      </c>
      <c r="S14" s="825"/>
      <c r="T14" s="1062">
        <f t="shared" si="1"/>
        <v>0</v>
      </c>
      <c r="U14" s="960"/>
      <c r="V14" s="824"/>
    </row>
    <row r="15" spans="1:22" s="826" customFormat="1" ht="22.8">
      <c r="A15" s="836"/>
      <c r="B15" s="1080"/>
      <c r="C15" s="1038"/>
      <c r="D15" s="1114"/>
      <c r="E15" s="1078"/>
      <c r="F15" s="1069"/>
      <c r="G15" s="1060"/>
      <c r="H15" s="1060"/>
      <c r="I15" s="1060"/>
      <c r="J15" s="1060"/>
      <c r="K15" s="1060"/>
      <c r="L15" s="1069"/>
      <c r="M15" s="1060"/>
      <c r="N15" s="1060"/>
      <c r="O15" s="843"/>
      <c r="P15" s="842"/>
      <c r="Q15" s="844"/>
      <c r="R15" s="1076">
        <f t="shared" si="0"/>
        <v>0</v>
      </c>
      <c r="S15" s="825"/>
      <c r="T15" s="1062">
        <f t="shared" si="1"/>
        <v>0</v>
      </c>
      <c r="U15" s="960"/>
      <c r="V15" s="824"/>
    </row>
    <row r="16" spans="1:22" s="826" customFormat="1" ht="23.4">
      <c r="A16" s="836">
        <v>4</v>
      </c>
      <c r="B16" s="1157" t="s">
        <v>1038</v>
      </c>
      <c r="C16" s="1158" t="s">
        <v>1039</v>
      </c>
      <c r="D16" s="1124" t="s">
        <v>619</v>
      </c>
      <c r="E16" s="1075">
        <v>2026</v>
      </c>
      <c r="F16" s="1069"/>
      <c r="G16" s="1060"/>
      <c r="H16" s="1060"/>
      <c r="I16" s="1060"/>
      <c r="J16" s="1060"/>
      <c r="K16" s="1060"/>
      <c r="L16" s="843"/>
      <c r="M16" s="842"/>
      <c r="N16" s="842"/>
      <c r="O16" s="843"/>
      <c r="P16" s="842"/>
      <c r="Q16" s="844"/>
      <c r="R16" s="1076">
        <f>SUM(F16:Q16)</f>
        <v>0</v>
      </c>
      <c r="S16" s="825"/>
      <c r="T16" s="1062">
        <f t="shared" si="1"/>
        <v>0</v>
      </c>
      <c r="U16" s="842"/>
      <c r="V16" s="824"/>
    </row>
    <row r="17" spans="1:22" s="826" customFormat="1" ht="23.4">
      <c r="A17" s="836"/>
      <c r="B17" s="1127" t="s">
        <v>1041</v>
      </c>
      <c r="C17" s="1038" t="s">
        <v>1066</v>
      </c>
      <c r="D17" s="1124"/>
      <c r="E17" s="1072"/>
      <c r="F17" s="1069"/>
      <c r="G17" s="1060"/>
      <c r="H17" s="1060"/>
      <c r="I17" s="1060"/>
      <c r="J17" s="1060"/>
      <c r="K17" s="1060"/>
      <c r="L17" s="843"/>
      <c r="M17" s="842"/>
      <c r="N17" s="842"/>
      <c r="O17" s="843"/>
      <c r="P17" s="842"/>
      <c r="Q17" s="844">
        <v>0.8</v>
      </c>
      <c r="R17" s="1076">
        <f>SUM(F17:Q17)</f>
        <v>0.8</v>
      </c>
      <c r="S17" s="825">
        <v>0.2</v>
      </c>
      <c r="T17" s="1062">
        <f t="shared" si="1"/>
        <v>0.16000000000000003</v>
      </c>
      <c r="U17" s="842"/>
      <c r="V17" s="824"/>
    </row>
    <row r="18" spans="1:22" s="826" customFormat="1" ht="23.4">
      <c r="A18" s="836"/>
      <c r="B18" s="1127" t="s">
        <v>1001</v>
      </c>
      <c r="C18" s="1038" t="s">
        <v>1067</v>
      </c>
      <c r="D18" s="1124"/>
      <c r="E18" s="1072"/>
      <c r="F18" s="1069"/>
      <c r="G18" s="1060"/>
      <c r="H18" s="1060"/>
      <c r="I18" s="1060"/>
      <c r="J18" s="1060"/>
      <c r="K18" s="1060"/>
      <c r="L18" s="843"/>
      <c r="M18" s="842"/>
      <c r="N18" s="842"/>
      <c r="O18" s="843"/>
      <c r="P18" s="842"/>
      <c r="Q18" s="844">
        <v>0.08</v>
      </c>
      <c r="R18" s="1076">
        <f>SUM(F18:Q18)</f>
        <v>0.08</v>
      </c>
      <c r="S18" s="825">
        <v>0.2</v>
      </c>
      <c r="T18" s="1062">
        <f t="shared" si="1"/>
        <v>1.6E-2</v>
      </c>
      <c r="U18" s="842"/>
      <c r="V18" s="824"/>
    </row>
    <row r="19" spans="1:22" s="826" customFormat="1" ht="22.8">
      <c r="A19" s="836"/>
      <c r="B19" s="1036"/>
      <c r="C19" s="1038" t="s">
        <v>1068</v>
      </c>
      <c r="D19" s="947"/>
      <c r="E19" s="1075"/>
      <c r="F19" s="1069"/>
      <c r="G19" s="1060"/>
      <c r="H19" s="1060"/>
      <c r="I19" s="1060"/>
      <c r="J19" s="1060"/>
      <c r="K19" s="1060"/>
      <c r="L19" s="843"/>
      <c r="M19" s="842"/>
      <c r="N19" s="842"/>
      <c r="O19" s="843"/>
      <c r="P19" s="842"/>
      <c r="Q19" s="844">
        <v>0.5</v>
      </c>
      <c r="R19" s="1076">
        <f>SUM(F19:Q19)</f>
        <v>0.5</v>
      </c>
      <c r="S19" s="825">
        <v>0.2</v>
      </c>
      <c r="T19" s="1062">
        <f t="shared" si="1"/>
        <v>0.1</v>
      </c>
      <c r="U19" s="842"/>
      <c r="V19" s="824"/>
    </row>
    <row r="20" spans="1:22" s="826" customFormat="1" ht="22.8">
      <c r="A20" s="836"/>
      <c r="B20" s="1036"/>
      <c r="C20" s="1038"/>
      <c r="D20" s="1117"/>
      <c r="E20" s="1075"/>
      <c r="F20" s="1069"/>
      <c r="G20" s="1060"/>
      <c r="H20" s="1060"/>
      <c r="I20" s="1060"/>
      <c r="J20" s="1060"/>
      <c r="K20" s="1060"/>
      <c r="L20" s="1069"/>
      <c r="M20" s="1060"/>
      <c r="N20" s="1060"/>
      <c r="O20" s="843"/>
      <c r="P20" s="842"/>
      <c r="Q20" s="844"/>
      <c r="R20" s="1076">
        <f>SUM(F20:Q20)</f>
        <v>0</v>
      </c>
      <c r="S20" s="825"/>
      <c r="T20" s="1062">
        <f t="shared" si="1"/>
        <v>0</v>
      </c>
      <c r="U20" s="844"/>
      <c r="V20" s="824"/>
    </row>
    <row r="21" spans="1:22" s="826" customFormat="1" ht="23.4">
      <c r="A21" s="1066">
        <v>5</v>
      </c>
      <c r="B21" s="1118" t="s">
        <v>1019</v>
      </c>
      <c r="C21" s="1119" t="s">
        <v>1020</v>
      </c>
      <c r="D21" s="1117" t="s">
        <v>663</v>
      </c>
      <c r="E21" s="1075">
        <v>2026</v>
      </c>
      <c r="F21" s="1069"/>
      <c r="G21" s="1060"/>
      <c r="H21" s="1060"/>
      <c r="I21" s="1060"/>
      <c r="J21" s="1060"/>
      <c r="K21" s="1060"/>
      <c r="L21" s="1069"/>
      <c r="M21" s="1060"/>
      <c r="N21" s="1060"/>
      <c r="O21" s="843"/>
      <c r="P21" s="842"/>
      <c r="Q21" s="844"/>
      <c r="R21" s="1076">
        <f t="shared" si="0"/>
        <v>0</v>
      </c>
      <c r="S21" s="825"/>
      <c r="T21" s="1062">
        <f t="shared" si="1"/>
        <v>0</v>
      </c>
      <c r="U21" s="960"/>
      <c r="V21" s="824"/>
    </row>
    <row r="22" spans="1:22" s="826" customFormat="1" ht="22.95" customHeight="1">
      <c r="A22" s="836"/>
      <c r="B22" s="1080" t="s">
        <v>1021</v>
      </c>
      <c r="C22" s="1152" t="s">
        <v>1099</v>
      </c>
      <c r="D22" s="947"/>
      <c r="E22" s="1075"/>
      <c r="F22" s="843"/>
      <c r="G22" s="842"/>
      <c r="H22" s="842"/>
      <c r="I22" s="842"/>
      <c r="J22" s="842">
        <v>0.6</v>
      </c>
      <c r="K22" s="842"/>
      <c r="L22" s="843">
        <v>0.6</v>
      </c>
      <c r="M22" s="842"/>
      <c r="N22" s="842"/>
      <c r="O22" s="843"/>
      <c r="P22" s="842"/>
      <c r="Q22" s="844"/>
      <c r="R22" s="1076">
        <f t="shared" si="0"/>
        <v>1.2</v>
      </c>
      <c r="S22" s="825">
        <v>0.1</v>
      </c>
      <c r="T22" s="1062">
        <f t="shared" si="1"/>
        <v>0.12</v>
      </c>
      <c r="U22" s="960"/>
      <c r="V22" s="824" t="s">
        <v>1025</v>
      </c>
    </row>
    <row r="23" spans="1:22" s="826" customFormat="1" ht="22.8">
      <c r="A23" s="836"/>
      <c r="B23" s="1080" t="s">
        <v>1022</v>
      </c>
      <c r="C23" s="1080" t="s">
        <v>1092</v>
      </c>
      <c r="D23" s="954"/>
      <c r="E23" s="1078"/>
      <c r="F23" s="843"/>
      <c r="G23" s="842"/>
      <c r="H23" s="842"/>
      <c r="I23" s="842"/>
      <c r="J23" s="842"/>
      <c r="K23" s="842"/>
      <c r="L23" s="843"/>
      <c r="M23" s="842"/>
      <c r="N23" s="842"/>
      <c r="O23" s="843"/>
      <c r="P23" s="842"/>
      <c r="Q23" s="844"/>
      <c r="R23" s="1076">
        <f t="shared" si="0"/>
        <v>0</v>
      </c>
      <c r="S23" s="825"/>
      <c r="T23" s="1062">
        <f t="shared" si="1"/>
        <v>0</v>
      </c>
      <c r="U23" s="960"/>
      <c r="V23" s="824"/>
    </row>
    <row r="24" spans="1:22" s="826" customFormat="1" ht="22.8">
      <c r="A24" s="836"/>
      <c r="B24" s="1080" t="s">
        <v>1023</v>
      </c>
      <c r="C24" s="1080"/>
      <c r="D24" s="954"/>
      <c r="E24" s="1078"/>
      <c r="F24" s="843"/>
      <c r="G24" s="842"/>
      <c r="H24" s="842"/>
      <c r="I24" s="842"/>
      <c r="J24" s="842"/>
      <c r="K24" s="842"/>
      <c r="L24" s="843"/>
      <c r="M24" s="842"/>
      <c r="N24" s="842"/>
      <c r="O24" s="843"/>
      <c r="P24" s="842"/>
      <c r="Q24" s="844"/>
      <c r="R24" s="1076">
        <f t="shared" si="0"/>
        <v>0</v>
      </c>
      <c r="S24" s="825"/>
      <c r="T24" s="1062">
        <f t="shared" si="1"/>
        <v>0</v>
      </c>
      <c r="U24" s="960"/>
      <c r="V24" s="824"/>
    </row>
    <row r="25" spans="1:22" s="826" customFormat="1" ht="22.8">
      <c r="A25" s="836"/>
      <c r="B25" s="1080" t="s">
        <v>1024</v>
      </c>
      <c r="C25" s="1042"/>
      <c r="D25" s="954"/>
      <c r="E25" s="1078"/>
      <c r="F25" s="843"/>
      <c r="G25" s="842"/>
      <c r="H25" s="842"/>
      <c r="I25" s="842"/>
      <c r="J25" s="842"/>
      <c r="K25" s="842"/>
      <c r="L25" s="843"/>
      <c r="M25" s="842"/>
      <c r="N25" s="842"/>
      <c r="O25" s="843"/>
      <c r="P25" s="842"/>
      <c r="Q25" s="844"/>
      <c r="R25" s="1076">
        <f t="shared" si="0"/>
        <v>0</v>
      </c>
      <c r="S25" s="825"/>
      <c r="T25" s="1062">
        <f>R26*S25</f>
        <v>0</v>
      </c>
      <c r="U25" s="960"/>
      <c r="V25" s="824"/>
    </row>
    <row r="26" spans="1:22" s="826" customFormat="1" ht="22.8">
      <c r="A26" s="836"/>
      <c r="B26" s="1080"/>
      <c r="C26" s="1080"/>
      <c r="D26" s="1114"/>
      <c r="E26" s="1078"/>
      <c r="F26" s="1069"/>
      <c r="G26" s="1060"/>
      <c r="H26" s="1060"/>
      <c r="I26" s="1060"/>
      <c r="J26" s="1060"/>
      <c r="K26" s="1060"/>
      <c r="L26" s="1069"/>
      <c r="M26" s="1060"/>
      <c r="N26" s="1060"/>
      <c r="O26" s="843"/>
      <c r="P26" s="842"/>
      <c r="Q26" s="844"/>
      <c r="R26" s="1076">
        <f>SUM(F25:Q25)</f>
        <v>0</v>
      </c>
      <c r="S26" s="825"/>
      <c r="T26" s="1062">
        <f>R27*S26</f>
        <v>0</v>
      </c>
      <c r="U26" s="960"/>
      <c r="V26" s="824"/>
    </row>
    <row r="27" spans="1:22" s="826" customFormat="1" ht="23.4">
      <c r="A27" s="1066">
        <v>6</v>
      </c>
      <c r="B27" s="1118" t="s">
        <v>1029</v>
      </c>
      <c r="C27" s="1119" t="s">
        <v>1030</v>
      </c>
      <c r="D27" s="947" t="s">
        <v>663</v>
      </c>
      <c r="E27" s="1075">
        <v>2026</v>
      </c>
      <c r="F27" s="1069"/>
      <c r="G27" s="1060"/>
      <c r="H27" s="1060"/>
      <c r="I27" s="1060"/>
      <c r="J27" s="1060"/>
      <c r="K27" s="1060"/>
      <c r="L27" s="1069"/>
      <c r="M27" s="1060"/>
      <c r="N27" s="1060"/>
      <c r="O27" s="843"/>
      <c r="P27" s="842"/>
      <c r="Q27" s="844"/>
      <c r="R27" s="1076">
        <f t="shared" si="0"/>
        <v>0</v>
      </c>
      <c r="S27" s="825"/>
      <c r="T27" s="1062">
        <f t="shared" si="1"/>
        <v>0</v>
      </c>
      <c r="U27" s="960"/>
      <c r="V27" s="824"/>
    </row>
    <row r="28" spans="1:22" s="826" customFormat="1" ht="22.95" customHeight="1">
      <c r="A28" s="836"/>
      <c r="B28" s="1080" t="s">
        <v>1093</v>
      </c>
      <c r="C28" s="1080" t="s">
        <v>973</v>
      </c>
      <c r="D28" s="947"/>
      <c r="E28" s="1075"/>
      <c r="F28" s="843"/>
      <c r="G28" s="842"/>
      <c r="H28" s="842"/>
      <c r="I28" s="842"/>
      <c r="J28" s="842"/>
      <c r="K28" s="842"/>
      <c r="L28" s="843">
        <v>1.2</v>
      </c>
      <c r="M28" s="842"/>
      <c r="N28" s="842"/>
      <c r="O28" s="843"/>
      <c r="P28" s="842"/>
      <c r="Q28" s="844"/>
      <c r="R28" s="1076">
        <f t="shared" si="0"/>
        <v>1.2</v>
      </c>
      <c r="S28" s="825">
        <v>0.2</v>
      </c>
      <c r="T28" s="1062">
        <f t="shared" si="1"/>
        <v>0.24</v>
      </c>
      <c r="U28" s="960"/>
      <c r="V28" s="1153" t="s">
        <v>1094</v>
      </c>
    </row>
    <row r="29" spans="1:22" s="826" customFormat="1" ht="22.8">
      <c r="A29" s="836"/>
      <c r="B29" s="1080" t="s">
        <v>1028</v>
      </c>
      <c r="C29" s="1080" t="s">
        <v>1082</v>
      </c>
      <c r="D29" s="954"/>
      <c r="E29" s="1078"/>
      <c r="F29" s="843"/>
      <c r="G29" s="842"/>
      <c r="H29" s="842"/>
      <c r="I29" s="842"/>
      <c r="J29" s="842"/>
      <c r="K29" s="842"/>
      <c r="L29" s="843"/>
      <c r="M29" s="842"/>
      <c r="N29" s="842"/>
      <c r="O29" s="843"/>
      <c r="P29" s="842"/>
      <c r="Q29" s="844"/>
      <c r="R29" s="1076">
        <f t="shared" si="0"/>
        <v>0</v>
      </c>
      <c r="S29" s="825"/>
      <c r="T29" s="1062">
        <f t="shared" si="1"/>
        <v>0</v>
      </c>
      <c r="U29" s="960"/>
      <c r="V29" s="1153"/>
    </row>
    <row r="30" spans="1:22" s="826" customFormat="1" ht="22.8">
      <c r="A30" s="836"/>
      <c r="B30" s="1080" t="s">
        <v>1031</v>
      </c>
      <c r="C30" s="1080" t="s">
        <v>1083</v>
      </c>
      <c r="D30" s="954"/>
      <c r="E30" s="1078"/>
      <c r="F30" s="843"/>
      <c r="G30" s="842"/>
      <c r="H30" s="842"/>
      <c r="I30" s="842"/>
      <c r="J30" s="842"/>
      <c r="K30" s="842"/>
      <c r="L30" s="843"/>
      <c r="M30" s="842"/>
      <c r="N30" s="842"/>
      <c r="O30" s="843"/>
      <c r="P30" s="842"/>
      <c r="Q30" s="844"/>
      <c r="R30" s="1076">
        <f t="shared" si="0"/>
        <v>0</v>
      </c>
      <c r="S30" s="825"/>
      <c r="T30" s="1062">
        <f t="shared" si="1"/>
        <v>0</v>
      </c>
      <c r="U30" s="960"/>
      <c r="V30" s="1153"/>
    </row>
    <row r="31" spans="1:22" s="826" customFormat="1" ht="22.8">
      <c r="A31" s="836"/>
      <c r="B31" s="1080" t="s">
        <v>1098</v>
      </c>
      <c r="C31" s="1080" t="s">
        <v>1084</v>
      </c>
      <c r="D31" s="954"/>
      <c r="E31" s="1078"/>
      <c r="F31" s="843"/>
      <c r="G31" s="842"/>
      <c r="H31" s="842"/>
      <c r="I31" s="842"/>
      <c r="J31" s="842"/>
      <c r="K31" s="842"/>
      <c r="L31" s="843"/>
      <c r="M31" s="842"/>
      <c r="N31" s="842"/>
      <c r="O31" s="843"/>
      <c r="P31" s="842"/>
      <c r="Q31" s="844"/>
      <c r="R31" s="1076">
        <f t="shared" si="0"/>
        <v>0</v>
      </c>
      <c r="S31" s="825"/>
      <c r="T31" s="1062">
        <f t="shared" si="1"/>
        <v>0</v>
      </c>
      <c r="U31" s="960"/>
      <c r="V31" s="1154" t="s">
        <v>1095</v>
      </c>
    </row>
    <row r="32" spans="1:22" s="826" customFormat="1" ht="22.8">
      <c r="A32" s="836"/>
      <c r="B32" s="1080"/>
      <c r="C32" s="1080"/>
      <c r="D32" s="954"/>
      <c r="E32" s="1078"/>
      <c r="F32" s="1069"/>
      <c r="G32" s="1060"/>
      <c r="H32" s="1060"/>
      <c r="I32" s="1060"/>
      <c r="J32" s="1060"/>
      <c r="K32" s="1060"/>
      <c r="L32" s="843"/>
      <c r="M32" s="842"/>
      <c r="N32" s="842"/>
      <c r="O32" s="843"/>
      <c r="P32" s="842"/>
      <c r="Q32" s="844"/>
      <c r="R32" s="1076"/>
      <c r="S32" s="825"/>
      <c r="T32" s="1062"/>
      <c r="U32" s="960"/>
      <c r="V32" s="824"/>
    </row>
    <row r="33" spans="1:22" s="826" customFormat="1" ht="23.4">
      <c r="A33" s="1066">
        <v>7</v>
      </c>
      <c r="B33" s="1118" t="s">
        <v>1026</v>
      </c>
      <c r="C33" s="1118" t="s">
        <v>1027</v>
      </c>
      <c r="D33" s="947" t="s">
        <v>663</v>
      </c>
      <c r="E33" s="1075">
        <v>2026</v>
      </c>
      <c r="F33" s="1069"/>
      <c r="G33" s="1060"/>
      <c r="H33" s="1060"/>
      <c r="I33" s="1060"/>
      <c r="J33" s="1060"/>
      <c r="K33" s="1060"/>
      <c r="L33" s="843"/>
      <c r="M33" s="842"/>
      <c r="N33" s="842"/>
      <c r="O33" s="843"/>
      <c r="P33" s="842"/>
      <c r="Q33" s="844"/>
      <c r="R33" s="1076"/>
      <c r="S33" s="825"/>
      <c r="T33" s="1062"/>
      <c r="U33" s="960"/>
      <c r="V33" s="824"/>
    </row>
    <row r="34" spans="1:22" s="826" customFormat="1" ht="22.8">
      <c r="A34" s="836"/>
      <c r="B34" s="1080" t="s">
        <v>1097</v>
      </c>
      <c r="C34" s="1080" t="s">
        <v>1096</v>
      </c>
      <c r="D34" s="954"/>
      <c r="E34" s="1078"/>
      <c r="F34" s="1069"/>
      <c r="G34" s="1060"/>
      <c r="H34" s="1060"/>
      <c r="I34" s="1060"/>
      <c r="J34" s="1060"/>
      <c r="K34" s="1060"/>
      <c r="L34" s="843"/>
      <c r="M34" s="842"/>
      <c r="N34" s="842"/>
      <c r="O34" s="843"/>
      <c r="P34" s="842"/>
      <c r="Q34" s="844"/>
      <c r="R34" s="1076"/>
      <c r="S34" s="825"/>
      <c r="T34" s="1062"/>
      <c r="U34" s="960"/>
      <c r="V34" s="824"/>
    </row>
    <row r="35" spans="1:22" s="826" customFormat="1" ht="22.8">
      <c r="A35" s="836"/>
      <c r="B35" s="1080" t="s">
        <v>1028</v>
      </c>
      <c r="C35" s="1080" t="s">
        <v>1083</v>
      </c>
      <c r="D35" s="954"/>
      <c r="E35" s="1078"/>
      <c r="F35" s="1069"/>
      <c r="G35" s="1060"/>
      <c r="H35" s="1060"/>
      <c r="I35" s="1060"/>
      <c r="J35" s="1060"/>
      <c r="K35" s="1060"/>
      <c r="L35" s="843"/>
      <c r="M35" s="842"/>
      <c r="N35" s="842"/>
      <c r="O35" s="843"/>
      <c r="P35" s="842"/>
      <c r="Q35" s="844"/>
      <c r="R35" s="1076"/>
      <c r="S35" s="825"/>
      <c r="T35" s="1062"/>
      <c r="U35" s="960"/>
      <c r="V35" s="824"/>
    </row>
    <row r="36" spans="1:22" s="826" customFormat="1" ht="22.8">
      <c r="A36" s="836"/>
      <c r="B36" s="1080" t="s">
        <v>1098</v>
      </c>
      <c r="C36" s="1080" t="s">
        <v>1084</v>
      </c>
      <c r="D36" s="954"/>
      <c r="E36" s="1078"/>
      <c r="F36" s="1069"/>
      <c r="G36" s="1060"/>
      <c r="H36" s="1060"/>
      <c r="I36" s="1060"/>
      <c r="J36" s="1060"/>
      <c r="K36" s="1060"/>
      <c r="L36" s="843"/>
      <c r="M36" s="842"/>
      <c r="N36" s="842"/>
      <c r="O36" s="843"/>
      <c r="P36" s="842"/>
      <c r="Q36" s="844"/>
      <c r="R36" s="1076"/>
      <c r="S36" s="825"/>
      <c r="T36" s="1062"/>
      <c r="U36" s="960"/>
      <c r="V36" s="824"/>
    </row>
    <row r="37" spans="1:22" s="826" customFormat="1" ht="22.8">
      <c r="A37" s="836"/>
      <c r="B37" s="1080"/>
      <c r="C37" s="1080"/>
      <c r="D37" s="954"/>
      <c r="E37" s="1078"/>
      <c r="F37" s="1069"/>
      <c r="G37" s="1060"/>
      <c r="H37" s="1060"/>
      <c r="I37" s="1060"/>
      <c r="J37" s="1060"/>
      <c r="K37" s="1060"/>
      <c r="L37" s="843"/>
      <c r="M37" s="842"/>
      <c r="N37" s="842"/>
      <c r="O37" s="843"/>
      <c r="P37" s="842"/>
      <c r="Q37" s="844"/>
      <c r="R37" s="1076">
        <f t="shared" si="0"/>
        <v>0</v>
      </c>
      <c r="S37" s="825"/>
      <c r="T37" s="1062">
        <f t="shared" si="1"/>
        <v>0</v>
      </c>
      <c r="U37" s="960"/>
      <c r="V37" s="824"/>
    </row>
    <row r="38" spans="1:22" s="826" customFormat="1" ht="23.4">
      <c r="A38" s="1066">
        <v>7</v>
      </c>
      <c r="B38" s="1125" t="s">
        <v>1035</v>
      </c>
      <c r="C38" s="1126" t="s">
        <v>1036</v>
      </c>
      <c r="D38" s="946" t="s">
        <v>611</v>
      </c>
      <c r="E38" s="1075">
        <v>2026</v>
      </c>
      <c r="F38" s="1069"/>
      <c r="G38" s="1060"/>
      <c r="H38" s="1060"/>
      <c r="I38" s="1060"/>
      <c r="J38" s="1060"/>
      <c r="K38" s="1060"/>
      <c r="L38" s="843"/>
      <c r="M38" s="842"/>
      <c r="N38" s="842"/>
      <c r="O38" s="843"/>
      <c r="P38" s="842"/>
      <c r="Q38" s="844"/>
      <c r="R38" s="1076">
        <f t="shared" si="0"/>
        <v>0</v>
      </c>
      <c r="S38" s="825"/>
      <c r="T38" s="1062">
        <f t="shared" si="1"/>
        <v>0</v>
      </c>
      <c r="U38" s="842"/>
      <c r="V38" s="824"/>
    </row>
    <row r="39" spans="1:22" s="826" customFormat="1" ht="23.4">
      <c r="A39" s="836"/>
      <c r="B39" s="1080" t="s">
        <v>1037</v>
      </c>
      <c r="C39" s="1080" t="s">
        <v>808</v>
      </c>
      <c r="D39" s="1124"/>
      <c r="E39" s="1072"/>
      <c r="F39" s="1069"/>
      <c r="G39" s="1060"/>
      <c r="H39" s="1060"/>
      <c r="I39" s="1060"/>
      <c r="J39" s="1060"/>
      <c r="K39" s="1060"/>
      <c r="L39" s="843"/>
      <c r="M39" s="842"/>
      <c r="N39" s="842"/>
      <c r="O39" s="843"/>
      <c r="P39" s="842"/>
      <c r="Q39" s="844">
        <v>2</v>
      </c>
      <c r="R39" s="1076">
        <f t="shared" si="0"/>
        <v>2</v>
      </c>
      <c r="S39" s="825">
        <v>0.2</v>
      </c>
      <c r="T39" s="1062">
        <f t="shared" si="1"/>
        <v>0.4</v>
      </c>
      <c r="U39" s="842"/>
      <c r="V39" s="824"/>
    </row>
    <row r="40" spans="1:22" s="826" customFormat="1" ht="23.4">
      <c r="A40" s="836"/>
      <c r="B40" s="1143"/>
      <c r="C40" s="1143"/>
      <c r="D40" s="1142"/>
      <c r="E40" s="1072"/>
      <c r="F40" s="1069"/>
      <c r="G40" s="1060"/>
      <c r="H40" s="1060"/>
      <c r="I40" s="1060"/>
      <c r="J40" s="1060"/>
      <c r="K40" s="1060"/>
      <c r="L40" s="1069"/>
      <c r="M40" s="1060"/>
      <c r="N40" s="1060"/>
      <c r="O40" s="843"/>
      <c r="P40" s="842"/>
      <c r="Q40" s="844"/>
      <c r="R40" s="1076">
        <f t="shared" si="0"/>
        <v>0</v>
      </c>
      <c r="S40" s="825"/>
      <c r="T40" s="1062">
        <f t="shared" si="1"/>
        <v>0</v>
      </c>
      <c r="U40" s="844"/>
      <c r="V40" s="824"/>
    </row>
    <row r="41" spans="1:22" s="826" customFormat="1" ht="22.8">
      <c r="A41" s="1066">
        <v>8</v>
      </c>
      <c r="B41" s="1122" t="s">
        <v>1006</v>
      </c>
      <c r="C41" s="1122" t="s">
        <v>1009</v>
      </c>
      <c r="D41" s="946" t="s">
        <v>611</v>
      </c>
      <c r="E41" s="1141" t="s">
        <v>949</v>
      </c>
      <c r="F41" s="1069"/>
      <c r="G41" s="1060"/>
      <c r="H41" s="1060"/>
      <c r="I41" s="1060"/>
      <c r="J41" s="1060"/>
      <c r="K41" s="1060"/>
      <c r="L41" s="1069"/>
      <c r="M41" s="1060"/>
      <c r="N41" s="1060"/>
      <c r="O41" s="843"/>
      <c r="P41" s="842"/>
      <c r="Q41" s="844"/>
      <c r="R41" s="1076">
        <f t="shared" si="0"/>
        <v>0</v>
      </c>
      <c r="S41" s="825"/>
      <c r="T41" s="1062">
        <f t="shared" si="1"/>
        <v>0</v>
      </c>
      <c r="U41" s="1151"/>
      <c r="V41" s="824"/>
    </row>
    <row r="42" spans="1:22" s="826" customFormat="1" ht="22.8">
      <c r="A42" s="836"/>
      <c r="B42" s="1080" t="s">
        <v>1005</v>
      </c>
      <c r="C42" s="1038" t="s">
        <v>879</v>
      </c>
      <c r="D42" s="1114"/>
      <c r="E42" s="1078"/>
      <c r="F42" s="1069"/>
      <c r="G42" s="1060"/>
      <c r="H42" s="1060"/>
      <c r="I42" s="1060"/>
      <c r="J42" s="1060"/>
      <c r="K42" s="1060"/>
      <c r="L42" s="1069"/>
      <c r="M42" s="1060"/>
      <c r="N42" s="1060"/>
      <c r="O42" s="843"/>
      <c r="P42" s="842"/>
      <c r="Q42" s="844"/>
      <c r="R42" s="1076">
        <f t="shared" si="0"/>
        <v>0</v>
      </c>
      <c r="S42" s="825"/>
      <c r="T42" s="1062">
        <f t="shared" si="1"/>
        <v>0</v>
      </c>
      <c r="U42" s="1155">
        <v>3.7</v>
      </c>
      <c r="V42" s="824"/>
    </row>
    <row r="43" spans="1:22" s="826" customFormat="1" ht="22.8">
      <c r="A43" s="836"/>
      <c r="B43" s="1080" t="s">
        <v>1007</v>
      </c>
      <c r="C43" s="1038" t="s">
        <v>688</v>
      </c>
      <c r="D43" s="1114"/>
      <c r="E43" s="1078"/>
      <c r="F43" s="1069"/>
      <c r="G43" s="1060"/>
      <c r="H43" s="1060"/>
      <c r="I43" s="1060"/>
      <c r="J43" s="1060"/>
      <c r="K43" s="1060"/>
      <c r="L43" s="1069"/>
      <c r="M43" s="1060"/>
      <c r="N43" s="1060"/>
      <c r="O43" s="843"/>
      <c r="P43" s="842"/>
      <c r="Q43" s="844"/>
      <c r="R43" s="1076">
        <f t="shared" si="0"/>
        <v>0</v>
      </c>
      <c r="S43" s="825"/>
      <c r="T43" s="1062">
        <f t="shared" si="1"/>
        <v>0</v>
      </c>
      <c r="U43" s="1151"/>
      <c r="V43" s="824"/>
    </row>
    <row r="44" spans="1:22" s="826" customFormat="1" ht="22.8">
      <c r="A44" s="836"/>
      <c r="B44" s="1080" t="s">
        <v>1008</v>
      </c>
      <c r="C44" s="1038" t="s">
        <v>615</v>
      </c>
      <c r="D44" s="1114"/>
      <c r="E44" s="1078"/>
      <c r="F44" s="1069"/>
      <c r="G44" s="1060"/>
      <c r="H44" s="1060"/>
      <c r="I44" s="1060"/>
      <c r="J44" s="1060"/>
      <c r="K44" s="1060"/>
      <c r="L44" s="1069"/>
      <c r="M44" s="1060"/>
      <c r="N44" s="1060"/>
      <c r="O44" s="843"/>
      <c r="P44" s="842"/>
      <c r="Q44" s="844"/>
      <c r="R44" s="1076">
        <f t="shared" si="0"/>
        <v>0</v>
      </c>
      <c r="S44" s="825"/>
      <c r="T44" s="1062">
        <f t="shared" si="1"/>
        <v>0</v>
      </c>
      <c r="U44" s="1155">
        <v>0.04</v>
      </c>
      <c r="V44" s="824" t="s">
        <v>758</v>
      </c>
    </row>
    <row r="45" spans="1:22" s="826" customFormat="1" ht="22.8">
      <c r="A45" s="836"/>
      <c r="B45" s="1080"/>
      <c r="C45" s="1038"/>
      <c r="D45" s="1114"/>
      <c r="E45" s="1078"/>
      <c r="F45" s="1069"/>
      <c r="G45" s="1060"/>
      <c r="H45" s="1060"/>
      <c r="I45" s="1060"/>
      <c r="J45" s="1060"/>
      <c r="K45" s="1060"/>
      <c r="L45" s="1069"/>
      <c r="M45" s="1060"/>
      <c r="N45" s="1060"/>
      <c r="O45" s="843"/>
      <c r="P45" s="842"/>
      <c r="Q45" s="844"/>
      <c r="R45" s="1076">
        <f t="shared" si="0"/>
        <v>0</v>
      </c>
      <c r="S45" s="825"/>
      <c r="T45" s="1062">
        <f t="shared" si="1"/>
        <v>0</v>
      </c>
      <c r="U45" s="960"/>
      <c r="V45" s="824"/>
    </row>
    <row r="46" spans="1:22" s="826" customFormat="1" ht="22.8">
      <c r="A46" s="836">
        <v>9</v>
      </c>
      <c r="B46" s="1036" t="s">
        <v>932</v>
      </c>
      <c r="C46" s="1041" t="s">
        <v>934</v>
      </c>
      <c r="D46" s="946" t="s">
        <v>611</v>
      </c>
      <c r="E46" s="1075">
        <v>2026</v>
      </c>
      <c r="F46" s="1069"/>
      <c r="G46" s="1060"/>
      <c r="H46" s="1060"/>
      <c r="I46" s="1060"/>
      <c r="J46" s="1060"/>
      <c r="K46" s="1060"/>
      <c r="L46" s="843"/>
      <c r="M46" s="842"/>
      <c r="N46" s="842"/>
      <c r="O46" s="843"/>
      <c r="P46" s="842"/>
      <c r="Q46" s="844"/>
      <c r="R46" s="1076">
        <v>2.1000000000000001E-2</v>
      </c>
      <c r="S46" s="825">
        <v>0.1</v>
      </c>
      <c r="T46" s="1062">
        <f t="shared" si="1"/>
        <v>2.1000000000000003E-3</v>
      </c>
      <c r="U46" s="842"/>
      <c r="V46" s="824" t="s">
        <v>758</v>
      </c>
    </row>
    <row r="47" spans="1:22" s="826" customFormat="1" ht="22.8">
      <c r="A47" s="836"/>
      <c r="B47" s="823" t="s">
        <v>933</v>
      </c>
      <c r="C47" s="1038" t="s">
        <v>615</v>
      </c>
      <c r="D47" s="954"/>
      <c r="E47" s="1072"/>
      <c r="F47" s="1069"/>
      <c r="G47" s="1060"/>
      <c r="H47" s="1060"/>
      <c r="I47" s="1060"/>
      <c r="J47" s="1060"/>
      <c r="K47" s="1060"/>
      <c r="L47" s="843"/>
      <c r="M47" s="842"/>
      <c r="N47" s="842"/>
      <c r="O47" s="843"/>
      <c r="P47" s="842"/>
      <c r="Q47" s="844"/>
      <c r="R47" s="1076">
        <f t="shared" ref="R47:R54" si="2">SUM(F47:Q47)</f>
        <v>0</v>
      </c>
      <c r="S47" s="825"/>
      <c r="T47" s="1062">
        <f t="shared" si="1"/>
        <v>0</v>
      </c>
      <c r="U47" s="842"/>
      <c r="V47" s="824"/>
    </row>
    <row r="48" spans="1:22" s="826" customFormat="1" ht="22.8">
      <c r="A48" s="836"/>
      <c r="B48" s="1040"/>
      <c r="C48" s="1038"/>
      <c r="D48" s="954"/>
      <c r="E48" s="1072"/>
      <c r="F48" s="1069"/>
      <c r="G48" s="1060"/>
      <c r="H48" s="1060"/>
      <c r="I48" s="1060"/>
      <c r="J48" s="1060"/>
      <c r="K48" s="1060"/>
      <c r="L48" s="843"/>
      <c r="M48" s="842"/>
      <c r="N48" s="842"/>
      <c r="O48" s="843"/>
      <c r="P48" s="842"/>
      <c r="Q48" s="844"/>
      <c r="R48" s="1076">
        <f t="shared" si="2"/>
        <v>0</v>
      </c>
      <c r="S48" s="825"/>
      <c r="T48" s="1062">
        <f t="shared" si="1"/>
        <v>0</v>
      </c>
      <c r="U48" s="842"/>
      <c r="V48" s="824"/>
    </row>
    <row r="49" spans="1:22" s="826" customFormat="1" ht="22.8">
      <c r="A49" s="836">
        <v>10</v>
      </c>
      <c r="B49" s="1036" t="s">
        <v>932</v>
      </c>
      <c r="C49" s="1041" t="s">
        <v>935</v>
      </c>
      <c r="D49" s="946" t="s">
        <v>611</v>
      </c>
      <c r="E49" s="1075">
        <v>2026</v>
      </c>
      <c r="F49" s="1069"/>
      <c r="G49" s="1060"/>
      <c r="H49" s="1060"/>
      <c r="I49" s="1060"/>
      <c r="J49" s="1060"/>
      <c r="K49" s="1060"/>
      <c r="L49" s="843"/>
      <c r="M49" s="842"/>
      <c r="N49" s="842"/>
      <c r="O49" s="843"/>
      <c r="P49" s="842"/>
      <c r="Q49" s="844"/>
      <c r="R49" s="1076">
        <v>1.7000000000000001E-2</v>
      </c>
      <c r="S49" s="825">
        <v>0.1</v>
      </c>
      <c r="T49" s="1062">
        <f t="shared" si="1"/>
        <v>1.7000000000000001E-3</v>
      </c>
      <c r="U49" s="842"/>
      <c r="V49" s="824" t="s">
        <v>758</v>
      </c>
    </row>
    <row r="50" spans="1:22" s="826" customFormat="1" ht="22.8">
      <c r="A50" s="836"/>
      <c r="B50" s="823" t="s">
        <v>933</v>
      </c>
      <c r="C50" s="1038" t="s">
        <v>615</v>
      </c>
      <c r="D50" s="954"/>
      <c r="E50" s="1072"/>
      <c r="F50" s="1069"/>
      <c r="G50" s="1060"/>
      <c r="H50" s="1060"/>
      <c r="I50" s="1060"/>
      <c r="J50" s="1060"/>
      <c r="K50" s="1060"/>
      <c r="L50" s="843"/>
      <c r="M50" s="842"/>
      <c r="N50" s="842"/>
      <c r="O50" s="843"/>
      <c r="P50" s="842"/>
      <c r="Q50" s="844"/>
      <c r="R50" s="1076">
        <f t="shared" si="2"/>
        <v>0</v>
      </c>
      <c r="S50" s="825"/>
      <c r="T50" s="1062">
        <f t="shared" si="1"/>
        <v>0</v>
      </c>
      <c r="U50" s="842"/>
      <c r="V50" s="824"/>
    </row>
    <row r="51" spans="1:22" s="826" customFormat="1" ht="22.8">
      <c r="A51" s="836"/>
      <c r="B51" s="823"/>
      <c r="C51" s="1038"/>
      <c r="D51" s="954"/>
      <c r="E51" s="1072"/>
      <c r="F51" s="1069"/>
      <c r="G51" s="1060"/>
      <c r="H51" s="1060"/>
      <c r="I51" s="1060"/>
      <c r="J51" s="1060"/>
      <c r="K51" s="1060"/>
      <c r="L51" s="1069"/>
      <c r="M51" s="1060"/>
      <c r="N51" s="1060"/>
      <c r="O51" s="843"/>
      <c r="P51" s="842"/>
      <c r="Q51" s="844"/>
      <c r="R51" s="1076">
        <f t="shared" si="2"/>
        <v>0</v>
      </c>
      <c r="S51" s="825"/>
      <c r="T51" s="1062">
        <f t="shared" si="1"/>
        <v>0</v>
      </c>
      <c r="U51" s="844"/>
      <c r="V51" s="824"/>
    </row>
    <row r="52" spans="1:22" s="826" customFormat="1" ht="22.8">
      <c r="A52" s="836">
        <v>11</v>
      </c>
      <c r="B52" s="1121" t="s">
        <v>1016</v>
      </c>
      <c r="C52" s="1122" t="s">
        <v>1017</v>
      </c>
      <c r="D52" s="946" t="s">
        <v>611</v>
      </c>
      <c r="E52" s="1075" t="s">
        <v>951</v>
      </c>
      <c r="F52" s="1069"/>
      <c r="G52" s="1060"/>
      <c r="H52" s="1060"/>
      <c r="I52" s="1060"/>
      <c r="J52" s="1060"/>
      <c r="K52" s="1060"/>
      <c r="L52" s="1069"/>
      <c r="M52" s="1060"/>
      <c r="N52" s="1060"/>
      <c r="O52" s="843" t="s">
        <v>1091</v>
      </c>
      <c r="P52" s="842"/>
      <c r="Q52" s="844"/>
      <c r="R52" s="1076">
        <v>0.16</v>
      </c>
      <c r="S52" s="825">
        <v>0.2</v>
      </c>
      <c r="T52" s="1062">
        <f t="shared" si="1"/>
        <v>3.2000000000000001E-2</v>
      </c>
      <c r="U52" s="960"/>
      <c r="V52" s="824"/>
    </row>
    <row r="53" spans="1:22" s="826" customFormat="1" ht="22.8">
      <c r="A53" s="836"/>
      <c r="B53" s="1080"/>
      <c r="C53" s="1038" t="s">
        <v>973</v>
      </c>
      <c r="D53" s="1114"/>
      <c r="E53" s="1072"/>
      <c r="F53" s="1069"/>
      <c r="G53" s="1060"/>
      <c r="H53" s="1060"/>
      <c r="I53" s="1060"/>
      <c r="J53" s="1060"/>
      <c r="K53" s="1060"/>
      <c r="L53" s="1069"/>
      <c r="M53" s="1060"/>
      <c r="N53" s="1060"/>
      <c r="O53" s="843"/>
      <c r="P53" s="842"/>
      <c r="Q53" s="844"/>
      <c r="R53" s="1076">
        <f t="shared" si="2"/>
        <v>0</v>
      </c>
      <c r="S53" s="825"/>
      <c r="T53" s="1062">
        <f t="shared" si="1"/>
        <v>0</v>
      </c>
      <c r="U53" s="960"/>
      <c r="V53" s="824"/>
    </row>
    <row r="54" spans="1:22" s="826" customFormat="1" ht="22.8">
      <c r="A54" s="836"/>
      <c r="B54" s="823"/>
      <c r="C54" s="1041"/>
      <c r="D54" s="947"/>
      <c r="E54" s="1075"/>
      <c r="F54" s="843"/>
      <c r="G54" s="842"/>
      <c r="H54" s="842"/>
      <c r="I54" s="842"/>
      <c r="J54" s="842"/>
      <c r="K54" s="842"/>
      <c r="L54" s="843"/>
      <c r="M54" s="842"/>
      <c r="N54" s="842"/>
      <c r="O54" s="843"/>
      <c r="P54" s="842"/>
      <c r="Q54" s="844"/>
      <c r="R54" s="1076">
        <f t="shared" si="2"/>
        <v>0</v>
      </c>
      <c r="S54" s="825"/>
      <c r="T54" s="1062">
        <f t="shared" si="1"/>
        <v>0</v>
      </c>
      <c r="U54" s="960"/>
      <c r="V54" s="824"/>
    </row>
    <row r="55" spans="1:22" s="826" customFormat="1" ht="22.8">
      <c r="A55" s="836">
        <v>12</v>
      </c>
      <c r="B55" s="823" t="s">
        <v>964</v>
      </c>
      <c r="C55" s="1041" t="s">
        <v>963</v>
      </c>
      <c r="D55" s="946" t="s">
        <v>611</v>
      </c>
      <c r="E55" s="1075">
        <v>2026</v>
      </c>
      <c r="F55" s="1069"/>
      <c r="G55" s="1060"/>
      <c r="H55" s="1060"/>
      <c r="I55" s="1060"/>
      <c r="J55" s="1060"/>
      <c r="K55" s="1060"/>
      <c r="L55" s="843"/>
      <c r="M55" s="842"/>
      <c r="N55" s="842"/>
      <c r="O55" s="843"/>
      <c r="P55" s="842"/>
      <c r="Q55" s="844"/>
      <c r="R55" s="1076">
        <f t="shared" ref="R55:R64" si="3">SUM(F55:Q55)</f>
        <v>0</v>
      </c>
      <c r="S55" s="825"/>
      <c r="T55" s="1062">
        <f t="shared" ref="T55:T64" si="4">R55*S55</f>
        <v>0</v>
      </c>
      <c r="U55" s="842"/>
      <c r="V55" s="824"/>
    </row>
    <row r="56" spans="1:22" s="826" customFormat="1" ht="22.8">
      <c r="A56" s="836"/>
      <c r="B56" s="1080" t="s">
        <v>965</v>
      </c>
      <c r="C56" s="1038" t="s">
        <v>987</v>
      </c>
      <c r="D56" s="954"/>
      <c r="E56" s="1072"/>
      <c r="F56" s="1069"/>
      <c r="G56" s="1060"/>
      <c r="H56" s="1060"/>
      <c r="I56" s="1060"/>
      <c r="J56" s="1060"/>
      <c r="K56" s="1060"/>
      <c r="L56" s="843"/>
      <c r="M56" s="842"/>
      <c r="N56" s="842"/>
      <c r="O56" s="843"/>
      <c r="P56" s="842"/>
      <c r="Q56" s="844">
        <v>0.3</v>
      </c>
      <c r="R56" s="1076">
        <v>0.5</v>
      </c>
      <c r="S56" s="825">
        <v>0.1</v>
      </c>
      <c r="T56" s="1062">
        <f t="shared" si="4"/>
        <v>0.05</v>
      </c>
      <c r="U56" s="842"/>
      <c r="V56" s="824"/>
    </row>
    <row r="57" spans="1:22" s="826" customFormat="1" ht="22.8">
      <c r="A57" s="836"/>
      <c r="B57" s="1080" t="s">
        <v>966</v>
      </c>
      <c r="C57" s="1038" t="s">
        <v>993</v>
      </c>
      <c r="D57" s="954"/>
      <c r="E57" s="1072"/>
      <c r="F57" s="1069"/>
      <c r="G57" s="1060"/>
      <c r="H57" s="1060"/>
      <c r="I57" s="1060"/>
      <c r="J57" s="1060"/>
      <c r="K57" s="1060"/>
      <c r="L57" s="843"/>
      <c r="M57" s="842"/>
      <c r="N57" s="842"/>
      <c r="O57" s="843"/>
      <c r="P57" s="842"/>
      <c r="Q57" s="844">
        <v>0.5</v>
      </c>
      <c r="R57" s="1076">
        <v>0.3</v>
      </c>
      <c r="S57" s="825">
        <v>0.1</v>
      </c>
      <c r="T57" s="1062">
        <f t="shared" si="4"/>
        <v>0.03</v>
      </c>
      <c r="U57" s="842"/>
      <c r="V57" s="824"/>
    </row>
    <row r="58" spans="1:22" s="826" customFormat="1" ht="22.8">
      <c r="A58" s="836"/>
      <c r="B58" s="1080" t="s">
        <v>967</v>
      </c>
      <c r="C58" s="1038"/>
      <c r="D58" s="954"/>
      <c r="E58" s="1072"/>
      <c r="F58" s="1069"/>
      <c r="G58" s="1060"/>
      <c r="H58" s="1060"/>
      <c r="I58" s="1060"/>
      <c r="J58" s="1060"/>
      <c r="K58" s="1060"/>
      <c r="L58" s="843"/>
      <c r="M58" s="842"/>
      <c r="N58" s="842"/>
      <c r="O58" s="843"/>
      <c r="P58" s="842"/>
      <c r="Q58" s="844"/>
      <c r="R58" s="1076">
        <f t="shared" si="3"/>
        <v>0</v>
      </c>
      <c r="S58" s="825"/>
      <c r="T58" s="1062">
        <f t="shared" si="4"/>
        <v>0</v>
      </c>
      <c r="U58" s="842"/>
      <c r="V58" s="824"/>
    </row>
    <row r="59" spans="1:22" s="826" customFormat="1" ht="22.8">
      <c r="A59" s="836"/>
      <c r="B59" s="1080" t="s">
        <v>968</v>
      </c>
      <c r="C59" s="1038"/>
      <c r="D59" s="954"/>
      <c r="E59" s="1072"/>
      <c r="F59" s="1069"/>
      <c r="G59" s="1060"/>
      <c r="H59" s="1060"/>
      <c r="I59" s="1060"/>
      <c r="J59" s="1060"/>
      <c r="K59" s="1060"/>
      <c r="L59" s="843"/>
      <c r="M59" s="842"/>
      <c r="N59" s="842"/>
      <c r="O59" s="843"/>
      <c r="P59" s="842"/>
      <c r="Q59" s="844"/>
      <c r="R59" s="1076">
        <f t="shared" si="3"/>
        <v>0</v>
      </c>
      <c r="S59" s="825"/>
      <c r="T59" s="1062">
        <f t="shared" si="4"/>
        <v>0</v>
      </c>
      <c r="U59" s="842"/>
      <c r="V59" s="824"/>
    </row>
    <row r="60" spans="1:22" s="826" customFormat="1" ht="22.8">
      <c r="A60" s="836"/>
      <c r="B60" s="1080" t="s">
        <v>969</v>
      </c>
      <c r="C60" s="1038"/>
      <c r="D60" s="954"/>
      <c r="E60" s="1072"/>
      <c r="F60" s="1069"/>
      <c r="G60" s="1060"/>
      <c r="H60" s="1060"/>
      <c r="I60" s="1060"/>
      <c r="J60" s="1060"/>
      <c r="K60" s="1060"/>
      <c r="L60" s="843"/>
      <c r="M60" s="842"/>
      <c r="N60" s="842"/>
      <c r="O60" s="843"/>
      <c r="P60" s="842"/>
      <c r="Q60" s="844"/>
      <c r="R60" s="1076">
        <f t="shared" si="3"/>
        <v>0</v>
      </c>
      <c r="S60" s="825"/>
      <c r="T60" s="1062">
        <f t="shared" si="4"/>
        <v>0</v>
      </c>
      <c r="U60" s="842"/>
      <c r="V60" s="824"/>
    </row>
    <row r="61" spans="1:22" s="826" customFormat="1" ht="22.8">
      <c r="A61" s="836"/>
      <c r="B61" s="1080" t="s">
        <v>970</v>
      </c>
      <c r="C61" s="1038"/>
      <c r="D61" s="954"/>
      <c r="E61" s="1072"/>
      <c r="F61" s="1069"/>
      <c r="G61" s="1060"/>
      <c r="H61" s="1060"/>
      <c r="I61" s="1060"/>
      <c r="J61" s="1060"/>
      <c r="K61" s="1060"/>
      <c r="L61" s="843"/>
      <c r="M61" s="842"/>
      <c r="N61" s="842"/>
      <c r="O61" s="843"/>
      <c r="P61" s="842"/>
      <c r="Q61" s="844"/>
      <c r="R61" s="1076">
        <f t="shared" si="3"/>
        <v>0</v>
      </c>
      <c r="S61" s="825"/>
      <c r="T61" s="1062">
        <f t="shared" si="4"/>
        <v>0</v>
      </c>
      <c r="U61" s="842"/>
      <c r="V61" s="824"/>
    </row>
    <row r="62" spans="1:22" s="826" customFormat="1" ht="22.8">
      <c r="A62" s="836"/>
      <c r="B62" s="1080" t="s">
        <v>1010</v>
      </c>
      <c r="C62" s="1038"/>
      <c r="D62" s="954"/>
      <c r="E62" s="1072"/>
      <c r="F62" s="1069"/>
      <c r="G62" s="1060"/>
      <c r="H62" s="1060"/>
      <c r="I62" s="1060"/>
      <c r="J62" s="1060"/>
      <c r="K62" s="1060"/>
      <c r="L62" s="843"/>
      <c r="M62" s="842"/>
      <c r="N62" s="842"/>
      <c r="O62" s="843"/>
      <c r="P62" s="842"/>
      <c r="Q62" s="844"/>
      <c r="R62" s="1076">
        <f t="shared" si="3"/>
        <v>0</v>
      </c>
      <c r="S62" s="825"/>
      <c r="T62" s="1062">
        <f t="shared" si="4"/>
        <v>0</v>
      </c>
      <c r="U62" s="842"/>
      <c r="V62" s="824"/>
    </row>
    <row r="63" spans="1:22" s="826" customFormat="1" ht="22.8">
      <c r="A63" s="836"/>
      <c r="B63" s="1080" t="s">
        <v>962</v>
      </c>
      <c r="C63" s="1038"/>
      <c r="D63" s="954"/>
      <c r="E63" s="1072"/>
      <c r="F63" s="1069"/>
      <c r="G63" s="1060"/>
      <c r="H63" s="1060"/>
      <c r="I63" s="1060"/>
      <c r="J63" s="1060"/>
      <c r="K63" s="1060"/>
      <c r="L63" s="843"/>
      <c r="M63" s="842"/>
      <c r="N63" s="842"/>
      <c r="O63" s="843"/>
      <c r="P63" s="842"/>
      <c r="Q63" s="844"/>
      <c r="R63" s="1076">
        <f t="shared" si="3"/>
        <v>0</v>
      </c>
      <c r="S63" s="825"/>
      <c r="T63" s="1062">
        <f t="shared" si="4"/>
        <v>0</v>
      </c>
      <c r="U63" s="842"/>
      <c r="V63" s="824"/>
    </row>
    <row r="64" spans="1:22" s="826" customFormat="1" ht="22.8" customHeight="1">
      <c r="A64" s="836"/>
      <c r="B64" s="823"/>
      <c r="C64" s="1038"/>
      <c r="D64" s="954"/>
      <c r="E64" s="1078"/>
      <c r="F64" s="843"/>
      <c r="G64" s="842"/>
      <c r="H64" s="842"/>
      <c r="I64" s="842"/>
      <c r="J64" s="842"/>
      <c r="K64" s="842"/>
      <c r="L64" s="843"/>
      <c r="M64" s="842"/>
      <c r="N64" s="842"/>
      <c r="O64" s="843"/>
      <c r="P64" s="842"/>
      <c r="Q64" s="844"/>
      <c r="R64" s="1076">
        <f t="shared" si="3"/>
        <v>0</v>
      </c>
      <c r="S64" s="825"/>
      <c r="T64" s="1062">
        <f t="shared" si="4"/>
        <v>0</v>
      </c>
      <c r="U64" s="960"/>
      <c r="V64" s="824"/>
    </row>
    <row r="65" spans="1:22" s="826" customFormat="1" ht="22.8">
      <c r="A65" s="836">
        <v>13</v>
      </c>
      <c r="B65" s="823" t="s">
        <v>794</v>
      </c>
      <c r="C65" s="1041" t="s">
        <v>788</v>
      </c>
      <c r="D65" s="947" t="s">
        <v>663</v>
      </c>
      <c r="E65" s="1075" t="s">
        <v>949</v>
      </c>
      <c r="F65" s="1069"/>
      <c r="G65" s="1060"/>
      <c r="H65" s="1060"/>
      <c r="I65" s="1060"/>
      <c r="J65" s="1060"/>
      <c r="K65" s="1060"/>
      <c r="L65" s="843"/>
      <c r="M65" s="842"/>
      <c r="N65" s="842"/>
      <c r="O65" s="843"/>
      <c r="P65" s="842"/>
      <c r="Q65" s="844"/>
      <c r="R65" s="1076">
        <f t="shared" ref="R65:R85" si="5">SUM(F65:Q65)</f>
        <v>0</v>
      </c>
      <c r="S65" s="825"/>
      <c r="T65" s="1062">
        <f t="shared" ref="T65:T107" si="6">R65*S65</f>
        <v>0</v>
      </c>
      <c r="U65" s="842"/>
      <c r="V65" s="824" t="s">
        <v>786</v>
      </c>
    </row>
    <row r="66" spans="1:22" s="826" customFormat="1" ht="22.8">
      <c r="A66" s="836"/>
      <c r="B66" s="823" t="s">
        <v>791</v>
      </c>
      <c r="C66" s="1038" t="s">
        <v>960</v>
      </c>
      <c r="D66" s="954"/>
      <c r="E66" s="1072"/>
      <c r="F66" s="1069"/>
      <c r="G66" s="1060"/>
      <c r="H66" s="1060"/>
      <c r="I66" s="1060"/>
      <c r="J66" s="1060"/>
      <c r="K66" s="1060"/>
      <c r="L66" s="843"/>
      <c r="M66" s="842"/>
      <c r="N66" s="842"/>
      <c r="O66" s="843"/>
      <c r="P66" s="842"/>
      <c r="Q66" s="844"/>
      <c r="R66" s="1076">
        <f t="shared" si="5"/>
        <v>0</v>
      </c>
      <c r="S66" s="825"/>
      <c r="T66" s="1062">
        <f t="shared" si="6"/>
        <v>0</v>
      </c>
      <c r="U66" s="842"/>
      <c r="V66" s="824"/>
    </row>
    <row r="67" spans="1:22" s="826" customFormat="1" ht="22.8">
      <c r="A67" s="836"/>
      <c r="B67" s="823" t="s">
        <v>792</v>
      </c>
      <c r="C67" s="1038" t="s">
        <v>889</v>
      </c>
      <c r="D67" s="954"/>
      <c r="E67" s="1072"/>
      <c r="F67" s="1069"/>
      <c r="G67" s="1060"/>
      <c r="H67" s="1060"/>
      <c r="I67" s="1060"/>
      <c r="J67" s="1060"/>
      <c r="K67" s="1060"/>
      <c r="L67" s="843"/>
      <c r="M67" s="842"/>
      <c r="N67" s="842"/>
      <c r="O67" s="843"/>
      <c r="P67" s="842"/>
      <c r="Q67" s="844">
        <v>0.43</v>
      </c>
      <c r="R67" s="1076">
        <f t="shared" si="5"/>
        <v>0.43</v>
      </c>
      <c r="S67" s="825">
        <v>0.1</v>
      </c>
      <c r="T67" s="1062">
        <f t="shared" si="6"/>
        <v>4.3000000000000003E-2</v>
      </c>
      <c r="U67" s="842"/>
      <c r="V67" s="824" t="s">
        <v>1042</v>
      </c>
    </row>
    <row r="68" spans="1:22" s="826" customFormat="1" ht="22.8">
      <c r="A68" s="836"/>
      <c r="B68" s="823" t="s">
        <v>793</v>
      </c>
      <c r="C68" s="1038"/>
      <c r="D68" s="954"/>
      <c r="E68" s="1072"/>
      <c r="F68" s="1069"/>
      <c r="G68" s="1060"/>
      <c r="H68" s="1060"/>
      <c r="I68" s="1060"/>
      <c r="J68" s="1060"/>
      <c r="K68" s="1060"/>
      <c r="L68" s="843"/>
      <c r="M68" s="842"/>
      <c r="N68" s="842"/>
      <c r="O68" s="843"/>
      <c r="P68" s="842"/>
      <c r="Q68" s="844"/>
      <c r="R68" s="1076">
        <f t="shared" si="5"/>
        <v>0</v>
      </c>
      <c r="S68" s="825"/>
      <c r="T68" s="1062">
        <f t="shared" si="6"/>
        <v>0</v>
      </c>
      <c r="U68" s="842"/>
      <c r="V68" s="824"/>
    </row>
    <row r="69" spans="1:22" s="826" customFormat="1" ht="22.8">
      <c r="A69" s="836"/>
      <c r="B69" s="823" t="s">
        <v>885</v>
      </c>
      <c r="C69" s="1038" t="s">
        <v>888</v>
      </c>
      <c r="D69" s="954"/>
      <c r="E69" s="1072"/>
      <c r="F69" s="1069"/>
      <c r="G69" s="1060"/>
      <c r="H69" s="1060"/>
      <c r="I69" s="1060"/>
      <c r="J69" s="1060"/>
      <c r="K69" s="1060"/>
      <c r="L69" s="843"/>
      <c r="M69" s="842"/>
      <c r="N69" s="842"/>
      <c r="O69" s="843"/>
      <c r="P69" s="842"/>
      <c r="Q69" s="844"/>
      <c r="R69" s="1076">
        <f t="shared" si="5"/>
        <v>0</v>
      </c>
      <c r="S69" s="825"/>
      <c r="T69" s="1062">
        <f t="shared" si="6"/>
        <v>0</v>
      </c>
      <c r="U69" s="842"/>
      <c r="V69" s="824"/>
    </row>
    <row r="70" spans="1:22" s="826" customFormat="1" ht="22.8">
      <c r="A70" s="836"/>
      <c r="B70" s="823" t="s">
        <v>886</v>
      </c>
      <c r="C70" s="1038"/>
      <c r="D70" s="954"/>
      <c r="E70" s="1072"/>
      <c r="F70" s="1069"/>
      <c r="G70" s="1060"/>
      <c r="H70" s="1060"/>
      <c r="I70" s="1060"/>
      <c r="J70" s="1060"/>
      <c r="K70" s="1060"/>
      <c r="L70" s="843"/>
      <c r="M70" s="842"/>
      <c r="N70" s="842"/>
      <c r="O70" s="843"/>
      <c r="P70" s="842"/>
      <c r="Q70" s="844"/>
      <c r="R70" s="1076">
        <f t="shared" si="5"/>
        <v>0</v>
      </c>
      <c r="S70" s="825"/>
      <c r="T70" s="1062">
        <f t="shared" si="6"/>
        <v>0</v>
      </c>
      <c r="U70" s="842"/>
      <c r="V70" s="824"/>
    </row>
    <row r="71" spans="1:22" s="826" customFormat="1" ht="22.8">
      <c r="A71" s="836"/>
      <c r="B71" s="823" t="s">
        <v>887</v>
      </c>
      <c r="C71" s="1038"/>
      <c r="D71" s="954"/>
      <c r="E71" s="1072"/>
      <c r="F71" s="1069"/>
      <c r="G71" s="1060"/>
      <c r="H71" s="1060"/>
      <c r="I71" s="1060"/>
      <c r="J71" s="1060"/>
      <c r="K71" s="1060"/>
      <c r="L71" s="843"/>
      <c r="M71" s="842"/>
      <c r="N71" s="842"/>
      <c r="O71" s="843"/>
      <c r="P71" s="842"/>
      <c r="Q71" s="844"/>
      <c r="R71" s="1076">
        <f t="shared" si="5"/>
        <v>0</v>
      </c>
      <c r="S71" s="825"/>
      <c r="T71" s="1062">
        <f t="shared" si="6"/>
        <v>0</v>
      </c>
      <c r="U71" s="842"/>
      <c r="V71" s="824"/>
    </row>
    <row r="72" spans="1:22" s="826" customFormat="1" ht="22.8">
      <c r="A72" s="836"/>
      <c r="B72" s="1040" t="s">
        <v>790</v>
      </c>
      <c r="C72" s="1038"/>
      <c r="D72" s="954"/>
      <c r="E72" s="1072"/>
      <c r="F72" s="1069"/>
      <c r="G72" s="1060"/>
      <c r="H72" s="1060"/>
      <c r="I72" s="1060"/>
      <c r="J72" s="1060"/>
      <c r="K72" s="1060"/>
      <c r="L72" s="843"/>
      <c r="M72" s="842"/>
      <c r="N72" s="842"/>
      <c r="O72" s="843"/>
      <c r="P72" s="842"/>
      <c r="Q72" s="844"/>
      <c r="R72" s="1076">
        <f t="shared" si="5"/>
        <v>0</v>
      </c>
      <c r="S72" s="825"/>
      <c r="T72" s="1062">
        <f t="shared" si="6"/>
        <v>0</v>
      </c>
      <c r="U72" s="842"/>
      <c r="V72" s="824"/>
    </row>
    <row r="73" spans="1:22" s="826" customFormat="1" ht="22.8">
      <c r="A73" s="836">
        <v>14</v>
      </c>
      <c r="B73" s="1036" t="s">
        <v>982</v>
      </c>
      <c r="C73" s="1041" t="s">
        <v>914</v>
      </c>
      <c r="D73" s="947" t="s">
        <v>663</v>
      </c>
      <c r="E73" s="1075">
        <v>2027</v>
      </c>
      <c r="F73" s="1069"/>
      <c r="G73" s="1060"/>
      <c r="H73" s="1060"/>
      <c r="I73" s="1060"/>
      <c r="J73" s="1060"/>
      <c r="K73" s="1060"/>
      <c r="L73" s="843"/>
      <c r="M73" s="842"/>
      <c r="N73" s="842"/>
      <c r="O73" s="843"/>
      <c r="P73" s="842"/>
      <c r="Q73" s="844"/>
      <c r="R73" s="1076">
        <f t="shared" si="5"/>
        <v>0</v>
      </c>
      <c r="S73" s="825"/>
      <c r="T73" s="1062">
        <f t="shared" si="6"/>
        <v>0</v>
      </c>
      <c r="U73" s="842"/>
      <c r="V73" s="824"/>
    </row>
    <row r="74" spans="1:22" s="826" customFormat="1" ht="22.8">
      <c r="A74" s="836"/>
      <c r="B74" s="823" t="s">
        <v>952</v>
      </c>
      <c r="C74" s="1038" t="s">
        <v>615</v>
      </c>
      <c r="D74" s="954"/>
      <c r="E74" s="1072"/>
      <c r="F74" s="1069"/>
      <c r="G74" s="1060"/>
      <c r="H74" s="1060"/>
      <c r="I74" s="1060"/>
      <c r="J74" s="1060"/>
      <c r="K74" s="1060"/>
      <c r="L74" s="843"/>
      <c r="M74" s="842"/>
      <c r="N74" s="842"/>
      <c r="O74" s="843"/>
      <c r="P74" s="842"/>
      <c r="Q74" s="844"/>
      <c r="R74" s="1076">
        <f t="shared" si="5"/>
        <v>0</v>
      </c>
      <c r="S74" s="825"/>
      <c r="T74" s="1062">
        <f t="shared" si="6"/>
        <v>0</v>
      </c>
      <c r="U74" s="842"/>
      <c r="V74" s="824"/>
    </row>
    <row r="75" spans="1:22" s="826" customFormat="1" ht="22.8">
      <c r="A75" s="836"/>
      <c r="B75" s="823" t="s">
        <v>953</v>
      </c>
      <c r="C75" s="1038" t="s">
        <v>688</v>
      </c>
      <c r="D75" s="954"/>
      <c r="E75" s="1072"/>
      <c r="F75" s="1069"/>
      <c r="G75" s="1060"/>
      <c r="H75" s="1060"/>
      <c r="I75" s="1060"/>
      <c r="J75" s="1060"/>
      <c r="K75" s="1060"/>
      <c r="L75" s="843"/>
      <c r="M75" s="842"/>
      <c r="N75" s="842"/>
      <c r="O75" s="843"/>
      <c r="P75" s="842"/>
      <c r="Q75" s="844"/>
      <c r="R75" s="1076">
        <f t="shared" si="5"/>
        <v>0</v>
      </c>
      <c r="S75" s="825"/>
      <c r="T75" s="1062">
        <f t="shared" si="6"/>
        <v>0</v>
      </c>
      <c r="U75" s="842"/>
      <c r="V75" s="824"/>
    </row>
    <row r="76" spans="1:22" s="826" customFormat="1" ht="22.8">
      <c r="A76" s="836"/>
      <c r="B76" s="1040" t="s">
        <v>983</v>
      </c>
      <c r="C76" s="1038"/>
      <c r="D76" s="954"/>
      <c r="E76" s="1072"/>
      <c r="F76" s="1069"/>
      <c r="G76" s="1060"/>
      <c r="H76" s="1060"/>
      <c r="I76" s="1060"/>
      <c r="J76" s="1060"/>
      <c r="K76" s="1060"/>
      <c r="L76" s="843"/>
      <c r="M76" s="842"/>
      <c r="N76" s="842"/>
      <c r="O76" s="843"/>
      <c r="P76" s="842"/>
      <c r="Q76" s="844"/>
      <c r="R76" s="1076">
        <f t="shared" si="5"/>
        <v>0</v>
      </c>
      <c r="S76" s="825"/>
      <c r="T76" s="1062">
        <f t="shared" si="6"/>
        <v>0</v>
      </c>
      <c r="U76" s="842"/>
      <c r="V76" s="824"/>
    </row>
    <row r="77" spans="1:22" s="826" customFormat="1" ht="22.8">
      <c r="A77" s="836"/>
      <c r="B77" s="1040" t="s">
        <v>916</v>
      </c>
      <c r="C77" s="1038"/>
      <c r="D77" s="954"/>
      <c r="E77" s="1072"/>
      <c r="F77" s="1069"/>
      <c r="G77" s="1060"/>
      <c r="H77" s="1060"/>
      <c r="I77" s="1060"/>
      <c r="J77" s="1060"/>
      <c r="K77" s="1060"/>
      <c r="L77" s="843"/>
      <c r="M77" s="842"/>
      <c r="N77" s="842"/>
      <c r="O77" s="843"/>
      <c r="P77" s="842"/>
      <c r="Q77" s="844"/>
      <c r="R77" s="1076">
        <f t="shared" si="5"/>
        <v>0</v>
      </c>
      <c r="S77" s="825"/>
      <c r="T77" s="1062">
        <f t="shared" si="6"/>
        <v>0</v>
      </c>
      <c r="U77" s="842"/>
      <c r="V77" s="824"/>
    </row>
    <row r="78" spans="1:22" s="826" customFormat="1" ht="22.8">
      <c r="A78" s="836">
        <v>15</v>
      </c>
      <c r="B78" s="1036" t="s">
        <v>919</v>
      </c>
      <c r="C78" s="1041" t="s">
        <v>917</v>
      </c>
      <c r="D78" s="947" t="s">
        <v>663</v>
      </c>
      <c r="E78" s="1075">
        <v>2027</v>
      </c>
      <c r="F78" s="1069"/>
      <c r="G78" s="1060"/>
      <c r="H78" s="1060"/>
      <c r="I78" s="1060"/>
      <c r="J78" s="1060"/>
      <c r="K78" s="1060"/>
      <c r="L78" s="843"/>
      <c r="M78" s="842"/>
      <c r="N78" s="842"/>
      <c r="O78" s="843"/>
      <c r="P78" s="842"/>
      <c r="Q78" s="844"/>
      <c r="R78" s="1076">
        <f t="shared" si="5"/>
        <v>0</v>
      </c>
      <c r="S78" s="825"/>
      <c r="T78" s="1062">
        <f t="shared" si="6"/>
        <v>0</v>
      </c>
      <c r="U78" s="842"/>
      <c r="V78" s="824"/>
    </row>
    <row r="79" spans="1:22" s="826" customFormat="1" ht="22.8">
      <c r="A79" s="836"/>
      <c r="B79" s="1036" t="s">
        <v>918</v>
      </c>
      <c r="C79" s="1038" t="s">
        <v>615</v>
      </c>
      <c r="D79" s="954"/>
      <c r="E79" s="1072"/>
      <c r="F79" s="1069"/>
      <c r="G79" s="1060"/>
      <c r="H79" s="1060"/>
      <c r="I79" s="1060"/>
      <c r="J79" s="1060"/>
      <c r="K79" s="1060"/>
      <c r="L79" s="843"/>
      <c r="M79" s="842"/>
      <c r="N79" s="842"/>
      <c r="O79" s="843"/>
      <c r="P79" s="842"/>
      <c r="Q79" s="844"/>
      <c r="R79" s="1076">
        <f t="shared" si="5"/>
        <v>0</v>
      </c>
      <c r="S79" s="825"/>
      <c r="T79" s="1062">
        <f t="shared" si="6"/>
        <v>0</v>
      </c>
      <c r="U79" s="842"/>
      <c r="V79" s="824"/>
    </row>
    <row r="80" spans="1:22" s="826" customFormat="1" ht="22.8">
      <c r="A80" s="836"/>
      <c r="B80" s="1036"/>
      <c r="C80" s="1038" t="s">
        <v>688</v>
      </c>
      <c r="D80" s="954"/>
      <c r="E80" s="1072"/>
      <c r="F80" s="1069"/>
      <c r="G80" s="1060"/>
      <c r="H80" s="1060"/>
      <c r="I80" s="1060"/>
      <c r="J80" s="1060"/>
      <c r="K80" s="1060"/>
      <c r="L80" s="843"/>
      <c r="M80" s="842"/>
      <c r="N80" s="842"/>
      <c r="O80" s="843"/>
      <c r="P80" s="842"/>
      <c r="Q80" s="844"/>
      <c r="R80" s="1076">
        <f t="shared" si="5"/>
        <v>0</v>
      </c>
      <c r="S80" s="825"/>
      <c r="T80" s="1062">
        <f t="shared" si="6"/>
        <v>0</v>
      </c>
      <c r="U80" s="842"/>
      <c r="V80" s="824"/>
    </row>
    <row r="81" spans="1:22" s="826" customFormat="1" ht="22.8">
      <c r="A81" s="836"/>
      <c r="B81" s="1036"/>
      <c r="C81" s="1038"/>
      <c r="D81" s="954"/>
      <c r="E81" s="1072"/>
      <c r="F81" s="1069"/>
      <c r="G81" s="1060"/>
      <c r="H81" s="1060"/>
      <c r="I81" s="1060"/>
      <c r="J81" s="1060"/>
      <c r="K81" s="1060"/>
      <c r="L81" s="843"/>
      <c r="M81" s="842"/>
      <c r="N81" s="842"/>
      <c r="O81" s="843"/>
      <c r="P81" s="842"/>
      <c r="Q81" s="844"/>
      <c r="R81" s="1076">
        <f t="shared" si="5"/>
        <v>0</v>
      </c>
      <c r="S81" s="825"/>
      <c r="T81" s="1062">
        <f t="shared" si="6"/>
        <v>0</v>
      </c>
      <c r="U81" s="842"/>
      <c r="V81" s="824"/>
    </row>
    <row r="82" spans="1:22" s="826" customFormat="1" ht="22.8">
      <c r="A82" s="836">
        <v>16</v>
      </c>
      <c r="B82" s="1036" t="s">
        <v>942</v>
      </c>
      <c r="C82" s="1041" t="s">
        <v>948</v>
      </c>
      <c r="D82" s="947" t="s">
        <v>717</v>
      </c>
      <c r="E82" s="1075">
        <v>2027</v>
      </c>
      <c r="F82" s="1069"/>
      <c r="G82" s="1060"/>
      <c r="H82" s="1060"/>
      <c r="I82" s="1060"/>
      <c r="J82" s="1060"/>
      <c r="K82" s="1060"/>
      <c r="L82" s="843"/>
      <c r="M82" s="842"/>
      <c r="N82" s="842"/>
      <c r="O82" s="843"/>
      <c r="P82" s="842"/>
      <c r="Q82" s="844"/>
      <c r="R82" s="1076">
        <f t="shared" si="5"/>
        <v>0</v>
      </c>
      <c r="S82" s="825"/>
      <c r="T82" s="1062">
        <f t="shared" si="6"/>
        <v>0</v>
      </c>
      <c r="U82" s="842"/>
      <c r="V82" s="824"/>
    </row>
    <row r="83" spans="1:22" s="826" customFormat="1" ht="22.8">
      <c r="A83" s="836"/>
      <c r="B83" s="823" t="s">
        <v>943</v>
      </c>
      <c r="C83" s="1038" t="s">
        <v>615</v>
      </c>
      <c r="D83" s="954"/>
      <c r="E83" s="1072"/>
      <c r="F83" s="1069"/>
      <c r="G83" s="1060"/>
      <c r="H83" s="1060"/>
      <c r="I83" s="1060"/>
      <c r="J83" s="1060"/>
      <c r="K83" s="1060"/>
      <c r="L83" s="843"/>
      <c r="M83" s="842"/>
      <c r="N83" s="842"/>
      <c r="O83" s="843"/>
      <c r="P83" s="842"/>
      <c r="Q83" s="844"/>
      <c r="R83" s="1076">
        <f t="shared" si="5"/>
        <v>0</v>
      </c>
      <c r="S83" s="825"/>
      <c r="T83" s="1062">
        <f t="shared" si="6"/>
        <v>0</v>
      </c>
      <c r="U83" s="842"/>
      <c r="V83" s="824"/>
    </row>
    <row r="84" spans="1:22" s="826" customFormat="1" ht="22.8">
      <c r="A84" s="836"/>
      <c r="B84" s="823" t="s">
        <v>944</v>
      </c>
      <c r="C84" s="1038"/>
      <c r="D84" s="954"/>
      <c r="E84" s="1072"/>
      <c r="F84" s="1069"/>
      <c r="G84" s="1060"/>
      <c r="H84" s="1060"/>
      <c r="I84" s="1060"/>
      <c r="J84" s="1060"/>
      <c r="K84" s="1060"/>
      <c r="L84" s="843"/>
      <c r="M84" s="842"/>
      <c r="N84" s="842"/>
      <c r="O84" s="843"/>
      <c r="P84" s="842"/>
      <c r="Q84" s="844"/>
      <c r="R84" s="1076">
        <f t="shared" si="5"/>
        <v>0</v>
      </c>
      <c r="S84" s="825"/>
      <c r="T84" s="1062">
        <f t="shared" si="6"/>
        <v>0</v>
      </c>
      <c r="U84" s="842"/>
      <c r="V84" s="824"/>
    </row>
    <row r="85" spans="1:22" s="826" customFormat="1" ht="22.8">
      <c r="A85" s="836"/>
      <c r="B85" s="1040" t="s">
        <v>945</v>
      </c>
      <c r="C85" s="1038"/>
      <c r="D85" s="954"/>
      <c r="E85" s="1072"/>
      <c r="F85" s="1069"/>
      <c r="G85" s="1060"/>
      <c r="H85" s="1060"/>
      <c r="I85" s="1060"/>
      <c r="J85" s="1060"/>
      <c r="K85" s="1060"/>
      <c r="L85" s="843"/>
      <c r="M85" s="842"/>
      <c r="N85" s="842"/>
      <c r="O85" s="843"/>
      <c r="P85" s="842"/>
      <c r="Q85" s="844"/>
      <c r="R85" s="1076">
        <f t="shared" si="5"/>
        <v>0</v>
      </c>
      <c r="S85" s="825"/>
      <c r="T85" s="1062">
        <f t="shared" si="6"/>
        <v>0</v>
      </c>
      <c r="U85" s="842"/>
      <c r="V85" s="824"/>
    </row>
    <row r="86" spans="1:22" s="826" customFormat="1" ht="22.8">
      <c r="A86" s="836">
        <v>21</v>
      </c>
      <c r="B86" s="823" t="s">
        <v>984</v>
      </c>
      <c r="C86" s="1041" t="s">
        <v>738</v>
      </c>
      <c r="D86" s="946" t="s">
        <v>611</v>
      </c>
      <c r="E86" s="1072"/>
      <c r="F86" s="1069"/>
      <c r="G86" s="1060"/>
      <c r="H86" s="1060"/>
      <c r="I86" s="1060"/>
      <c r="J86" s="1060"/>
      <c r="K86" s="1060"/>
      <c r="L86" s="843"/>
      <c r="M86" s="842"/>
      <c r="N86" s="842"/>
      <c r="O86" s="843"/>
      <c r="P86" s="842"/>
      <c r="Q86" s="844"/>
      <c r="R86" s="1076">
        <f t="shared" ref="R86:R107" si="7">SUM(F86:Q86)</f>
        <v>0</v>
      </c>
      <c r="S86" s="825"/>
      <c r="T86" s="1062">
        <f t="shared" si="6"/>
        <v>0</v>
      </c>
      <c r="U86" s="842"/>
      <c r="V86" s="824" t="s">
        <v>798</v>
      </c>
    </row>
    <row r="87" spans="1:22" s="826" customFormat="1" ht="22.8">
      <c r="A87" s="836"/>
      <c r="B87" s="823" t="s">
        <v>971</v>
      </c>
      <c r="C87" s="1038" t="s">
        <v>615</v>
      </c>
      <c r="D87" s="954"/>
      <c r="E87" s="1072"/>
      <c r="F87" s="1069"/>
      <c r="G87" s="1060"/>
      <c r="H87" s="1060"/>
      <c r="I87" s="1060"/>
      <c r="J87" s="1060"/>
      <c r="K87" s="1060"/>
      <c r="L87" s="843"/>
      <c r="M87" s="842"/>
      <c r="N87" s="842"/>
      <c r="O87" s="843"/>
      <c r="P87" s="842"/>
      <c r="Q87" s="844"/>
      <c r="R87" s="1076">
        <f t="shared" si="7"/>
        <v>0</v>
      </c>
      <c r="S87" s="825"/>
      <c r="T87" s="1062">
        <f t="shared" si="6"/>
        <v>0</v>
      </c>
      <c r="U87" s="842"/>
      <c r="V87" s="824"/>
    </row>
    <row r="88" spans="1:22" s="826" customFormat="1" ht="22.8">
      <c r="A88" s="836"/>
      <c r="B88" s="823"/>
      <c r="C88" s="1038" t="s">
        <v>688</v>
      </c>
      <c r="D88" s="954"/>
      <c r="E88" s="1072"/>
      <c r="F88" s="1069"/>
      <c r="G88" s="1060"/>
      <c r="H88" s="1060"/>
      <c r="I88" s="1060"/>
      <c r="J88" s="1060"/>
      <c r="K88" s="1060"/>
      <c r="L88" s="843"/>
      <c r="M88" s="842"/>
      <c r="N88" s="842"/>
      <c r="O88" s="843"/>
      <c r="P88" s="842"/>
      <c r="Q88" s="844"/>
      <c r="R88" s="1076">
        <f t="shared" si="7"/>
        <v>0</v>
      </c>
      <c r="S88" s="825"/>
      <c r="T88" s="1062">
        <f t="shared" si="6"/>
        <v>0</v>
      </c>
      <c r="U88" s="842"/>
      <c r="V88" s="824"/>
    </row>
    <row r="89" spans="1:22" s="826" customFormat="1" ht="22.8">
      <c r="A89" s="836"/>
      <c r="B89" s="1040" t="s">
        <v>736</v>
      </c>
      <c r="C89" s="1038"/>
      <c r="D89" s="954"/>
      <c r="E89" s="1072"/>
      <c r="F89" s="1069"/>
      <c r="G89" s="1060"/>
      <c r="H89" s="1060"/>
      <c r="I89" s="1060"/>
      <c r="J89" s="1060"/>
      <c r="K89" s="1060"/>
      <c r="L89" s="843"/>
      <c r="M89" s="842"/>
      <c r="N89" s="842"/>
      <c r="O89" s="843"/>
      <c r="P89" s="842"/>
      <c r="Q89" s="844"/>
      <c r="R89" s="1076">
        <f t="shared" si="7"/>
        <v>0</v>
      </c>
      <c r="S89" s="825"/>
      <c r="T89" s="1062">
        <f t="shared" si="6"/>
        <v>0</v>
      </c>
      <c r="U89" s="842"/>
      <c r="V89" s="824"/>
    </row>
    <row r="90" spans="1:22" s="826" customFormat="1" ht="22.8">
      <c r="A90" s="836">
        <v>22</v>
      </c>
      <c r="B90" s="823" t="s">
        <v>985</v>
      </c>
      <c r="C90" s="1041" t="s">
        <v>734</v>
      </c>
      <c r="D90" s="946" t="s">
        <v>611</v>
      </c>
      <c r="E90" s="1072"/>
      <c r="F90" s="1069"/>
      <c r="G90" s="1060"/>
      <c r="H90" s="1060"/>
      <c r="I90" s="1060"/>
      <c r="J90" s="1060"/>
      <c r="K90" s="1060"/>
      <c r="L90" s="843"/>
      <c r="M90" s="842"/>
      <c r="N90" s="842"/>
      <c r="O90" s="843"/>
      <c r="P90" s="842"/>
      <c r="Q90" s="844"/>
      <c r="R90" s="1076">
        <f t="shared" si="7"/>
        <v>0</v>
      </c>
      <c r="S90" s="825"/>
      <c r="T90" s="1062">
        <f t="shared" si="6"/>
        <v>0</v>
      </c>
      <c r="U90" s="842"/>
      <c r="V90" s="824" t="s">
        <v>758</v>
      </c>
    </row>
    <row r="91" spans="1:22" s="826" customFormat="1" ht="22.8">
      <c r="A91" s="836"/>
      <c r="B91" s="823" t="s">
        <v>971</v>
      </c>
      <c r="C91" s="1038" t="s">
        <v>615</v>
      </c>
      <c r="D91" s="954"/>
      <c r="E91" s="1072"/>
      <c r="F91" s="1069"/>
      <c r="G91" s="1060"/>
      <c r="H91" s="1060"/>
      <c r="I91" s="1060"/>
      <c r="J91" s="1060"/>
      <c r="K91" s="1060"/>
      <c r="L91" s="843"/>
      <c r="M91" s="842"/>
      <c r="N91" s="842"/>
      <c r="O91" s="843"/>
      <c r="P91" s="842"/>
      <c r="Q91" s="844"/>
      <c r="R91" s="1076">
        <f t="shared" si="7"/>
        <v>0</v>
      </c>
      <c r="S91" s="825"/>
      <c r="T91" s="1062">
        <f t="shared" si="6"/>
        <v>0</v>
      </c>
      <c r="U91" s="842"/>
      <c r="V91" s="824"/>
    </row>
    <row r="92" spans="1:22" s="826" customFormat="1" ht="22.8">
      <c r="A92" s="836"/>
      <c r="B92" s="823"/>
      <c r="C92" s="1038" t="s">
        <v>688</v>
      </c>
      <c r="D92" s="954"/>
      <c r="E92" s="1072"/>
      <c r="F92" s="1069"/>
      <c r="G92" s="1060"/>
      <c r="H92" s="1060"/>
      <c r="I92" s="1060"/>
      <c r="J92" s="1060"/>
      <c r="K92" s="1060"/>
      <c r="L92" s="843"/>
      <c r="M92" s="842"/>
      <c r="N92" s="842"/>
      <c r="O92" s="843"/>
      <c r="P92" s="842"/>
      <c r="Q92" s="844"/>
      <c r="R92" s="1076">
        <f t="shared" si="7"/>
        <v>0</v>
      </c>
      <c r="S92" s="825"/>
      <c r="T92" s="1062">
        <f t="shared" si="6"/>
        <v>0</v>
      </c>
      <c r="U92" s="842"/>
      <c r="V92" s="824"/>
    </row>
    <row r="93" spans="1:22" s="826" customFormat="1" ht="22.8">
      <c r="A93" s="836">
        <v>23</v>
      </c>
      <c r="B93" s="1121" t="s">
        <v>1003</v>
      </c>
      <c r="C93" s="1122" t="s">
        <v>991</v>
      </c>
      <c r="D93" s="946" t="s">
        <v>611</v>
      </c>
      <c r="E93" s="1113" t="s">
        <v>992</v>
      </c>
      <c r="F93" s="1069"/>
      <c r="G93" s="1060"/>
      <c r="H93" s="1060"/>
      <c r="I93" s="1060"/>
      <c r="J93" s="1060"/>
      <c r="K93" s="1060"/>
      <c r="L93" s="1069"/>
      <c r="M93" s="1060"/>
      <c r="N93" s="1060"/>
      <c r="O93" s="843"/>
      <c r="P93" s="842"/>
      <c r="Q93" s="844"/>
      <c r="R93" s="1076">
        <f t="shared" si="7"/>
        <v>0</v>
      </c>
      <c r="S93" s="825"/>
      <c r="T93" s="1062">
        <f t="shared" si="6"/>
        <v>0</v>
      </c>
      <c r="U93" s="960"/>
      <c r="V93" s="824" t="s">
        <v>998</v>
      </c>
    </row>
    <row r="94" spans="1:22" s="826" customFormat="1" ht="22.8">
      <c r="A94" s="836"/>
      <c r="B94" s="1080" t="s">
        <v>996</v>
      </c>
      <c r="C94" s="1038" t="s">
        <v>973</v>
      </c>
      <c r="D94" s="1114"/>
      <c r="E94" s="1115"/>
      <c r="F94" s="1078"/>
      <c r="G94" s="1060"/>
      <c r="H94" s="1060"/>
      <c r="I94" s="1060"/>
      <c r="J94" s="1060"/>
      <c r="K94" s="1060"/>
      <c r="L94" s="1069"/>
      <c r="M94" s="1060"/>
      <c r="N94" s="1060"/>
      <c r="O94" s="843"/>
      <c r="P94" s="842"/>
      <c r="Q94" s="844"/>
      <c r="R94" s="1076">
        <f t="shared" si="7"/>
        <v>0</v>
      </c>
      <c r="S94" s="825"/>
      <c r="T94" s="1062">
        <f t="shared" si="6"/>
        <v>0</v>
      </c>
      <c r="U94" s="842">
        <v>2.5</v>
      </c>
      <c r="V94" s="824"/>
    </row>
    <row r="95" spans="1:22" s="826" customFormat="1" ht="22.8">
      <c r="A95" s="836"/>
      <c r="B95" s="1080" t="s">
        <v>997</v>
      </c>
      <c r="C95" s="1038" t="s">
        <v>993</v>
      </c>
      <c r="D95" s="1114"/>
      <c r="E95" s="1115"/>
      <c r="F95" s="1078"/>
      <c r="G95" s="1060"/>
      <c r="H95" s="1060"/>
      <c r="I95" s="1060"/>
      <c r="J95" s="1060"/>
      <c r="K95" s="1060"/>
      <c r="L95" s="1069"/>
      <c r="M95" s="1060"/>
      <c r="N95" s="1060"/>
      <c r="O95" s="843"/>
      <c r="P95" s="842"/>
      <c r="Q95" s="844"/>
      <c r="R95" s="1076">
        <f t="shared" si="7"/>
        <v>0</v>
      </c>
      <c r="S95" s="825"/>
      <c r="T95" s="1062">
        <f t="shared" si="6"/>
        <v>0</v>
      </c>
      <c r="U95" s="842">
        <v>1.3</v>
      </c>
      <c r="V95" s="824"/>
    </row>
    <row r="96" spans="1:22" s="826" customFormat="1" ht="22.8">
      <c r="A96" s="836"/>
      <c r="B96" s="1080" t="s">
        <v>999</v>
      </c>
      <c r="C96" s="1038" t="s">
        <v>994</v>
      </c>
      <c r="D96" s="1114"/>
      <c r="E96" s="1115"/>
      <c r="F96" s="1078"/>
      <c r="G96" s="1060"/>
      <c r="H96" s="1060"/>
      <c r="I96" s="1060"/>
      <c r="J96" s="1060"/>
      <c r="K96" s="1060"/>
      <c r="L96" s="1069"/>
      <c r="M96" s="1060"/>
      <c r="N96" s="1060"/>
      <c r="O96" s="843"/>
      <c r="P96" s="842"/>
      <c r="Q96" s="844"/>
      <c r="R96" s="1076">
        <f t="shared" si="7"/>
        <v>0</v>
      </c>
      <c r="S96" s="825"/>
      <c r="T96" s="1062">
        <f t="shared" si="6"/>
        <v>0</v>
      </c>
      <c r="U96" s="960"/>
      <c r="V96" s="824"/>
    </row>
    <row r="97" spans="1:22" s="826" customFormat="1" ht="22.8">
      <c r="A97" s="836"/>
      <c r="B97" s="1080" t="s">
        <v>995</v>
      </c>
      <c r="C97" s="1038" t="s">
        <v>615</v>
      </c>
      <c r="D97" s="1114"/>
      <c r="E97" s="1115"/>
      <c r="F97" s="1078"/>
      <c r="G97" s="1060"/>
      <c r="H97" s="1060"/>
      <c r="I97" s="1060"/>
      <c r="J97" s="1060"/>
      <c r="K97" s="1060"/>
      <c r="L97" s="1069"/>
      <c r="M97" s="1060"/>
      <c r="N97" s="1060"/>
      <c r="O97" s="843"/>
      <c r="P97" s="842"/>
      <c r="Q97" s="844"/>
      <c r="R97" s="1076">
        <f t="shared" si="7"/>
        <v>0</v>
      </c>
      <c r="S97" s="825"/>
      <c r="T97" s="1062">
        <f t="shared" si="6"/>
        <v>0</v>
      </c>
      <c r="U97" s="960"/>
      <c r="V97" s="824"/>
    </row>
    <row r="98" spans="1:22" s="826" customFormat="1" ht="23.4">
      <c r="A98" s="1139">
        <v>24</v>
      </c>
      <c r="B98" s="1135" t="s">
        <v>1070</v>
      </c>
      <c r="C98" s="1135" t="s">
        <v>1071</v>
      </c>
      <c r="D98" s="1128" t="s">
        <v>1072</v>
      </c>
      <c r="E98" s="1078"/>
      <c r="F98" s="1069"/>
      <c r="G98" s="1060"/>
      <c r="H98" s="1060"/>
      <c r="I98" s="1060"/>
      <c r="J98" s="1060"/>
      <c r="K98" s="1060"/>
      <c r="L98" s="843"/>
      <c r="M98" s="842"/>
      <c r="N98" s="842"/>
      <c r="O98" s="843"/>
      <c r="P98" s="842"/>
      <c r="Q98" s="844"/>
      <c r="R98" s="1076">
        <f t="shared" si="7"/>
        <v>0</v>
      </c>
      <c r="S98" s="825"/>
      <c r="T98" s="1062">
        <f t="shared" si="6"/>
        <v>0</v>
      </c>
      <c r="U98" s="842"/>
      <c r="V98" s="824"/>
    </row>
    <row r="99" spans="1:22" s="826" customFormat="1" ht="23.4">
      <c r="A99" s="836"/>
      <c r="B99" s="1138" t="s">
        <v>1073</v>
      </c>
      <c r="C99" s="1138"/>
      <c r="D99" s="1128"/>
      <c r="E99" s="1072"/>
      <c r="F99" s="1069"/>
      <c r="G99" s="1060"/>
      <c r="H99" s="1060"/>
      <c r="I99" s="1060"/>
      <c r="J99" s="1060"/>
      <c r="K99" s="1060"/>
      <c r="L99" s="843"/>
      <c r="M99" s="842"/>
      <c r="N99" s="842"/>
      <c r="O99" s="843"/>
      <c r="P99" s="842"/>
      <c r="Q99" s="844"/>
      <c r="R99" s="1076">
        <f t="shared" si="7"/>
        <v>0</v>
      </c>
      <c r="S99" s="825"/>
      <c r="T99" s="1062">
        <f t="shared" si="6"/>
        <v>0</v>
      </c>
      <c r="U99" s="842"/>
      <c r="V99" s="824"/>
    </row>
    <row r="100" spans="1:22" s="826" customFormat="1" ht="22.8">
      <c r="A100" s="836">
        <v>25</v>
      </c>
      <c r="B100" s="1146" t="s">
        <v>1046</v>
      </c>
      <c r="C100" s="1122" t="s">
        <v>1047</v>
      </c>
      <c r="D100" s="946" t="s">
        <v>611</v>
      </c>
      <c r="E100" s="1072"/>
      <c r="F100" s="1069"/>
      <c r="G100" s="1060"/>
      <c r="H100" s="1060"/>
      <c r="I100" s="1060"/>
      <c r="J100" s="1060"/>
      <c r="K100" s="1060"/>
      <c r="L100" s="843"/>
      <c r="M100" s="842"/>
      <c r="N100" s="842"/>
      <c r="O100" s="843"/>
      <c r="P100" s="842"/>
      <c r="Q100" s="844"/>
      <c r="R100" s="1076">
        <f t="shared" si="7"/>
        <v>0</v>
      </c>
      <c r="S100" s="825"/>
      <c r="T100" s="1062">
        <f t="shared" si="6"/>
        <v>0</v>
      </c>
      <c r="U100" s="842"/>
      <c r="V100" s="824"/>
    </row>
    <row r="101" spans="1:22" s="826" customFormat="1" ht="23.4">
      <c r="A101" s="836"/>
      <c r="B101" s="1129" t="s">
        <v>1048</v>
      </c>
      <c r="C101" s="1037" t="s">
        <v>960</v>
      </c>
      <c r="D101" s="1128"/>
      <c r="E101" s="1072"/>
      <c r="F101" s="1069"/>
      <c r="G101" s="1060"/>
      <c r="H101" s="1060"/>
      <c r="I101" s="1060"/>
      <c r="J101" s="1060"/>
      <c r="K101" s="1060"/>
      <c r="L101" s="843"/>
      <c r="M101" s="842"/>
      <c r="N101" s="842"/>
      <c r="O101" s="843"/>
      <c r="P101" s="842"/>
      <c r="Q101" s="844"/>
      <c r="R101" s="1076">
        <f t="shared" si="7"/>
        <v>0</v>
      </c>
      <c r="S101" s="825"/>
      <c r="T101" s="1062">
        <f t="shared" si="6"/>
        <v>0</v>
      </c>
      <c r="U101" s="842"/>
      <c r="V101" s="824"/>
    </row>
    <row r="102" spans="1:22" s="826" customFormat="1" ht="23.4">
      <c r="A102" s="836"/>
      <c r="B102" s="1129" t="s">
        <v>1049</v>
      </c>
      <c r="C102" s="1037" t="s">
        <v>993</v>
      </c>
      <c r="D102" s="1128"/>
      <c r="E102" s="1072"/>
      <c r="F102" s="1069"/>
      <c r="G102" s="1060"/>
      <c r="H102" s="1060"/>
      <c r="I102" s="1060"/>
      <c r="J102" s="1060"/>
      <c r="K102" s="1060"/>
      <c r="L102" s="843"/>
      <c r="M102" s="842"/>
      <c r="N102" s="842"/>
      <c r="O102" s="843"/>
      <c r="P102" s="842"/>
      <c r="Q102" s="844"/>
      <c r="R102" s="1076">
        <f t="shared" si="7"/>
        <v>0</v>
      </c>
      <c r="S102" s="825"/>
      <c r="T102" s="1062">
        <f t="shared" si="6"/>
        <v>0</v>
      </c>
      <c r="U102" s="842"/>
      <c r="V102" s="824"/>
    </row>
    <row r="103" spans="1:22" s="826" customFormat="1" ht="23.4">
      <c r="A103" s="836"/>
      <c r="B103" s="1129"/>
      <c r="C103" s="1130"/>
      <c r="D103" s="1128"/>
      <c r="E103" s="1072"/>
      <c r="F103" s="1069"/>
      <c r="G103" s="1060"/>
      <c r="H103" s="1060"/>
      <c r="I103" s="1060"/>
      <c r="J103" s="1060"/>
      <c r="K103" s="1060"/>
      <c r="L103" s="843"/>
      <c r="M103" s="842"/>
      <c r="N103" s="842"/>
      <c r="O103" s="843"/>
      <c r="P103" s="842"/>
      <c r="Q103" s="844"/>
      <c r="R103" s="1076">
        <f t="shared" si="7"/>
        <v>0</v>
      </c>
      <c r="S103" s="825"/>
      <c r="T103" s="1062">
        <f t="shared" si="6"/>
        <v>0</v>
      </c>
      <c r="U103" s="842"/>
      <c r="V103" s="824"/>
    </row>
    <row r="104" spans="1:22" s="826" customFormat="1" ht="22.8">
      <c r="A104" s="1139">
        <v>26</v>
      </c>
      <c r="B104" s="1121" t="s">
        <v>1050</v>
      </c>
      <c r="C104" s="1122" t="s">
        <v>1051</v>
      </c>
      <c r="D104" s="946" t="s">
        <v>717</v>
      </c>
      <c r="E104" s="1072"/>
      <c r="F104" s="1069"/>
      <c r="G104" s="1060"/>
      <c r="H104" s="1060"/>
      <c r="I104" s="1060"/>
      <c r="J104" s="1060"/>
      <c r="K104" s="1060"/>
      <c r="L104" s="843"/>
      <c r="M104" s="842"/>
      <c r="N104" s="842"/>
      <c r="O104" s="843"/>
      <c r="P104" s="842"/>
      <c r="Q104" s="844"/>
      <c r="R104" s="1076">
        <f t="shared" si="7"/>
        <v>0</v>
      </c>
      <c r="S104" s="825"/>
      <c r="T104" s="1062">
        <f t="shared" si="6"/>
        <v>0</v>
      </c>
      <c r="U104" s="842"/>
      <c r="V104" s="824"/>
    </row>
    <row r="105" spans="1:22" s="826" customFormat="1" ht="23.4">
      <c r="A105" s="836"/>
      <c r="B105" s="1138" t="s">
        <v>1052</v>
      </c>
      <c r="C105" s="1038" t="s">
        <v>1069</v>
      </c>
      <c r="D105" s="1128"/>
      <c r="E105" s="1072"/>
      <c r="F105" s="1069"/>
      <c r="G105" s="1060"/>
      <c r="H105" s="1060"/>
      <c r="I105" s="1060"/>
      <c r="J105" s="1060"/>
      <c r="K105" s="1060"/>
      <c r="L105" s="843"/>
      <c r="M105" s="842"/>
      <c r="N105" s="842"/>
      <c r="O105" s="843"/>
      <c r="P105" s="842"/>
      <c r="Q105" s="844"/>
      <c r="R105" s="1076">
        <f t="shared" si="7"/>
        <v>0</v>
      </c>
      <c r="S105" s="825"/>
      <c r="T105" s="1062">
        <f t="shared" si="6"/>
        <v>0</v>
      </c>
      <c r="U105" s="842"/>
      <c r="V105" s="824"/>
    </row>
    <row r="106" spans="1:22" s="826" customFormat="1" ht="23.4">
      <c r="A106" s="836"/>
      <c r="B106" s="1129" t="s">
        <v>1053</v>
      </c>
      <c r="C106" s="1037" t="s">
        <v>960</v>
      </c>
      <c r="D106" s="1128"/>
      <c r="E106" s="1072"/>
      <c r="F106" s="1069"/>
      <c r="G106" s="1060"/>
      <c r="H106" s="1060"/>
      <c r="I106" s="1060"/>
      <c r="J106" s="1060"/>
      <c r="K106" s="1060"/>
      <c r="L106" s="843"/>
      <c r="M106" s="842"/>
      <c r="N106" s="842"/>
      <c r="O106" s="843"/>
      <c r="P106" s="842"/>
      <c r="Q106" s="844"/>
      <c r="R106" s="1076">
        <f t="shared" si="7"/>
        <v>0</v>
      </c>
      <c r="S106" s="825"/>
      <c r="T106" s="1062">
        <f t="shared" si="6"/>
        <v>0</v>
      </c>
      <c r="U106" s="842"/>
      <c r="V106" s="824"/>
    </row>
    <row r="107" spans="1:22" s="826" customFormat="1" ht="23.4">
      <c r="A107" s="836"/>
      <c r="B107" s="1129"/>
      <c r="C107" s="1145"/>
      <c r="D107" s="1128"/>
      <c r="E107" s="1072"/>
      <c r="F107" s="1069"/>
      <c r="G107" s="1060"/>
      <c r="H107" s="1060"/>
      <c r="I107" s="1060"/>
      <c r="J107" s="1060"/>
      <c r="K107" s="1060"/>
      <c r="L107" s="843"/>
      <c r="M107" s="842"/>
      <c r="N107" s="842"/>
      <c r="O107" s="843"/>
      <c r="P107" s="842"/>
      <c r="Q107" s="844"/>
      <c r="R107" s="1076">
        <f t="shared" si="7"/>
        <v>0</v>
      </c>
      <c r="S107" s="825"/>
      <c r="T107" s="1062">
        <f t="shared" si="6"/>
        <v>0</v>
      </c>
      <c r="U107" s="842"/>
      <c r="V107" s="824"/>
    </row>
    <row r="108" spans="1:22" s="826" customFormat="1" ht="23.4">
      <c r="A108" s="836">
        <v>27</v>
      </c>
      <c r="B108" s="1131" t="s">
        <v>1043</v>
      </c>
      <c r="C108" s="1132" t="s">
        <v>1044</v>
      </c>
      <c r="D108" s="1128" t="s">
        <v>1040</v>
      </c>
      <c r="E108" s="1072"/>
      <c r="F108" s="1069"/>
      <c r="G108" s="1060"/>
      <c r="H108" s="1060"/>
      <c r="I108" s="1060"/>
      <c r="J108" s="1060"/>
      <c r="K108" s="1060"/>
      <c r="L108" s="843"/>
      <c r="M108" s="842"/>
      <c r="N108" s="842"/>
      <c r="O108" s="843"/>
      <c r="P108" s="842"/>
      <c r="Q108" s="844"/>
      <c r="R108" s="1076">
        <f t="shared" ref="R108:R131" si="8">SUM(F108:Q108)</f>
        <v>0</v>
      </c>
      <c r="S108" s="825"/>
      <c r="T108" s="1062">
        <f t="shared" ref="T108:T131" si="9">R108*S108</f>
        <v>0</v>
      </c>
      <c r="U108" s="842"/>
      <c r="V108" s="824" t="s">
        <v>1089</v>
      </c>
    </row>
    <row r="109" spans="1:22" s="826" customFormat="1" ht="23.4">
      <c r="A109" s="836"/>
      <c r="B109" s="1133" t="s">
        <v>1090</v>
      </c>
      <c r="C109" s="1037" t="s">
        <v>1065</v>
      </c>
      <c r="D109" s="1128"/>
      <c r="E109" s="1072"/>
      <c r="F109" s="1069"/>
      <c r="G109" s="1060"/>
      <c r="H109" s="1060"/>
      <c r="I109" s="1060"/>
      <c r="J109" s="1060"/>
      <c r="K109" s="1060"/>
      <c r="L109" s="843"/>
      <c r="M109" s="842"/>
      <c r="N109" s="842"/>
      <c r="O109" s="843"/>
      <c r="P109" s="842"/>
      <c r="Q109" s="844"/>
      <c r="R109" s="1076">
        <f t="shared" si="8"/>
        <v>0</v>
      </c>
      <c r="S109" s="825"/>
      <c r="T109" s="1062">
        <f t="shared" si="9"/>
        <v>0</v>
      </c>
      <c r="U109" s="842"/>
      <c r="V109" s="824"/>
    </row>
    <row r="110" spans="1:22" s="826" customFormat="1" ht="23.4">
      <c r="A110" s="836"/>
      <c r="B110" s="1133" t="s">
        <v>1045</v>
      </c>
      <c r="C110" s="1130"/>
      <c r="D110" s="1128"/>
      <c r="E110" s="1072"/>
      <c r="F110" s="1069"/>
      <c r="G110" s="1060"/>
      <c r="H110" s="1060"/>
      <c r="I110" s="1060"/>
      <c r="J110" s="1060"/>
      <c r="K110" s="1060"/>
      <c r="L110" s="843"/>
      <c r="M110" s="842"/>
      <c r="N110" s="842"/>
      <c r="O110" s="843"/>
      <c r="P110" s="842"/>
      <c r="Q110" s="844"/>
      <c r="R110" s="1076">
        <f t="shared" si="8"/>
        <v>0</v>
      </c>
      <c r="S110" s="825"/>
      <c r="T110" s="1062">
        <f t="shared" si="9"/>
        <v>0</v>
      </c>
      <c r="U110" s="842"/>
      <c r="V110" s="824"/>
    </row>
    <row r="111" spans="1:22" s="826" customFormat="1" ht="23.4">
      <c r="A111" s="1139">
        <v>28</v>
      </c>
      <c r="B111" s="1134" t="s">
        <v>1054</v>
      </c>
      <c r="C111" s="1131" t="s">
        <v>1055</v>
      </c>
      <c r="D111" s="1128" t="s">
        <v>1040</v>
      </c>
      <c r="E111" s="1072"/>
      <c r="F111" s="1069"/>
      <c r="G111" s="1060"/>
      <c r="H111" s="1060"/>
      <c r="I111" s="1060"/>
      <c r="J111" s="1060"/>
      <c r="K111" s="1060"/>
      <c r="L111" s="843"/>
      <c r="M111" s="842"/>
      <c r="N111" s="842"/>
      <c r="O111" s="843"/>
      <c r="P111" s="842"/>
      <c r="Q111" s="844"/>
      <c r="R111" s="1076">
        <f t="shared" si="8"/>
        <v>0</v>
      </c>
      <c r="S111" s="825"/>
      <c r="T111" s="1062">
        <f t="shared" si="9"/>
        <v>0</v>
      </c>
      <c r="U111" s="842"/>
      <c r="V111" s="824"/>
    </row>
    <row r="112" spans="1:22" s="826" customFormat="1" ht="23.4">
      <c r="A112" s="836"/>
      <c r="B112" s="1129" t="s">
        <v>1056</v>
      </c>
      <c r="C112" s="1038" t="s">
        <v>960</v>
      </c>
      <c r="D112" s="1128"/>
      <c r="E112" s="1072"/>
      <c r="F112" s="1069"/>
      <c r="G112" s="1060"/>
      <c r="H112" s="1060"/>
      <c r="I112" s="1060"/>
      <c r="J112" s="1060"/>
      <c r="K112" s="1060"/>
      <c r="L112" s="843"/>
      <c r="M112" s="842"/>
      <c r="N112" s="842"/>
      <c r="O112" s="843"/>
      <c r="P112" s="842"/>
      <c r="Q112" s="844"/>
      <c r="R112" s="1076">
        <f t="shared" si="8"/>
        <v>0</v>
      </c>
      <c r="S112" s="825"/>
      <c r="T112" s="1062">
        <f t="shared" si="9"/>
        <v>0</v>
      </c>
      <c r="U112" s="842"/>
      <c r="V112" s="824"/>
    </row>
    <row r="113" spans="1:22" s="826" customFormat="1" ht="23.4">
      <c r="A113" s="836"/>
      <c r="B113" s="1129" t="s">
        <v>1057</v>
      </c>
      <c r="C113" s="1037"/>
      <c r="D113" s="1128"/>
      <c r="E113" s="1072"/>
      <c r="F113" s="1069"/>
      <c r="G113" s="1060"/>
      <c r="H113" s="1060"/>
      <c r="I113" s="1060"/>
      <c r="J113" s="1060"/>
      <c r="K113" s="1060"/>
      <c r="L113" s="843"/>
      <c r="M113" s="842"/>
      <c r="N113" s="842"/>
      <c r="O113" s="843"/>
      <c r="P113" s="842"/>
      <c r="Q113" s="844"/>
      <c r="R113" s="1076">
        <f t="shared" si="8"/>
        <v>0</v>
      </c>
      <c r="S113" s="825"/>
      <c r="T113" s="1062">
        <f t="shared" si="9"/>
        <v>0</v>
      </c>
      <c r="U113" s="842"/>
      <c r="V113" s="824"/>
    </row>
    <row r="114" spans="1:22" s="826" customFormat="1" ht="23.4">
      <c r="A114" s="836"/>
      <c r="B114" s="1129"/>
      <c r="C114" s="1129"/>
      <c r="D114" s="1128"/>
      <c r="E114" s="1072"/>
      <c r="F114" s="1069"/>
      <c r="G114" s="1060"/>
      <c r="H114" s="1060"/>
      <c r="I114" s="1060"/>
      <c r="J114" s="1060"/>
      <c r="K114" s="1060"/>
      <c r="L114" s="843"/>
      <c r="M114" s="842"/>
      <c r="N114" s="842"/>
      <c r="O114" s="843"/>
      <c r="P114" s="842"/>
      <c r="Q114" s="844"/>
      <c r="R114" s="1076">
        <f t="shared" si="8"/>
        <v>0</v>
      </c>
      <c r="S114" s="825"/>
      <c r="T114" s="1062">
        <f t="shared" si="9"/>
        <v>0</v>
      </c>
      <c r="U114" s="842"/>
      <c r="V114" s="824"/>
    </row>
    <row r="115" spans="1:22" s="826" customFormat="1" ht="23.4">
      <c r="A115" s="1139">
        <v>29</v>
      </c>
      <c r="B115" s="1134" t="s">
        <v>1058</v>
      </c>
      <c r="C115" s="1131" t="s">
        <v>1059</v>
      </c>
      <c r="D115" s="1128" t="s">
        <v>1040</v>
      </c>
      <c r="E115" s="1072"/>
      <c r="F115" s="1069"/>
      <c r="G115" s="1060"/>
      <c r="H115" s="1060"/>
      <c r="I115" s="1060"/>
      <c r="J115" s="1060"/>
      <c r="K115" s="1060"/>
      <c r="L115" s="843"/>
      <c r="M115" s="842"/>
      <c r="N115" s="842"/>
      <c r="O115" s="843"/>
      <c r="P115" s="842"/>
      <c r="Q115" s="844"/>
      <c r="R115" s="1076">
        <f t="shared" si="8"/>
        <v>0</v>
      </c>
      <c r="S115" s="825"/>
      <c r="T115" s="1062">
        <f t="shared" si="9"/>
        <v>0</v>
      </c>
      <c r="U115" s="842"/>
      <c r="V115" s="824" t="s">
        <v>1088</v>
      </c>
    </row>
    <row r="116" spans="1:22" s="826" customFormat="1" ht="23.4">
      <c r="A116" s="836"/>
      <c r="B116" s="1129" t="s">
        <v>1087</v>
      </c>
      <c r="C116" s="1037" t="s">
        <v>993</v>
      </c>
      <c r="D116" s="1128"/>
      <c r="E116" s="1072"/>
      <c r="F116" s="1069"/>
      <c r="G116" s="1060"/>
      <c r="H116" s="1060"/>
      <c r="I116" s="1060"/>
      <c r="J116" s="1060"/>
      <c r="K116" s="1060"/>
      <c r="L116" s="843"/>
      <c r="M116" s="842"/>
      <c r="N116" s="842"/>
      <c r="O116" s="843"/>
      <c r="P116" s="842"/>
      <c r="Q116" s="844"/>
      <c r="R116" s="1076">
        <f t="shared" si="8"/>
        <v>0</v>
      </c>
      <c r="S116" s="825"/>
      <c r="T116" s="1062">
        <f t="shared" si="9"/>
        <v>0</v>
      </c>
      <c r="U116" s="842"/>
      <c r="V116" s="824"/>
    </row>
    <row r="117" spans="1:22" s="826" customFormat="1" ht="23.4">
      <c r="A117" s="836"/>
      <c r="B117" s="1129"/>
      <c r="C117" s="1129"/>
      <c r="D117" s="1128"/>
      <c r="E117" s="1072"/>
      <c r="F117" s="1069"/>
      <c r="G117" s="1060"/>
      <c r="H117" s="1060"/>
      <c r="I117" s="1060"/>
      <c r="J117" s="1060"/>
      <c r="K117" s="1060"/>
      <c r="L117" s="843"/>
      <c r="M117" s="842"/>
      <c r="N117" s="842"/>
      <c r="O117" s="843"/>
      <c r="P117" s="842"/>
      <c r="Q117" s="844"/>
      <c r="R117" s="1076">
        <f t="shared" si="8"/>
        <v>0</v>
      </c>
      <c r="S117" s="825"/>
      <c r="T117" s="1062">
        <f t="shared" si="9"/>
        <v>0</v>
      </c>
      <c r="U117" s="842"/>
      <c r="V117" s="824"/>
    </row>
    <row r="118" spans="1:22" s="826" customFormat="1" ht="23.4">
      <c r="A118" s="836"/>
      <c r="B118" s="1129"/>
      <c r="C118" s="1129"/>
      <c r="D118" s="1128"/>
      <c r="E118" s="1072"/>
      <c r="F118" s="1069"/>
      <c r="G118" s="1060"/>
      <c r="H118" s="1060"/>
      <c r="I118" s="1060"/>
      <c r="J118" s="1060"/>
      <c r="K118" s="1060"/>
      <c r="L118" s="843"/>
      <c r="M118" s="842"/>
      <c r="N118" s="842"/>
      <c r="O118" s="843"/>
      <c r="P118" s="842"/>
      <c r="Q118" s="844"/>
      <c r="R118" s="1076">
        <f t="shared" si="8"/>
        <v>0</v>
      </c>
      <c r="S118" s="825"/>
      <c r="T118" s="1062">
        <f t="shared" si="9"/>
        <v>0</v>
      </c>
      <c r="U118" s="842"/>
      <c r="V118" s="824"/>
    </row>
    <row r="119" spans="1:22" s="826" customFormat="1" ht="23.4">
      <c r="A119" s="1144">
        <v>30</v>
      </c>
      <c r="B119" s="1134" t="s">
        <v>1060</v>
      </c>
      <c r="C119" s="1131" t="s">
        <v>1061</v>
      </c>
      <c r="D119" s="1128" t="s">
        <v>1040</v>
      </c>
      <c r="E119" s="1072"/>
      <c r="F119" s="1069"/>
      <c r="G119" s="1060"/>
      <c r="H119" s="1060"/>
      <c r="I119" s="1060"/>
      <c r="J119" s="1060"/>
      <c r="K119" s="1060"/>
      <c r="L119" s="843"/>
      <c r="M119" s="842"/>
      <c r="N119" s="842"/>
      <c r="O119" s="843"/>
      <c r="P119" s="842"/>
      <c r="Q119" s="844"/>
      <c r="R119" s="1076">
        <f t="shared" si="8"/>
        <v>0</v>
      </c>
      <c r="S119" s="825"/>
      <c r="T119" s="1062">
        <f t="shared" si="9"/>
        <v>0</v>
      </c>
      <c r="U119" s="842"/>
      <c r="V119" s="824"/>
    </row>
    <row r="120" spans="1:22" s="826" customFormat="1" ht="23.4">
      <c r="A120" s="1144"/>
      <c r="B120" s="1129" t="s">
        <v>1062</v>
      </c>
      <c r="C120" s="1038" t="s">
        <v>960</v>
      </c>
      <c r="D120" s="1128"/>
      <c r="E120" s="1072"/>
      <c r="F120" s="1069"/>
      <c r="G120" s="1060"/>
      <c r="H120" s="1060"/>
      <c r="I120" s="1060"/>
      <c r="J120" s="1060"/>
      <c r="K120" s="1060"/>
      <c r="L120" s="843"/>
      <c r="M120" s="842"/>
      <c r="N120" s="842"/>
      <c r="O120" s="843"/>
      <c r="P120" s="842"/>
      <c r="Q120" s="844"/>
      <c r="R120" s="1076">
        <f t="shared" si="8"/>
        <v>0</v>
      </c>
      <c r="S120" s="825"/>
      <c r="T120" s="1062">
        <f t="shared" si="9"/>
        <v>0</v>
      </c>
      <c r="U120" s="842"/>
      <c r="V120" s="824"/>
    </row>
    <row r="121" spans="1:22" s="826" customFormat="1" ht="23.4">
      <c r="A121" s="1144"/>
      <c r="B121" s="1129"/>
      <c r="C121" s="1037" t="s">
        <v>993</v>
      </c>
      <c r="D121" s="1128"/>
      <c r="E121" s="1072"/>
      <c r="F121" s="1069"/>
      <c r="G121" s="1060"/>
      <c r="H121" s="1060"/>
      <c r="I121" s="1060"/>
      <c r="J121" s="1060"/>
      <c r="K121" s="1060"/>
      <c r="L121" s="843"/>
      <c r="M121" s="842"/>
      <c r="N121" s="842"/>
      <c r="O121" s="843"/>
      <c r="P121" s="842"/>
      <c r="Q121" s="844"/>
      <c r="R121" s="1076">
        <f t="shared" si="8"/>
        <v>0</v>
      </c>
      <c r="S121" s="825"/>
      <c r="T121" s="1062">
        <f t="shared" si="9"/>
        <v>0</v>
      </c>
      <c r="U121" s="842"/>
      <c r="V121" s="824"/>
    </row>
    <row r="122" spans="1:22" s="826" customFormat="1" ht="23.4">
      <c r="A122" s="1144">
        <v>31</v>
      </c>
      <c r="B122" s="1134" t="s">
        <v>1063</v>
      </c>
      <c r="C122" s="1131" t="s">
        <v>1064</v>
      </c>
      <c r="D122" s="1128" t="s">
        <v>1040</v>
      </c>
      <c r="E122" s="1072"/>
      <c r="F122" s="1069"/>
      <c r="G122" s="1060"/>
      <c r="H122" s="1060"/>
      <c r="I122" s="1060"/>
      <c r="J122" s="1060"/>
      <c r="K122" s="1060"/>
      <c r="L122" s="843"/>
      <c r="M122" s="842"/>
      <c r="N122" s="842"/>
      <c r="O122" s="843"/>
      <c r="P122" s="842"/>
      <c r="Q122" s="844"/>
      <c r="R122" s="1076">
        <f>SUM(F122:Q122)</f>
        <v>0</v>
      </c>
      <c r="S122" s="825"/>
      <c r="T122" s="1062">
        <f t="shared" si="9"/>
        <v>0</v>
      </c>
      <c r="U122" s="842"/>
      <c r="V122" s="824"/>
    </row>
    <row r="123" spans="1:22" s="826" customFormat="1" ht="23.4">
      <c r="A123" s="836"/>
      <c r="B123" s="1129" t="s">
        <v>1086</v>
      </c>
      <c r="C123" s="1038" t="s">
        <v>960</v>
      </c>
      <c r="D123" s="1128"/>
      <c r="E123" s="1072"/>
      <c r="F123" s="1069"/>
      <c r="G123" s="1060"/>
      <c r="H123" s="1060"/>
      <c r="I123" s="1060"/>
      <c r="J123" s="1060"/>
      <c r="K123" s="1060"/>
      <c r="L123" s="843"/>
      <c r="M123" s="842"/>
      <c r="N123" s="842"/>
      <c r="O123" s="843"/>
      <c r="P123" s="842"/>
      <c r="Q123" s="844"/>
      <c r="R123" s="1076">
        <f>SUM(F123:Q123)</f>
        <v>0</v>
      </c>
      <c r="S123" s="825"/>
      <c r="T123" s="1062">
        <f t="shared" si="9"/>
        <v>0</v>
      </c>
      <c r="U123" s="842"/>
      <c r="V123" s="824"/>
    </row>
    <row r="124" spans="1:22" s="826" customFormat="1" ht="23.4">
      <c r="A124" s="836"/>
      <c r="B124" s="1129"/>
      <c r="C124" s="1037" t="s">
        <v>993</v>
      </c>
      <c r="D124" s="1128"/>
      <c r="E124" s="1072"/>
      <c r="F124" s="1069"/>
      <c r="G124" s="1060"/>
      <c r="H124" s="1060"/>
      <c r="I124" s="1060"/>
      <c r="J124" s="1060"/>
      <c r="K124" s="1060"/>
      <c r="L124" s="843"/>
      <c r="M124" s="842"/>
      <c r="N124" s="842"/>
      <c r="O124" s="843"/>
      <c r="P124" s="842"/>
      <c r="Q124" s="844"/>
      <c r="R124" s="1076">
        <f>SUM(F124:Q124)</f>
        <v>0</v>
      </c>
      <c r="S124" s="825"/>
      <c r="T124" s="1062">
        <f t="shared" si="9"/>
        <v>0</v>
      </c>
      <c r="U124" s="842"/>
      <c r="V124" s="824"/>
    </row>
    <row r="125" spans="1:22" s="826" customFormat="1" ht="23.4">
      <c r="A125" s="1144">
        <v>32</v>
      </c>
      <c r="B125" s="1134" t="s">
        <v>1074</v>
      </c>
      <c r="C125" s="1131" t="s">
        <v>1075</v>
      </c>
      <c r="D125" s="1128" t="s">
        <v>1040</v>
      </c>
      <c r="E125" s="1072"/>
      <c r="F125" s="1069"/>
      <c r="G125" s="1060"/>
      <c r="H125" s="1060"/>
      <c r="I125" s="1060"/>
      <c r="J125" s="1060"/>
      <c r="K125" s="1060"/>
      <c r="L125" s="843"/>
      <c r="M125" s="842"/>
      <c r="N125" s="842"/>
      <c r="O125" s="843"/>
      <c r="P125" s="842"/>
      <c r="Q125" s="844"/>
      <c r="R125" s="1076">
        <f t="shared" si="8"/>
        <v>0</v>
      </c>
      <c r="S125" s="825"/>
      <c r="T125" s="1062">
        <f t="shared" si="9"/>
        <v>0</v>
      </c>
      <c r="U125" s="842"/>
      <c r="V125" s="824" t="s">
        <v>1085</v>
      </c>
    </row>
    <row r="126" spans="1:22" s="826" customFormat="1" ht="23.4">
      <c r="A126" s="836"/>
      <c r="B126" s="1129" t="s">
        <v>1076</v>
      </c>
      <c r="C126" s="1038" t="s">
        <v>960</v>
      </c>
      <c r="D126" s="1128"/>
      <c r="E126" s="1072"/>
      <c r="F126" s="1069"/>
      <c r="G126" s="1060"/>
      <c r="H126" s="1060"/>
      <c r="I126" s="1060"/>
      <c r="J126" s="1060"/>
      <c r="K126" s="1060"/>
      <c r="L126" s="843"/>
      <c r="M126" s="842"/>
      <c r="N126" s="842"/>
      <c r="O126" s="843"/>
      <c r="P126" s="842"/>
      <c r="Q126" s="844"/>
      <c r="R126" s="1076">
        <f t="shared" si="8"/>
        <v>0</v>
      </c>
      <c r="S126" s="825"/>
      <c r="T126" s="1062">
        <f t="shared" si="9"/>
        <v>0</v>
      </c>
      <c r="U126" s="842"/>
      <c r="V126" s="824"/>
    </row>
    <row r="127" spans="1:22" s="826" customFormat="1" ht="23.4">
      <c r="A127" s="836"/>
      <c r="B127" s="1129" t="s">
        <v>1080</v>
      </c>
      <c r="C127" s="1037"/>
      <c r="D127" s="1128"/>
      <c r="E127" s="1072"/>
      <c r="F127" s="1069"/>
      <c r="G127" s="1060"/>
      <c r="H127" s="1060"/>
      <c r="I127" s="1060"/>
      <c r="J127" s="1060"/>
      <c r="K127" s="1060"/>
      <c r="L127" s="843"/>
      <c r="M127" s="842"/>
      <c r="N127" s="842"/>
      <c r="O127" s="843"/>
      <c r="P127" s="842"/>
      <c r="Q127" s="844"/>
      <c r="R127" s="1076">
        <f t="shared" si="8"/>
        <v>0</v>
      </c>
      <c r="S127" s="825"/>
      <c r="T127" s="1062">
        <f t="shared" si="9"/>
        <v>0</v>
      </c>
      <c r="U127" s="842"/>
      <c r="V127" s="824"/>
    </row>
    <row r="128" spans="1:22" s="826" customFormat="1" ht="23.4">
      <c r="A128" s="836">
        <v>33</v>
      </c>
      <c r="B128" s="1036" t="s">
        <v>922</v>
      </c>
      <c r="C128" s="1041" t="s">
        <v>923</v>
      </c>
      <c r="D128" s="1128" t="s">
        <v>1040</v>
      </c>
      <c r="E128" s="1075">
        <v>2027</v>
      </c>
      <c r="F128" s="1069"/>
      <c r="G128" s="1060"/>
      <c r="H128" s="1060"/>
      <c r="I128" s="1060"/>
      <c r="J128" s="1060"/>
      <c r="K128" s="1060"/>
      <c r="L128" s="843"/>
      <c r="M128" s="842"/>
      <c r="N128" s="842"/>
      <c r="O128" s="843"/>
      <c r="P128" s="842"/>
      <c r="Q128" s="844"/>
      <c r="R128" s="1076">
        <f t="shared" si="8"/>
        <v>0</v>
      </c>
      <c r="S128" s="825"/>
      <c r="T128" s="1062">
        <f t="shared" si="9"/>
        <v>0</v>
      </c>
      <c r="U128" s="842"/>
      <c r="V128" s="824"/>
    </row>
    <row r="129" spans="1:22" s="826" customFormat="1" ht="22.8">
      <c r="A129" s="836"/>
      <c r="B129" s="1040"/>
      <c r="C129" s="1038" t="s">
        <v>615</v>
      </c>
      <c r="D129" s="954"/>
      <c r="E129" s="1072"/>
      <c r="F129" s="1069"/>
      <c r="G129" s="1060"/>
      <c r="H129" s="1060"/>
      <c r="I129" s="1060"/>
      <c r="J129" s="1060"/>
      <c r="K129" s="1060"/>
      <c r="L129" s="843"/>
      <c r="M129" s="842"/>
      <c r="N129" s="842"/>
      <c r="O129" s="843"/>
      <c r="P129" s="842"/>
      <c r="Q129" s="844"/>
      <c r="R129" s="1076">
        <f t="shared" si="8"/>
        <v>0</v>
      </c>
      <c r="S129" s="825"/>
      <c r="T129" s="1062">
        <f t="shared" si="9"/>
        <v>0</v>
      </c>
      <c r="U129" s="842">
        <v>0.47</v>
      </c>
      <c r="V129" s="824"/>
    </row>
    <row r="130" spans="1:22" s="826" customFormat="1" ht="22.8">
      <c r="A130" s="836"/>
      <c r="B130" s="1040"/>
      <c r="C130" s="1037" t="s">
        <v>925</v>
      </c>
      <c r="D130" s="954"/>
      <c r="E130" s="1072"/>
      <c r="F130" s="1069"/>
      <c r="G130" s="1060"/>
      <c r="H130" s="1060"/>
      <c r="I130" s="1060"/>
      <c r="J130" s="1060"/>
      <c r="K130" s="1060"/>
      <c r="L130" s="843"/>
      <c r="M130" s="842"/>
      <c r="N130" s="842"/>
      <c r="O130" s="843"/>
      <c r="P130" s="842"/>
      <c r="Q130" s="844"/>
      <c r="R130" s="1076">
        <f t="shared" si="8"/>
        <v>0</v>
      </c>
      <c r="S130" s="825"/>
      <c r="T130" s="1062">
        <f t="shared" si="9"/>
        <v>0</v>
      </c>
      <c r="U130" s="842">
        <v>0.12</v>
      </c>
      <c r="V130" s="824"/>
    </row>
    <row r="131" spans="1:22" s="826" customFormat="1" ht="23.4">
      <c r="A131" s="836"/>
      <c r="B131" s="1136"/>
      <c r="C131" s="1137"/>
      <c r="D131" s="1128"/>
      <c r="E131" s="1072"/>
      <c r="F131" s="1069"/>
      <c r="G131" s="1060"/>
      <c r="H131" s="1060"/>
      <c r="I131" s="1060"/>
      <c r="J131" s="1060"/>
      <c r="K131" s="1060"/>
      <c r="L131" s="843"/>
      <c r="M131" s="842"/>
      <c r="N131" s="842"/>
      <c r="O131" s="843"/>
      <c r="P131" s="842"/>
      <c r="Q131" s="844"/>
      <c r="R131" s="1076">
        <f t="shared" si="8"/>
        <v>0</v>
      </c>
      <c r="S131" s="825"/>
      <c r="T131" s="1062">
        <f t="shared" si="9"/>
        <v>0</v>
      </c>
      <c r="U131" s="842"/>
      <c r="V131" s="824"/>
    </row>
    <row r="132" spans="1:22" s="826" customFormat="1" ht="23.4" thickBot="1">
      <c r="A132" s="836"/>
      <c r="B132" s="1040"/>
      <c r="C132" s="1038"/>
      <c r="D132" s="1038"/>
      <c r="E132" s="1089"/>
      <c r="F132" s="1090"/>
      <c r="G132" s="1091"/>
      <c r="H132" s="1091"/>
      <c r="I132" s="1091"/>
      <c r="J132" s="1091"/>
      <c r="K132" s="1091"/>
      <c r="L132" s="1091"/>
      <c r="M132" s="1091"/>
      <c r="N132" s="1091"/>
      <c r="O132" s="1091"/>
      <c r="P132" s="1091"/>
      <c r="Q132" s="1091"/>
      <c r="R132" s="1076"/>
      <c r="S132" s="825"/>
      <c r="T132" s="1062"/>
      <c r="U132" s="842"/>
      <c r="V132" s="824"/>
    </row>
    <row r="133" spans="1:22" s="826" customFormat="1" ht="24" customHeight="1" thickTop="1" thickBot="1">
      <c r="A133" s="850"/>
      <c r="B133" s="1255"/>
      <c r="C133" s="1256"/>
      <c r="D133" s="955"/>
      <c r="E133" s="1092"/>
      <c r="F133" s="1093">
        <f>SUM(F5:F132)</f>
        <v>0</v>
      </c>
      <c r="G133" s="1093">
        <f t="shared" ref="G133:Q133" si="10">SUM(G5:G132)</f>
        <v>0</v>
      </c>
      <c r="H133" s="1093">
        <f t="shared" si="10"/>
        <v>0.01</v>
      </c>
      <c r="I133" s="1093">
        <f t="shared" si="10"/>
        <v>0</v>
      </c>
      <c r="J133" s="1093">
        <f t="shared" si="10"/>
        <v>0.6</v>
      </c>
      <c r="K133" s="1093">
        <f t="shared" si="10"/>
        <v>0</v>
      </c>
      <c r="L133" s="1093">
        <f t="shared" si="10"/>
        <v>2.8</v>
      </c>
      <c r="M133" s="1093">
        <f t="shared" si="10"/>
        <v>0.7</v>
      </c>
      <c r="N133" s="1093">
        <f t="shared" si="10"/>
        <v>0</v>
      </c>
      <c r="O133" s="1093">
        <f t="shared" si="10"/>
        <v>0</v>
      </c>
      <c r="P133" s="1093">
        <f t="shared" si="10"/>
        <v>0</v>
      </c>
      <c r="Q133" s="1093">
        <f t="shared" si="10"/>
        <v>4.6099999999999994</v>
      </c>
      <c r="R133" s="1096">
        <f>SUM(R5:R132)</f>
        <v>8.918000000000001</v>
      </c>
      <c r="S133" s="1097">
        <f>AVERAGE(S5:S132)</f>
        <v>0.23571428571428579</v>
      </c>
      <c r="T133" s="1095">
        <f>SUM(T5:T132)</f>
        <v>2.0548000000000006</v>
      </c>
      <c r="U133" s="1098">
        <f>SUM(U5:U132)</f>
        <v>8.129999999999999</v>
      </c>
      <c r="V133" s="1099"/>
    </row>
    <row r="134" spans="1:22" s="826" customFormat="1" ht="24" customHeight="1" thickBot="1">
      <c r="A134" s="980"/>
      <c r="B134" s="956"/>
      <c r="S134" s="1100"/>
      <c r="U134" s="980"/>
    </row>
    <row r="135" spans="1:22" s="826" customFormat="1" ht="24" customHeight="1">
      <c r="A135" s="980"/>
      <c r="B135" s="956"/>
      <c r="C135" s="956"/>
      <c r="D135" s="956"/>
      <c r="E135" s="956"/>
      <c r="F135" s="956"/>
      <c r="G135" s="956"/>
      <c r="Q135" s="1101"/>
      <c r="R135" s="1102" t="s">
        <v>637</v>
      </c>
      <c r="S135" s="1103">
        <v>25</v>
      </c>
      <c r="U135" s="980"/>
    </row>
    <row r="136" spans="1:22" s="826" customFormat="1" ht="24" customHeight="1">
      <c r="A136" s="980"/>
      <c r="B136" s="956"/>
      <c r="Q136" s="1101"/>
      <c r="R136" s="1104" t="s">
        <v>638</v>
      </c>
      <c r="S136" s="1105">
        <f>T133</f>
        <v>2.0548000000000006</v>
      </c>
      <c r="U136" s="980"/>
    </row>
    <row r="137" spans="1:22" s="826" customFormat="1" ht="24" customHeight="1">
      <c r="A137" s="980"/>
      <c r="B137" s="956"/>
      <c r="Q137" s="1101"/>
      <c r="R137" s="1104" t="s">
        <v>639</v>
      </c>
      <c r="S137" s="1106">
        <v>0.01</v>
      </c>
      <c r="U137" s="980"/>
    </row>
    <row r="138" spans="1:22" s="826" customFormat="1" ht="24" customHeight="1" thickBot="1">
      <c r="A138" s="980"/>
      <c r="B138" s="1107"/>
      <c r="Q138" s="1108"/>
      <c r="R138" s="1109" t="s">
        <v>640</v>
      </c>
      <c r="S138" s="1110">
        <f>S137/S135</f>
        <v>4.0000000000000002E-4</v>
      </c>
      <c r="U138" s="980"/>
    </row>
    <row r="139" spans="1:22" s="826" customFormat="1" ht="24" customHeight="1">
      <c r="A139" s="980"/>
      <c r="B139" s="956"/>
      <c r="S139" s="1100"/>
      <c r="U139" s="980"/>
    </row>
    <row r="140" spans="1:22" s="826" customFormat="1" ht="24" customHeight="1">
      <c r="A140" s="980"/>
      <c r="B140" s="956"/>
      <c r="C140" s="1111"/>
      <c r="S140" s="1100"/>
      <c r="U140" s="980"/>
    </row>
    <row r="141" spans="1:22" s="826" customFormat="1" ht="24" customHeight="1">
      <c r="A141" s="980"/>
      <c r="B141" s="956"/>
      <c r="C141" s="1111"/>
      <c r="S141" s="1100"/>
      <c r="U141" s="980"/>
    </row>
    <row r="142" spans="1:22" s="826" customFormat="1" ht="24" customHeight="1">
      <c r="A142" s="980"/>
      <c r="B142" s="956"/>
      <c r="C142" s="1111"/>
      <c r="S142" s="1100"/>
      <c r="U142" s="980"/>
    </row>
    <row r="143" spans="1:22" s="826" customFormat="1" ht="24" customHeight="1">
      <c r="A143" s="980"/>
      <c r="B143" s="956"/>
      <c r="C143" s="1111"/>
      <c r="S143" s="1100"/>
      <c r="U143" s="980"/>
    </row>
    <row r="144" spans="1:22" s="826" customFormat="1">
      <c r="A144" s="980"/>
      <c r="B144" s="956"/>
      <c r="S144" s="1100"/>
      <c r="U144" s="980"/>
    </row>
    <row r="145" spans="1:21" s="826" customFormat="1">
      <c r="A145" s="980"/>
      <c r="B145" s="956"/>
      <c r="S145" s="1100"/>
      <c r="U145" s="980"/>
    </row>
    <row r="146" spans="1:21" s="826" customFormat="1">
      <c r="A146" s="980"/>
      <c r="B146" s="956"/>
      <c r="S146" s="1100"/>
      <c r="U146" s="980"/>
    </row>
    <row r="147" spans="1:21" s="826" customFormat="1">
      <c r="A147" s="980"/>
      <c r="B147" s="956"/>
      <c r="S147" s="1100"/>
      <c r="U147" s="980"/>
    </row>
    <row r="148" spans="1:21" s="826" customFormat="1">
      <c r="A148" s="980"/>
      <c r="B148" s="956"/>
      <c r="S148" s="1100"/>
      <c r="U148" s="980"/>
    </row>
    <row r="149" spans="1:21" s="826" customFormat="1">
      <c r="A149" s="980"/>
      <c r="B149" s="956"/>
      <c r="S149" s="1100"/>
      <c r="U149" s="980"/>
    </row>
    <row r="150" spans="1:21" s="826" customFormat="1">
      <c r="A150" s="980"/>
      <c r="B150" s="956"/>
      <c r="S150" s="1100"/>
      <c r="U150" s="980"/>
    </row>
    <row r="151" spans="1:21" s="826" customFormat="1">
      <c r="A151" s="980"/>
      <c r="B151" s="956"/>
      <c r="S151" s="1100"/>
      <c r="U151" s="980"/>
    </row>
    <row r="152" spans="1:21" s="826" customFormat="1">
      <c r="A152" s="980"/>
      <c r="B152" s="956"/>
      <c r="S152" s="1100"/>
      <c r="U152" s="980"/>
    </row>
    <row r="153" spans="1:21" s="826" customFormat="1">
      <c r="A153" s="980"/>
      <c r="B153" s="956"/>
      <c r="S153" s="1100"/>
      <c r="U153" s="980"/>
    </row>
    <row r="154" spans="1:21" s="826" customFormat="1">
      <c r="A154" s="980"/>
      <c r="B154" s="956"/>
      <c r="S154" s="1100"/>
      <c r="U154" s="980"/>
    </row>
    <row r="155" spans="1:21" s="826" customFormat="1">
      <c r="A155" s="980"/>
      <c r="B155" s="956"/>
      <c r="S155" s="1100"/>
      <c r="U155" s="980"/>
    </row>
    <row r="156" spans="1:21" s="826" customFormat="1">
      <c r="A156" s="980"/>
      <c r="B156" s="956"/>
      <c r="S156" s="1100"/>
      <c r="U156" s="980"/>
    </row>
    <row r="157" spans="1:21" s="826" customFormat="1">
      <c r="A157" s="980"/>
      <c r="B157" s="956"/>
      <c r="S157" s="1100"/>
      <c r="U157" s="980"/>
    </row>
    <row r="158" spans="1:21" s="826" customFormat="1">
      <c r="A158" s="980"/>
      <c r="B158" s="956"/>
      <c r="S158" s="1100"/>
      <c r="U158" s="980"/>
    </row>
    <row r="159" spans="1:21" s="826" customFormat="1">
      <c r="A159" s="980"/>
      <c r="B159" s="956"/>
      <c r="S159" s="1100"/>
      <c r="U159" s="980"/>
    </row>
    <row r="160" spans="1:21" s="826" customFormat="1">
      <c r="A160" s="980"/>
      <c r="B160" s="956"/>
      <c r="S160" s="1100"/>
      <c r="U160" s="980"/>
    </row>
    <row r="161" spans="1:21" s="826" customFormat="1">
      <c r="A161" s="980"/>
      <c r="B161" s="956"/>
      <c r="S161" s="1100"/>
      <c r="U161" s="980"/>
    </row>
    <row r="162" spans="1:21" s="826" customFormat="1">
      <c r="A162" s="980"/>
      <c r="B162" s="956"/>
      <c r="S162" s="1100"/>
      <c r="U162" s="980"/>
    </row>
    <row r="163" spans="1:21" s="826" customFormat="1">
      <c r="A163" s="980"/>
      <c r="B163" s="956"/>
      <c r="S163" s="1100"/>
      <c r="U163" s="980"/>
    </row>
    <row r="164" spans="1:21" s="826" customFormat="1">
      <c r="A164" s="980"/>
      <c r="B164" s="956"/>
      <c r="S164" s="1100"/>
      <c r="U164" s="980"/>
    </row>
    <row r="165" spans="1:21" s="826" customFormat="1">
      <c r="A165" s="980"/>
      <c r="B165" s="956"/>
      <c r="S165" s="1100"/>
      <c r="U165" s="980"/>
    </row>
    <row r="166" spans="1:21" s="826" customFormat="1">
      <c r="A166" s="980"/>
      <c r="B166" s="956"/>
      <c r="S166" s="1100"/>
      <c r="U166" s="980"/>
    </row>
    <row r="167" spans="1:21" s="826" customFormat="1">
      <c r="A167" s="980"/>
      <c r="B167" s="956"/>
      <c r="S167" s="1100"/>
      <c r="U167" s="980"/>
    </row>
    <row r="168" spans="1:21" s="826" customFormat="1">
      <c r="A168" s="980"/>
      <c r="B168" s="956"/>
      <c r="S168" s="1100"/>
      <c r="U168" s="980"/>
    </row>
    <row r="169" spans="1:21" s="826" customFormat="1">
      <c r="A169" s="980"/>
      <c r="B169" s="956"/>
      <c r="S169" s="1100"/>
      <c r="U169" s="980"/>
    </row>
    <row r="170" spans="1:21" s="826" customFormat="1">
      <c r="A170" s="980"/>
      <c r="B170" s="956"/>
      <c r="S170" s="1100"/>
      <c r="U170" s="980"/>
    </row>
    <row r="171" spans="1:21">
      <c r="D171" s="835"/>
    </row>
    <row r="172" spans="1:21">
      <c r="D172" s="835"/>
    </row>
    <row r="173" spans="1:21">
      <c r="D173" s="835"/>
    </row>
    <row r="174" spans="1:21">
      <c r="D174" s="835"/>
    </row>
    <row r="175" spans="1:21">
      <c r="D175" s="835"/>
    </row>
    <row r="176" spans="1:21">
      <c r="D176" s="835"/>
    </row>
    <row r="177" spans="4:4">
      <c r="D177" s="835"/>
    </row>
    <row r="178" spans="4:4">
      <c r="D178" s="835"/>
    </row>
    <row r="179" spans="4:4">
      <c r="D179" s="835"/>
    </row>
    <row r="180" spans="4:4">
      <c r="D180" s="835"/>
    </row>
    <row r="181" spans="4:4">
      <c r="D181" s="835"/>
    </row>
    <row r="182" spans="4:4">
      <c r="D182" s="835"/>
    </row>
    <row r="183" spans="4:4">
      <c r="D183" s="835"/>
    </row>
    <row r="184" spans="4:4">
      <c r="D184" s="835"/>
    </row>
    <row r="185" spans="4:4">
      <c r="D185" s="835"/>
    </row>
    <row r="186" spans="4:4">
      <c r="D186" s="835"/>
    </row>
  </sheetData>
  <mergeCells count="14">
    <mergeCell ref="U3:U4"/>
    <mergeCell ref="V3:V4"/>
    <mergeCell ref="B133:C133"/>
    <mergeCell ref="A1:C1"/>
    <mergeCell ref="A3:A4"/>
    <mergeCell ref="B3:B4"/>
    <mergeCell ref="C3:C4"/>
    <mergeCell ref="D3:D4"/>
    <mergeCell ref="E3:E4"/>
    <mergeCell ref="F2:T2"/>
    <mergeCell ref="F3:H3"/>
    <mergeCell ref="I3:K3"/>
    <mergeCell ref="L3:N3"/>
    <mergeCell ref="O3:Q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1340F-C848-40FC-A9B9-E9AE66286984}">
  <sheetPr>
    <tabColor rgb="FFFFFF00"/>
  </sheetPr>
  <dimension ref="A1:V283"/>
  <sheetViews>
    <sheetView zoomScale="85" zoomScaleNormal="8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103" sqref="A103:XFD105"/>
    </sheetView>
  </sheetViews>
  <sheetFormatPr defaultColWidth="9.109375" defaultRowHeight="21"/>
  <cols>
    <col min="1" max="1" width="5.109375" style="980" customWidth="1"/>
    <col min="2" max="2" width="30.6640625" style="803" customWidth="1"/>
    <col min="3" max="3" width="40.33203125" style="835" customWidth="1"/>
    <col min="4" max="4" width="10.33203125" style="956" customWidth="1"/>
    <col min="5" max="6" width="8.6640625" style="835" customWidth="1"/>
    <col min="7" max="17" width="6.77734375" style="835" customWidth="1"/>
    <col min="18" max="18" width="11" style="835" customWidth="1"/>
    <col min="19" max="19" width="8.6640625" style="858" customWidth="1"/>
    <col min="20" max="20" width="8.6640625" style="835" customWidth="1"/>
    <col min="21" max="21" width="14.77734375" style="857" customWidth="1"/>
    <col min="22" max="22" width="31.88671875" style="835" customWidth="1"/>
    <col min="23" max="257" width="9.109375" style="835"/>
    <col min="258" max="258" width="8.5546875" style="835" customWidth="1"/>
    <col min="259" max="259" width="45.21875" style="835" customWidth="1"/>
    <col min="260" max="260" width="61.6640625" style="835" customWidth="1"/>
    <col min="261" max="261" width="10.33203125" style="835" customWidth="1"/>
    <col min="262" max="273" width="8.6640625" style="835" customWidth="1"/>
    <col min="274" max="274" width="11" style="835" customWidth="1"/>
    <col min="275" max="276" width="8.6640625" style="835" customWidth="1"/>
    <col min="277" max="277" width="21" style="835" customWidth="1"/>
    <col min="278" max="278" width="31.88671875" style="835" customWidth="1"/>
    <col min="279" max="513" width="9.109375" style="835"/>
    <col min="514" max="514" width="8.5546875" style="835" customWidth="1"/>
    <col min="515" max="515" width="45.21875" style="835" customWidth="1"/>
    <col min="516" max="516" width="61.6640625" style="835" customWidth="1"/>
    <col min="517" max="517" width="10.33203125" style="835" customWidth="1"/>
    <col min="518" max="529" width="8.6640625" style="835" customWidth="1"/>
    <col min="530" max="530" width="11" style="835" customWidth="1"/>
    <col min="531" max="532" width="8.6640625" style="835" customWidth="1"/>
    <col min="533" max="533" width="21" style="835" customWidth="1"/>
    <col min="534" max="534" width="31.88671875" style="835" customWidth="1"/>
    <col min="535" max="769" width="9.109375" style="835"/>
    <col min="770" max="770" width="8.5546875" style="835" customWidth="1"/>
    <col min="771" max="771" width="45.21875" style="835" customWidth="1"/>
    <col min="772" max="772" width="61.6640625" style="835" customWidth="1"/>
    <col min="773" max="773" width="10.33203125" style="835" customWidth="1"/>
    <col min="774" max="785" width="8.6640625" style="835" customWidth="1"/>
    <col min="786" max="786" width="11" style="835" customWidth="1"/>
    <col min="787" max="788" width="8.6640625" style="835" customWidth="1"/>
    <col min="789" max="789" width="21" style="835" customWidth="1"/>
    <col min="790" max="790" width="31.88671875" style="835" customWidth="1"/>
    <col min="791" max="1025" width="9.109375" style="835"/>
    <col min="1026" max="1026" width="8.5546875" style="835" customWidth="1"/>
    <col min="1027" max="1027" width="45.21875" style="835" customWidth="1"/>
    <col min="1028" max="1028" width="61.6640625" style="835" customWidth="1"/>
    <col min="1029" max="1029" width="10.33203125" style="835" customWidth="1"/>
    <col min="1030" max="1041" width="8.6640625" style="835" customWidth="1"/>
    <col min="1042" max="1042" width="11" style="835" customWidth="1"/>
    <col min="1043" max="1044" width="8.6640625" style="835" customWidth="1"/>
    <col min="1045" max="1045" width="21" style="835" customWidth="1"/>
    <col min="1046" max="1046" width="31.88671875" style="835" customWidth="1"/>
    <col min="1047" max="1281" width="9.109375" style="835"/>
    <col min="1282" max="1282" width="8.5546875" style="835" customWidth="1"/>
    <col min="1283" max="1283" width="45.21875" style="835" customWidth="1"/>
    <col min="1284" max="1284" width="61.6640625" style="835" customWidth="1"/>
    <col min="1285" max="1285" width="10.33203125" style="835" customWidth="1"/>
    <col min="1286" max="1297" width="8.6640625" style="835" customWidth="1"/>
    <col min="1298" max="1298" width="11" style="835" customWidth="1"/>
    <col min="1299" max="1300" width="8.6640625" style="835" customWidth="1"/>
    <col min="1301" max="1301" width="21" style="835" customWidth="1"/>
    <col min="1302" max="1302" width="31.88671875" style="835" customWidth="1"/>
    <col min="1303" max="1537" width="9.109375" style="835"/>
    <col min="1538" max="1538" width="8.5546875" style="835" customWidth="1"/>
    <col min="1539" max="1539" width="45.21875" style="835" customWidth="1"/>
    <col min="1540" max="1540" width="61.6640625" style="835" customWidth="1"/>
    <col min="1541" max="1541" width="10.33203125" style="835" customWidth="1"/>
    <col min="1542" max="1553" width="8.6640625" style="835" customWidth="1"/>
    <col min="1554" max="1554" width="11" style="835" customWidth="1"/>
    <col min="1555" max="1556" width="8.6640625" style="835" customWidth="1"/>
    <col min="1557" max="1557" width="21" style="835" customWidth="1"/>
    <col min="1558" max="1558" width="31.88671875" style="835" customWidth="1"/>
    <col min="1559" max="1793" width="9.109375" style="835"/>
    <col min="1794" max="1794" width="8.5546875" style="835" customWidth="1"/>
    <col min="1795" max="1795" width="45.21875" style="835" customWidth="1"/>
    <col min="1796" max="1796" width="61.6640625" style="835" customWidth="1"/>
    <col min="1797" max="1797" width="10.33203125" style="835" customWidth="1"/>
    <col min="1798" max="1809" width="8.6640625" style="835" customWidth="1"/>
    <col min="1810" max="1810" width="11" style="835" customWidth="1"/>
    <col min="1811" max="1812" width="8.6640625" style="835" customWidth="1"/>
    <col min="1813" max="1813" width="21" style="835" customWidth="1"/>
    <col min="1814" max="1814" width="31.88671875" style="835" customWidth="1"/>
    <col min="1815" max="2049" width="9.109375" style="835"/>
    <col min="2050" max="2050" width="8.5546875" style="835" customWidth="1"/>
    <col min="2051" max="2051" width="45.21875" style="835" customWidth="1"/>
    <col min="2052" max="2052" width="61.6640625" style="835" customWidth="1"/>
    <col min="2053" max="2053" width="10.33203125" style="835" customWidth="1"/>
    <col min="2054" max="2065" width="8.6640625" style="835" customWidth="1"/>
    <col min="2066" max="2066" width="11" style="835" customWidth="1"/>
    <col min="2067" max="2068" width="8.6640625" style="835" customWidth="1"/>
    <col min="2069" max="2069" width="21" style="835" customWidth="1"/>
    <col min="2070" max="2070" width="31.88671875" style="835" customWidth="1"/>
    <col min="2071" max="2305" width="9.109375" style="835"/>
    <col min="2306" max="2306" width="8.5546875" style="835" customWidth="1"/>
    <col min="2307" max="2307" width="45.21875" style="835" customWidth="1"/>
    <col min="2308" max="2308" width="61.6640625" style="835" customWidth="1"/>
    <col min="2309" max="2309" width="10.33203125" style="835" customWidth="1"/>
    <col min="2310" max="2321" width="8.6640625" style="835" customWidth="1"/>
    <col min="2322" max="2322" width="11" style="835" customWidth="1"/>
    <col min="2323" max="2324" width="8.6640625" style="835" customWidth="1"/>
    <col min="2325" max="2325" width="21" style="835" customWidth="1"/>
    <col min="2326" max="2326" width="31.88671875" style="835" customWidth="1"/>
    <col min="2327" max="2561" width="9.109375" style="835"/>
    <col min="2562" max="2562" width="8.5546875" style="835" customWidth="1"/>
    <col min="2563" max="2563" width="45.21875" style="835" customWidth="1"/>
    <col min="2564" max="2564" width="61.6640625" style="835" customWidth="1"/>
    <col min="2565" max="2565" width="10.33203125" style="835" customWidth="1"/>
    <col min="2566" max="2577" width="8.6640625" style="835" customWidth="1"/>
    <col min="2578" max="2578" width="11" style="835" customWidth="1"/>
    <col min="2579" max="2580" width="8.6640625" style="835" customWidth="1"/>
    <col min="2581" max="2581" width="21" style="835" customWidth="1"/>
    <col min="2582" max="2582" width="31.88671875" style="835" customWidth="1"/>
    <col min="2583" max="2817" width="9.109375" style="835"/>
    <col min="2818" max="2818" width="8.5546875" style="835" customWidth="1"/>
    <col min="2819" max="2819" width="45.21875" style="835" customWidth="1"/>
    <col min="2820" max="2820" width="61.6640625" style="835" customWidth="1"/>
    <col min="2821" max="2821" width="10.33203125" style="835" customWidth="1"/>
    <col min="2822" max="2833" width="8.6640625" style="835" customWidth="1"/>
    <col min="2834" max="2834" width="11" style="835" customWidth="1"/>
    <col min="2835" max="2836" width="8.6640625" style="835" customWidth="1"/>
    <col min="2837" max="2837" width="21" style="835" customWidth="1"/>
    <col min="2838" max="2838" width="31.88671875" style="835" customWidth="1"/>
    <col min="2839" max="3073" width="9.109375" style="835"/>
    <col min="3074" max="3074" width="8.5546875" style="835" customWidth="1"/>
    <col min="3075" max="3075" width="45.21875" style="835" customWidth="1"/>
    <col min="3076" max="3076" width="61.6640625" style="835" customWidth="1"/>
    <col min="3077" max="3077" width="10.33203125" style="835" customWidth="1"/>
    <col min="3078" max="3089" width="8.6640625" style="835" customWidth="1"/>
    <col min="3090" max="3090" width="11" style="835" customWidth="1"/>
    <col min="3091" max="3092" width="8.6640625" style="835" customWidth="1"/>
    <col min="3093" max="3093" width="21" style="835" customWidth="1"/>
    <col min="3094" max="3094" width="31.88671875" style="835" customWidth="1"/>
    <col min="3095" max="3329" width="9.109375" style="835"/>
    <col min="3330" max="3330" width="8.5546875" style="835" customWidth="1"/>
    <col min="3331" max="3331" width="45.21875" style="835" customWidth="1"/>
    <col min="3332" max="3332" width="61.6640625" style="835" customWidth="1"/>
    <col min="3333" max="3333" width="10.33203125" style="835" customWidth="1"/>
    <col min="3334" max="3345" width="8.6640625" style="835" customWidth="1"/>
    <col min="3346" max="3346" width="11" style="835" customWidth="1"/>
    <col min="3347" max="3348" width="8.6640625" style="835" customWidth="1"/>
    <col min="3349" max="3349" width="21" style="835" customWidth="1"/>
    <col min="3350" max="3350" width="31.88671875" style="835" customWidth="1"/>
    <col min="3351" max="3585" width="9.109375" style="835"/>
    <col min="3586" max="3586" width="8.5546875" style="835" customWidth="1"/>
    <col min="3587" max="3587" width="45.21875" style="835" customWidth="1"/>
    <col min="3588" max="3588" width="61.6640625" style="835" customWidth="1"/>
    <col min="3589" max="3589" width="10.33203125" style="835" customWidth="1"/>
    <col min="3590" max="3601" width="8.6640625" style="835" customWidth="1"/>
    <col min="3602" max="3602" width="11" style="835" customWidth="1"/>
    <col min="3603" max="3604" width="8.6640625" style="835" customWidth="1"/>
    <col min="3605" max="3605" width="21" style="835" customWidth="1"/>
    <col min="3606" max="3606" width="31.88671875" style="835" customWidth="1"/>
    <col min="3607" max="3841" width="9.109375" style="835"/>
    <col min="3842" max="3842" width="8.5546875" style="835" customWidth="1"/>
    <col min="3843" max="3843" width="45.21875" style="835" customWidth="1"/>
    <col min="3844" max="3844" width="61.6640625" style="835" customWidth="1"/>
    <col min="3845" max="3845" width="10.33203125" style="835" customWidth="1"/>
    <col min="3846" max="3857" width="8.6640625" style="835" customWidth="1"/>
    <col min="3858" max="3858" width="11" style="835" customWidth="1"/>
    <col min="3859" max="3860" width="8.6640625" style="835" customWidth="1"/>
    <col min="3861" max="3861" width="21" style="835" customWidth="1"/>
    <col min="3862" max="3862" width="31.88671875" style="835" customWidth="1"/>
    <col min="3863" max="4097" width="9.109375" style="835"/>
    <col min="4098" max="4098" width="8.5546875" style="835" customWidth="1"/>
    <col min="4099" max="4099" width="45.21875" style="835" customWidth="1"/>
    <col min="4100" max="4100" width="61.6640625" style="835" customWidth="1"/>
    <col min="4101" max="4101" width="10.33203125" style="835" customWidth="1"/>
    <col min="4102" max="4113" width="8.6640625" style="835" customWidth="1"/>
    <col min="4114" max="4114" width="11" style="835" customWidth="1"/>
    <col min="4115" max="4116" width="8.6640625" style="835" customWidth="1"/>
    <col min="4117" max="4117" width="21" style="835" customWidth="1"/>
    <col min="4118" max="4118" width="31.88671875" style="835" customWidth="1"/>
    <col min="4119" max="4353" width="9.109375" style="835"/>
    <col min="4354" max="4354" width="8.5546875" style="835" customWidth="1"/>
    <col min="4355" max="4355" width="45.21875" style="835" customWidth="1"/>
    <col min="4356" max="4356" width="61.6640625" style="835" customWidth="1"/>
    <col min="4357" max="4357" width="10.33203125" style="835" customWidth="1"/>
    <col min="4358" max="4369" width="8.6640625" style="835" customWidth="1"/>
    <col min="4370" max="4370" width="11" style="835" customWidth="1"/>
    <col min="4371" max="4372" width="8.6640625" style="835" customWidth="1"/>
    <col min="4373" max="4373" width="21" style="835" customWidth="1"/>
    <col min="4374" max="4374" width="31.88671875" style="835" customWidth="1"/>
    <col min="4375" max="4609" width="9.109375" style="835"/>
    <col min="4610" max="4610" width="8.5546875" style="835" customWidth="1"/>
    <col min="4611" max="4611" width="45.21875" style="835" customWidth="1"/>
    <col min="4612" max="4612" width="61.6640625" style="835" customWidth="1"/>
    <col min="4613" max="4613" width="10.33203125" style="835" customWidth="1"/>
    <col min="4614" max="4625" width="8.6640625" style="835" customWidth="1"/>
    <col min="4626" max="4626" width="11" style="835" customWidth="1"/>
    <col min="4627" max="4628" width="8.6640625" style="835" customWidth="1"/>
    <col min="4629" max="4629" width="21" style="835" customWidth="1"/>
    <col min="4630" max="4630" width="31.88671875" style="835" customWidth="1"/>
    <col min="4631" max="4865" width="9.109375" style="835"/>
    <col min="4866" max="4866" width="8.5546875" style="835" customWidth="1"/>
    <col min="4867" max="4867" width="45.21875" style="835" customWidth="1"/>
    <col min="4868" max="4868" width="61.6640625" style="835" customWidth="1"/>
    <col min="4869" max="4869" width="10.33203125" style="835" customWidth="1"/>
    <col min="4870" max="4881" width="8.6640625" style="835" customWidth="1"/>
    <col min="4882" max="4882" width="11" style="835" customWidth="1"/>
    <col min="4883" max="4884" width="8.6640625" style="835" customWidth="1"/>
    <col min="4885" max="4885" width="21" style="835" customWidth="1"/>
    <col min="4886" max="4886" width="31.88671875" style="835" customWidth="1"/>
    <col min="4887" max="5121" width="9.109375" style="835"/>
    <col min="5122" max="5122" width="8.5546875" style="835" customWidth="1"/>
    <col min="5123" max="5123" width="45.21875" style="835" customWidth="1"/>
    <col min="5124" max="5124" width="61.6640625" style="835" customWidth="1"/>
    <col min="5125" max="5125" width="10.33203125" style="835" customWidth="1"/>
    <col min="5126" max="5137" width="8.6640625" style="835" customWidth="1"/>
    <col min="5138" max="5138" width="11" style="835" customWidth="1"/>
    <col min="5139" max="5140" width="8.6640625" style="835" customWidth="1"/>
    <col min="5141" max="5141" width="21" style="835" customWidth="1"/>
    <col min="5142" max="5142" width="31.88671875" style="835" customWidth="1"/>
    <col min="5143" max="5377" width="9.109375" style="835"/>
    <col min="5378" max="5378" width="8.5546875" style="835" customWidth="1"/>
    <col min="5379" max="5379" width="45.21875" style="835" customWidth="1"/>
    <col min="5380" max="5380" width="61.6640625" style="835" customWidth="1"/>
    <col min="5381" max="5381" width="10.33203125" style="835" customWidth="1"/>
    <col min="5382" max="5393" width="8.6640625" style="835" customWidth="1"/>
    <col min="5394" max="5394" width="11" style="835" customWidth="1"/>
    <col min="5395" max="5396" width="8.6640625" style="835" customWidth="1"/>
    <col min="5397" max="5397" width="21" style="835" customWidth="1"/>
    <col min="5398" max="5398" width="31.88671875" style="835" customWidth="1"/>
    <col min="5399" max="5633" width="9.109375" style="835"/>
    <col min="5634" max="5634" width="8.5546875" style="835" customWidth="1"/>
    <col min="5635" max="5635" width="45.21875" style="835" customWidth="1"/>
    <col min="5636" max="5636" width="61.6640625" style="835" customWidth="1"/>
    <col min="5637" max="5637" width="10.33203125" style="835" customWidth="1"/>
    <col min="5638" max="5649" width="8.6640625" style="835" customWidth="1"/>
    <col min="5650" max="5650" width="11" style="835" customWidth="1"/>
    <col min="5651" max="5652" width="8.6640625" style="835" customWidth="1"/>
    <col min="5653" max="5653" width="21" style="835" customWidth="1"/>
    <col min="5654" max="5654" width="31.88671875" style="835" customWidth="1"/>
    <col min="5655" max="5889" width="9.109375" style="835"/>
    <col min="5890" max="5890" width="8.5546875" style="835" customWidth="1"/>
    <col min="5891" max="5891" width="45.21875" style="835" customWidth="1"/>
    <col min="5892" max="5892" width="61.6640625" style="835" customWidth="1"/>
    <col min="5893" max="5893" width="10.33203125" style="835" customWidth="1"/>
    <col min="5894" max="5905" width="8.6640625" style="835" customWidth="1"/>
    <col min="5906" max="5906" width="11" style="835" customWidth="1"/>
    <col min="5907" max="5908" width="8.6640625" style="835" customWidth="1"/>
    <col min="5909" max="5909" width="21" style="835" customWidth="1"/>
    <col min="5910" max="5910" width="31.88671875" style="835" customWidth="1"/>
    <col min="5911" max="6145" width="9.109375" style="835"/>
    <col min="6146" max="6146" width="8.5546875" style="835" customWidth="1"/>
    <col min="6147" max="6147" width="45.21875" style="835" customWidth="1"/>
    <col min="6148" max="6148" width="61.6640625" style="835" customWidth="1"/>
    <col min="6149" max="6149" width="10.33203125" style="835" customWidth="1"/>
    <col min="6150" max="6161" width="8.6640625" style="835" customWidth="1"/>
    <col min="6162" max="6162" width="11" style="835" customWidth="1"/>
    <col min="6163" max="6164" width="8.6640625" style="835" customWidth="1"/>
    <col min="6165" max="6165" width="21" style="835" customWidth="1"/>
    <col min="6166" max="6166" width="31.88671875" style="835" customWidth="1"/>
    <col min="6167" max="6401" width="9.109375" style="835"/>
    <col min="6402" max="6402" width="8.5546875" style="835" customWidth="1"/>
    <col min="6403" max="6403" width="45.21875" style="835" customWidth="1"/>
    <col min="6404" max="6404" width="61.6640625" style="835" customWidth="1"/>
    <col min="6405" max="6405" width="10.33203125" style="835" customWidth="1"/>
    <col min="6406" max="6417" width="8.6640625" style="835" customWidth="1"/>
    <col min="6418" max="6418" width="11" style="835" customWidth="1"/>
    <col min="6419" max="6420" width="8.6640625" style="835" customWidth="1"/>
    <col min="6421" max="6421" width="21" style="835" customWidth="1"/>
    <col min="6422" max="6422" width="31.88671875" style="835" customWidth="1"/>
    <col min="6423" max="6657" width="9.109375" style="835"/>
    <col min="6658" max="6658" width="8.5546875" style="835" customWidth="1"/>
    <col min="6659" max="6659" width="45.21875" style="835" customWidth="1"/>
    <col min="6660" max="6660" width="61.6640625" style="835" customWidth="1"/>
    <col min="6661" max="6661" width="10.33203125" style="835" customWidth="1"/>
    <col min="6662" max="6673" width="8.6640625" style="835" customWidth="1"/>
    <col min="6674" max="6674" width="11" style="835" customWidth="1"/>
    <col min="6675" max="6676" width="8.6640625" style="835" customWidth="1"/>
    <col min="6677" max="6677" width="21" style="835" customWidth="1"/>
    <col min="6678" max="6678" width="31.88671875" style="835" customWidth="1"/>
    <col min="6679" max="6913" width="9.109375" style="835"/>
    <col min="6914" max="6914" width="8.5546875" style="835" customWidth="1"/>
    <col min="6915" max="6915" width="45.21875" style="835" customWidth="1"/>
    <col min="6916" max="6916" width="61.6640625" style="835" customWidth="1"/>
    <col min="6917" max="6917" width="10.33203125" style="835" customWidth="1"/>
    <col min="6918" max="6929" width="8.6640625" style="835" customWidth="1"/>
    <col min="6930" max="6930" width="11" style="835" customWidth="1"/>
    <col min="6931" max="6932" width="8.6640625" style="835" customWidth="1"/>
    <col min="6933" max="6933" width="21" style="835" customWidth="1"/>
    <col min="6934" max="6934" width="31.88671875" style="835" customWidth="1"/>
    <col min="6935" max="7169" width="9.109375" style="835"/>
    <col min="7170" max="7170" width="8.5546875" style="835" customWidth="1"/>
    <col min="7171" max="7171" width="45.21875" style="835" customWidth="1"/>
    <col min="7172" max="7172" width="61.6640625" style="835" customWidth="1"/>
    <col min="7173" max="7173" width="10.33203125" style="835" customWidth="1"/>
    <col min="7174" max="7185" width="8.6640625" style="835" customWidth="1"/>
    <col min="7186" max="7186" width="11" style="835" customWidth="1"/>
    <col min="7187" max="7188" width="8.6640625" style="835" customWidth="1"/>
    <col min="7189" max="7189" width="21" style="835" customWidth="1"/>
    <col min="7190" max="7190" width="31.88671875" style="835" customWidth="1"/>
    <col min="7191" max="7425" width="9.109375" style="835"/>
    <col min="7426" max="7426" width="8.5546875" style="835" customWidth="1"/>
    <col min="7427" max="7427" width="45.21875" style="835" customWidth="1"/>
    <col min="7428" max="7428" width="61.6640625" style="835" customWidth="1"/>
    <col min="7429" max="7429" width="10.33203125" style="835" customWidth="1"/>
    <col min="7430" max="7441" width="8.6640625" style="835" customWidth="1"/>
    <col min="7442" max="7442" width="11" style="835" customWidth="1"/>
    <col min="7443" max="7444" width="8.6640625" style="835" customWidth="1"/>
    <col min="7445" max="7445" width="21" style="835" customWidth="1"/>
    <col min="7446" max="7446" width="31.88671875" style="835" customWidth="1"/>
    <col min="7447" max="7681" width="9.109375" style="835"/>
    <col min="7682" max="7682" width="8.5546875" style="835" customWidth="1"/>
    <col min="7683" max="7683" width="45.21875" style="835" customWidth="1"/>
    <col min="7684" max="7684" width="61.6640625" style="835" customWidth="1"/>
    <col min="7685" max="7685" width="10.33203125" style="835" customWidth="1"/>
    <col min="7686" max="7697" width="8.6640625" style="835" customWidth="1"/>
    <col min="7698" max="7698" width="11" style="835" customWidth="1"/>
    <col min="7699" max="7700" width="8.6640625" style="835" customWidth="1"/>
    <col min="7701" max="7701" width="21" style="835" customWidth="1"/>
    <col min="7702" max="7702" width="31.88671875" style="835" customWidth="1"/>
    <col min="7703" max="7937" width="9.109375" style="835"/>
    <col min="7938" max="7938" width="8.5546875" style="835" customWidth="1"/>
    <col min="7939" max="7939" width="45.21875" style="835" customWidth="1"/>
    <col min="7940" max="7940" width="61.6640625" style="835" customWidth="1"/>
    <col min="7941" max="7941" width="10.33203125" style="835" customWidth="1"/>
    <col min="7942" max="7953" width="8.6640625" style="835" customWidth="1"/>
    <col min="7954" max="7954" width="11" style="835" customWidth="1"/>
    <col min="7955" max="7956" width="8.6640625" style="835" customWidth="1"/>
    <col min="7957" max="7957" width="21" style="835" customWidth="1"/>
    <col min="7958" max="7958" width="31.88671875" style="835" customWidth="1"/>
    <col min="7959" max="8193" width="9.109375" style="835"/>
    <col min="8194" max="8194" width="8.5546875" style="835" customWidth="1"/>
    <col min="8195" max="8195" width="45.21875" style="835" customWidth="1"/>
    <col min="8196" max="8196" width="61.6640625" style="835" customWidth="1"/>
    <col min="8197" max="8197" width="10.33203125" style="835" customWidth="1"/>
    <col min="8198" max="8209" width="8.6640625" style="835" customWidth="1"/>
    <col min="8210" max="8210" width="11" style="835" customWidth="1"/>
    <col min="8211" max="8212" width="8.6640625" style="835" customWidth="1"/>
    <col min="8213" max="8213" width="21" style="835" customWidth="1"/>
    <col min="8214" max="8214" width="31.88671875" style="835" customWidth="1"/>
    <col min="8215" max="8449" width="9.109375" style="835"/>
    <col min="8450" max="8450" width="8.5546875" style="835" customWidth="1"/>
    <col min="8451" max="8451" width="45.21875" style="835" customWidth="1"/>
    <col min="8452" max="8452" width="61.6640625" style="835" customWidth="1"/>
    <col min="8453" max="8453" width="10.33203125" style="835" customWidth="1"/>
    <col min="8454" max="8465" width="8.6640625" style="835" customWidth="1"/>
    <col min="8466" max="8466" width="11" style="835" customWidth="1"/>
    <col min="8467" max="8468" width="8.6640625" style="835" customWidth="1"/>
    <col min="8469" max="8469" width="21" style="835" customWidth="1"/>
    <col min="8470" max="8470" width="31.88671875" style="835" customWidth="1"/>
    <col min="8471" max="8705" width="9.109375" style="835"/>
    <col min="8706" max="8706" width="8.5546875" style="835" customWidth="1"/>
    <col min="8707" max="8707" width="45.21875" style="835" customWidth="1"/>
    <col min="8708" max="8708" width="61.6640625" style="835" customWidth="1"/>
    <col min="8709" max="8709" width="10.33203125" style="835" customWidth="1"/>
    <col min="8710" max="8721" width="8.6640625" style="835" customWidth="1"/>
    <col min="8722" max="8722" width="11" style="835" customWidth="1"/>
    <col min="8723" max="8724" width="8.6640625" style="835" customWidth="1"/>
    <col min="8725" max="8725" width="21" style="835" customWidth="1"/>
    <col min="8726" max="8726" width="31.88671875" style="835" customWidth="1"/>
    <col min="8727" max="8961" width="9.109375" style="835"/>
    <col min="8962" max="8962" width="8.5546875" style="835" customWidth="1"/>
    <col min="8963" max="8963" width="45.21875" style="835" customWidth="1"/>
    <col min="8964" max="8964" width="61.6640625" style="835" customWidth="1"/>
    <col min="8965" max="8965" width="10.33203125" style="835" customWidth="1"/>
    <col min="8966" max="8977" width="8.6640625" style="835" customWidth="1"/>
    <col min="8978" max="8978" width="11" style="835" customWidth="1"/>
    <col min="8979" max="8980" width="8.6640625" style="835" customWidth="1"/>
    <col min="8981" max="8981" width="21" style="835" customWidth="1"/>
    <col min="8982" max="8982" width="31.88671875" style="835" customWidth="1"/>
    <col min="8983" max="9217" width="9.109375" style="835"/>
    <col min="9218" max="9218" width="8.5546875" style="835" customWidth="1"/>
    <col min="9219" max="9219" width="45.21875" style="835" customWidth="1"/>
    <col min="9220" max="9220" width="61.6640625" style="835" customWidth="1"/>
    <col min="9221" max="9221" width="10.33203125" style="835" customWidth="1"/>
    <col min="9222" max="9233" width="8.6640625" style="835" customWidth="1"/>
    <col min="9234" max="9234" width="11" style="835" customWidth="1"/>
    <col min="9235" max="9236" width="8.6640625" style="835" customWidth="1"/>
    <col min="9237" max="9237" width="21" style="835" customWidth="1"/>
    <col min="9238" max="9238" width="31.88671875" style="835" customWidth="1"/>
    <col min="9239" max="9473" width="9.109375" style="835"/>
    <col min="9474" max="9474" width="8.5546875" style="835" customWidth="1"/>
    <col min="9475" max="9475" width="45.21875" style="835" customWidth="1"/>
    <col min="9476" max="9476" width="61.6640625" style="835" customWidth="1"/>
    <col min="9477" max="9477" width="10.33203125" style="835" customWidth="1"/>
    <col min="9478" max="9489" width="8.6640625" style="835" customWidth="1"/>
    <col min="9490" max="9490" width="11" style="835" customWidth="1"/>
    <col min="9491" max="9492" width="8.6640625" style="835" customWidth="1"/>
    <col min="9493" max="9493" width="21" style="835" customWidth="1"/>
    <col min="9494" max="9494" width="31.88671875" style="835" customWidth="1"/>
    <col min="9495" max="9729" width="9.109375" style="835"/>
    <col min="9730" max="9730" width="8.5546875" style="835" customWidth="1"/>
    <col min="9731" max="9731" width="45.21875" style="835" customWidth="1"/>
    <col min="9732" max="9732" width="61.6640625" style="835" customWidth="1"/>
    <col min="9733" max="9733" width="10.33203125" style="835" customWidth="1"/>
    <col min="9734" max="9745" width="8.6640625" style="835" customWidth="1"/>
    <col min="9746" max="9746" width="11" style="835" customWidth="1"/>
    <col min="9747" max="9748" width="8.6640625" style="835" customWidth="1"/>
    <col min="9749" max="9749" width="21" style="835" customWidth="1"/>
    <col min="9750" max="9750" width="31.88671875" style="835" customWidth="1"/>
    <col min="9751" max="9985" width="9.109375" style="835"/>
    <col min="9986" max="9986" width="8.5546875" style="835" customWidth="1"/>
    <col min="9987" max="9987" width="45.21875" style="835" customWidth="1"/>
    <col min="9988" max="9988" width="61.6640625" style="835" customWidth="1"/>
    <col min="9989" max="9989" width="10.33203125" style="835" customWidth="1"/>
    <col min="9990" max="10001" width="8.6640625" style="835" customWidth="1"/>
    <col min="10002" max="10002" width="11" style="835" customWidth="1"/>
    <col min="10003" max="10004" width="8.6640625" style="835" customWidth="1"/>
    <col min="10005" max="10005" width="21" style="835" customWidth="1"/>
    <col min="10006" max="10006" width="31.88671875" style="835" customWidth="1"/>
    <col min="10007" max="10241" width="9.109375" style="835"/>
    <col min="10242" max="10242" width="8.5546875" style="835" customWidth="1"/>
    <col min="10243" max="10243" width="45.21875" style="835" customWidth="1"/>
    <col min="10244" max="10244" width="61.6640625" style="835" customWidth="1"/>
    <col min="10245" max="10245" width="10.33203125" style="835" customWidth="1"/>
    <col min="10246" max="10257" width="8.6640625" style="835" customWidth="1"/>
    <col min="10258" max="10258" width="11" style="835" customWidth="1"/>
    <col min="10259" max="10260" width="8.6640625" style="835" customWidth="1"/>
    <col min="10261" max="10261" width="21" style="835" customWidth="1"/>
    <col min="10262" max="10262" width="31.88671875" style="835" customWidth="1"/>
    <col min="10263" max="10497" width="9.109375" style="835"/>
    <col min="10498" max="10498" width="8.5546875" style="835" customWidth="1"/>
    <col min="10499" max="10499" width="45.21875" style="835" customWidth="1"/>
    <col min="10500" max="10500" width="61.6640625" style="835" customWidth="1"/>
    <col min="10501" max="10501" width="10.33203125" style="835" customWidth="1"/>
    <col min="10502" max="10513" width="8.6640625" style="835" customWidth="1"/>
    <col min="10514" max="10514" width="11" style="835" customWidth="1"/>
    <col min="10515" max="10516" width="8.6640625" style="835" customWidth="1"/>
    <col min="10517" max="10517" width="21" style="835" customWidth="1"/>
    <col min="10518" max="10518" width="31.88671875" style="835" customWidth="1"/>
    <col min="10519" max="10753" width="9.109375" style="835"/>
    <col min="10754" max="10754" width="8.5546875" style="835" customWidth="1"/>
    <col min="10755" max="10755" width="45.21875" style="835" customWidth="1"/>
    <col min="10756" max="10756" width="61.6640625" style="835" customWidth="1"/>
    <col min="10757" max="10757" width="10.33203125" style="835" customWidth="1"/>
    <col min="10758" max="10769" width="8.6640625" style="835" customWidth="1"/>
    <col min="10770" max="10770" width="11" style="835" customWidth="1"/>
    <col min="10771" max="10772" width="8.6640625" style="835" customWidth="1"/>
    <col min="10773" max="10773" width="21" style="835" customWidth="1"/>
    <col min="10774" max="10774" width="31.88671875" style="835" customWidth="1"/>
    <col min="10775" max="11009" width="9.109375" style="835"/>
    <col min="11010" max="11010" width="8.5546875" style="835" customWidth="1"/>
    <col min="11011" max="11011" width="45.21875" style="835" customWidth="1"/>
    <col min="11012" max="11012" width="61.6640625" style="835" customWidth="1"/>
    <col min="11013" max="11013" width="10.33203125" style="835" customWidth="1"/>
    <col min="11014" max="11025" width="8.6640625" style="835" customWidth="1"/>
    <col min="11026" max="11026" width="11" style="835" customWidth="1"/>
    <col min="11027" max="11028" width="8.6640625" style="835" customWidth="1"/>
    <col min="11029" max="11029" width="21" style="835" customWidth="1"/>
    <col min="11030" max="11030" width="31.88671875" style="835" customWidth="1"/>
    <col min="11031" max="11265" width="9.109375" style="835"/>
    <col min="11266" max="11266" width="8.5546875" style="835" customWidth="1"/>
    <col min="11267" max="11267" width="45.21875" style="835" customWidth="1"/>
    <col min="11268" max="11268" width="61.6640625" style="835" customWidth="1"/>
    <col min="11269" max="11269" width="10.33203125" style="835" customWidth="1"/>
    <col min="11270" max="11281" width="8.6640625" style="835" customWidth="1"/>
    <col min="11282" max="11282" width="11" style="835" customWidth="1"/>
    <col min="11283" max="11284" width="8.6640625" style="835" customWidth="1"/>
    <col min="11285" max="11285" width="21" style="835" customWidth="1"/>
    <col min="11286" max="11286" width="31.88671875" style="835" customWidth="1"/>
    <col min="11287" max="11521" width="9.109375" style="835"/>
    <col min="11522" max="11522" width="8.5546875" style="835" customWidth="1"/>
    <col min="11523" max="11523" width="45.21875" style="835" customWidth="1"/>
    <col min="11524" max="11524" width="61.6640625" style="835" customWidth="1"/>
    <col min="11525" max="11525" width="10.33203125" style="835" customWidth="1"/>
    <col min="11526" max="11537" width="8.6640625" style="835" customWidth="1"/>
    <col min="11538" max="11538" width="11" style="835" customWidth="1"/>
    <col min="11539" max="11540" width="8.6640625" style="835" customWidth="1"/>
    <col min="11541" max="11541" width="21" style="835" customWidth="1"/>
    <col min="11542" max="11542" width="31.88671875" style="835" customWidth="1"/>
    <col min="11543" max="11777" width="9.109375" style="835"/>
    <col min="11778" max="11778" width="8.5546875" style="835" customWidth="1"/>
    <col min="11779" max="11779" width="45.21875" style="835" customWidth="1"/>
    <col min="11780" max="11780" width="61.6640625" style="835" customWidth="1"/>
    <col min="11781" max="11781" width="10.33203125" style="835" customWidth="1"/>
    <col min="11782" max="11793" width="8.6640625" style="835" customWidth="1"/>
    <col min="11794" max="11794" width="11" style="835" customWidth="1"/>
    <col min="11795" max="11796" width="8.6640625" style="835" customWidth="1"/>
    <col min="11797" max="11797" width="21" style="835" customWidth="1"/>
    <col min="11798" max="11798" width="31.88671875" style="835" customWidth="1"/>
    <col min="11799" max="12033" width="9.109375" style="835"/>
    <col min="12034" max="12034" width="8.5546875" style="835" customWidth="1"/>
    <col min="12035" max="12035" width="45.21875" style="835" customWidth="1"/>
    <col min="12036" max="12036" width="61.6640625" style="835" customWidth="1"/>
    <col min="12037" max="12037" width="10.33203125" style="835" customWidth="1"/>
    <col min="12038" max="12049" width="8.6640625" style="835" customWidth="1"/>
    <col min="12050" max="12050" width="11" style="835" customWidth="1"/>
    <col min="12051" max="12052" width="8.6640625" style="835" customWidth="1"/>
    <col min="12053" max="12053" width="21" style="835" customWidth="1"/>
    <col min="12054" max="12054" width="31.88671875" style="835" customWidth="1"/>
    <col min="12055" max="12289" width="9.109375" style="835"/>
    <col min="12290" max="12290" width="8.5546875" style="835" customWidth="1"/>
    <col min="12291" max="12291" width="45.21875" style="835" customWidth="1"/>
    <col min="12292" max="12292" width="61.6640625" style="835" customWidth="1"/>
    <col min="12293" max="12293" width="10.33203125" style="835" customWidth="1"/>
    <col min="12294" max="12305" width="8.6640625" style="835" customWidth="1"/>
    <col min="12306" max="12306" width="11" style="835" customWidth="1"/>
    <col min="12307" max="12308" width="8.6640625" style="835" customWidth="1"/>
    <col min="12309" max="12309" width="21" style="835" customWidth="1"/>
    <col min="12310" max="12310" width="31.88671875" style="835" customWidth="1"/>
    <col min="12311" max="12545" width="9.109375" style="835"/>
    <col min="12546" max="12546" width="8.5546875" style="835" customWidth="1"/>
    <col min="12547" max="12547" width="45.21875" style="835" customWidth="1"/>
    <col min="12548" max="12548" width="61.6640625" style="835" customWidth="1"/>
    <col min="12549" max="12549" width="10.33203125" style="835" customWidth="1"/>
    <col min="12550" max="12561" width="8.6640625" style="835" customWidth="1"/>
    <col min="12562" max="12562" width="11" style="835" customWidth="1"/>
    <col min="12563" max="12564" width="8.6640625" style="835" customWidth="1"/>
    <col min="12565" max="12565" width="21" style="835" customWidth="1"/>
    <col min="12566" max="12566" width="31.88671875" style="835" customWidth="1"/>
    <col min="12567" max="12801" width="9.109375" style="835"/>
    <col min="12802" max="12802" width="8.5546875" style="835" customWidth="1"/>
    <col min="12803" max="12803" width="45.21875" style="835" customWidth="1"/>
    <col min="12804" max="12804" width="61.6640625" style="835" customWidth="1"/>
    <col min="12805" max="12805" width="10.33203125" style="835" customWidth="1"/>
    <col min="12806" max="12817" width="8.6640625" style="835" customWidth="1"/>
    <col min="12818" max="12818" width="11" style="835" customWidth="1"/>
    <col min="12819" max="12820" width="8.6640625" style="835" customWidth="1"/>
    <col min="12821" max="12821" width="21" style="835" customWidth="1"/>
    <col min="12822" max="12822" width="31.88671875" style="835" customWidth="1"/>
    <col min="12823" max="13057" width="9.109375" style="835"/>
    <col min="13058" max="13058" width="8.5546875" style="835" customWidth="1"/>
    <col min="13059" max="13059" width="45.21875" style="835" customWidth="1"/>
    <col min="13060" max="13060" width="61.6640625" style="835" customWidth="1"/>
    <col min="13061" max="13061" width="10.33203125" style="835" customWidth="1"/>
    <col min="13062" max="13073" width="8.6640625" style="835" customWidth="1"/>
    <col min="13074" max="13074" width="11" style="835" customWidth="1"/>
    <col min="13075" max="13076" width="8.6640625" style="835" customWidth="1"/>
    <col min="13077" max="13077" width="21" style="835" customWidth="1"/>
    <col min="13078" max="13078" width="31.88671875" style="835" customWidth="1"/>
    <col min="13079" max="13313" width="9.109375" style="835"/>
    <col min="13314" max="13314" width="8.5546875" style="835" customWidth="1"/>
    <col min="13315" max="13315" width="45.21875" style="835" customWidth="1"/>
    <col min="13316" max="13316" width="61.6640625" style="835" customWidth="1"/>
    <col min="13317" max="13317" width="10.33203125" style="835" customWidth="1"/>
    <col min="13318" max="13329" width="8.6640625" style="835" customWidth="1"/>
    <col min="13330" max="13330" width="11" style="835" customWidth="1"/>
    <col min="13331" max="13332" width="8.6640625" style="835" customWidth="1"/>
    <col min="13333" max="13333" width="21" style="835" customWidth="1"/>
    <col min="13334" max="13334" width="31.88671875" style="835" customWidth="1"/>
    <col min="13335" max="13569" width="9.109375" style="835"/>
    <col min="13570" max="13570" width="8.5546875" style="835" customWidth="1"/>
    <col min="13571" max="13571" width="45.21875" style="835" customWidth="1"/>
    <col min="13572" max="13572" width="61.6640625" style="835" customWidth="1"/>
    <col min="13573" max="13573" width="10.33203125" style="835" customWidth="1"/>
    <col min="13574" max="13585" width="8.6640625" style="835" customWidth="1"/>
    <col min="13586" max="13586" width="11" style="835" customWidth="1"/>
    <col min="13587" max="13588" width="8.6640625" style="835" customWidth="1"/>
    <col min="13589" max="13589" width="21" style="835" customWidth="1"/>
    <col min="13590" max="13590" width="31.88671875" style="835" customWidth="1"/>
    <col min="13591" max="13825" width="9.109375" style="835"/>
    <col min="13826" max="13826" width="8.5546875" style="835" customWidth="1"/>
    <col min="13827" max="13827" width="45.21875" style="835" customWidth="1"/>
    <col min="13828" max="13828" width="61.6640625" style="835" customWidth="1"/>
    <col min="13829" max="13829" width="10.33203125" style="835" customWidth="1"/>
    <col min="13830" max="13841" width="8.6640625" style="835" customWidth="1"/>
    <col min="13842" max="13842" width="11" style="835" customWidth="1"/>
    <col min="13843" max="13844" width="8.6640625" style="835" customWidth="1"/>
    <col min="13845" max="13845" width="21" style="835" customWidth="1"/>
    <col min="13846" max="13846" width="31.88671875" style="835" customWidth="1"/>
    <col min="13847" max="14081" width="9.109375" style="835"/>
    <col min="14082" max="14082" width="8.5546875" style="835" customWidth="1"/>
    <col min="14083" max="14083" width="45.21875" style="835" customWidth="1"/>
    <col min="14084" max="14084" width="61.6640625" style="835" customWidth="1"/>
    <col min="14085" max="14085" width="10.33203125" style="835" customWidth="1"/>
    <col min="14086" max="14097" width="8.6640625" style="835" customWidth="1"/>
    <col min="14098" max="14098" width="11" style="835" customWidth="1"/>
    <col min="14099" max="14100" width="8.6640625" style="835" customWidth="1"/>
    <col min="14101" max="14101" width="21" style="835" customWidth="1"/>
    <col min="14102" max="14102" width="31.88671875" style="835" customWidth="1"/>
    <col min="14103" max="14337" width="9.109375" style="835"/>
    <col min="14338" max="14338" width="8.5546875" style="835" customWidth="1"/>
    <col min="14339" max="14339" width="45.21875" style="835" customWidth="1"/>
    <col min="14340" max="14340" width="61.6640625" style="835" customWidth="1"/>
    <col min="14341" max="14341" width="10.33203125" style="835" customWidth="1"/>
    <col min="14342" max="14353" width="8.6640625" style="835" customWidth="1"/>
    <col min="14354" max="14354" width="11" style="835" customWidth="1"/>
    <col min="14355" max="14356" width="8.6640625" style="835" customWidth="1"/>
    <col min="14357" max="14357" width="21" style="835" customWidth="1"/>
    <col min="14358" max="14358" width="31.88671875" style="835" customWidth="1"/>
    <col min="14359" max="14593" width="9.109375" style="835"/>
    <col min="14594" max="14594" width="8.5546875" style="835" customWidth="1"/>
    <col min="14595" max="14595" width="45.21875" style="835" customWidth="1"/>
    <col min="14596" max="14596" width="61.6640625" style="835" customWidth="1"/>
    <col min="14597" max="14597" width="10.33203125" style="835" customWidth="1"/>
    <col min="14598" max="14609" width="8.6640625" style="835" customWidth="1"/>
    <col min="14610" max="14610" width="11" style="835" customWidth="1"/>
    <col min="14611" max="14612" width="8.6640625" style="835" customWidth="1"/>
    <col min="14613" max="14613" width="21" style="835" customWidth="1"/>
    <col min="14614" max="14614" width="31.88671875" style="835" customWidth="1"/>
    <col min="14615" max="14849" width="9.109375" style="835"/>
    <col min="14850" max="14850" width="8.5546875" style="835" customWidth="1"/>
    <col min="14851" max="14851" width="45.21875" style="835" customWidth="1"/>
    <col min="14852" max="14852" width="61.6640625" style="835" customWidth="1"/>
    <col min="14853" max="14853" width="10.33203125" style="835" customWidth="1"/>
    <col min="14854" max="14865" width="8.6640625" style="835" customWidth="1"/>
    <col min="14866" max="14866" width="11" style="835" customWidth="1"/>
    <col min="14867" max="14868" width="8.6640625" style="835" customWidth="1"/>
    <col min="14869" max="14869" width="21" style="835" customWidth="1"/>
    <col min="14870" max="14870" width="31.88671875" style="835" customWidth="1"/>
    <col min="14871" max="15105" width="9.109375" style="835"/>
    <col min="15106" max="15106" width="8.5546875" style="835" customWidth="1"/>
    <col min="15107" max="15107" width="45.21875" style="835" customWidth="1"/>
    <col min="15108" max="15108" width="61.6640625" style="835" customWidth="1"/>
    <col min="15109" max="15109" width="10.33203125" style="835" customWidth="1"/>
    <col min="15110" max="15121" width="8.6640625" style="835" customWidth="1"/>
    <col min="15122" max="15122" width="11" style="835" customWidth="1"/>
    <col min="15123" max="15124" width="8.6640625" style="835" customWidth="1"/>
    <col min="15125" max="15125" width="21" style="835" customWidth="1"/>
    <col min="15126" max="15126" width="31.88671875" style="835" customWidth="1"/>
    <col min="15127" max="15361" width="9.109375" style="835"/>
    <col min="15362" max="15362" width="8.5546875" style="835" customWidth="1"/>
    <col min="15363" max="15363" width="45.21875" style="835" customWidth="1"/>
    <col min="15364" max="15364" width="61.6640625" style="835" customWidth="1"/>
    <col min="15365" max="15365" width="10.33203125" style="835" customWidth="1"/>
    <col min="15366" max="15377" width="8.6640625" style="835" customWidth="1"/>
    <col min="15378" max="15378" width="11" style="835" customWidth="1"/>
    <col min="15379" max="15380" width="8.6640625" style="835" customWidth="1"/>
    <col min="15381" max="15381" width="21" style="835" customWidth="1"/>
    <col min="15382" max="15382" width="31.88671875" style="835" customWidth="1"/>
    <col min="15383" max="15617" width="9.109375" style="835"/>
    <col min="15618" max="15618" width="8.5546875" style="835" customWidth="1"/>
    <col min="15619" max="15619" width="45.21875" style="835" customWidth="1"/>
    <col min="15620" max="15620" width="61.6640625" style="835" customWidth="1"/>
    <col min="15621" max="15621" width="10.33203125" style="835" customWidth="1"/>
    <col min="15622" max="15633" width="8.6640625" style="835" customWidth="1"/>
    <col min="15634" max="15634" width="11" style="835" customWidth="1"/>
    <col min="15635" max="15636" width="8.6640625" style="835" customWidth="1"/>
    <col min="15637" max="15637" width="21" style="835" customWidth="1"/>
    <col min="15638" max="15638" width="31.88671875" style="835" customWidth="1"/>
    <col min="15639" max="15873" width="9.109375" style="835"/>
    <col min="15874" max="15874" width="8.5546875" style="835" customWidth="1"/>
    <col min="15875" max="15875" width="45.21875" style="835" customWidth="1"/>
    <col min="15876" max="15876" width="61.6640625" style="835" customWidth="1"/>
    <col min="15877" max="15877" width="10.33203125" style="835" customWidth="1"/>
    <col min="15878" max="15889" width="8.6640625" style="835" customWidth="1"/>
    <col min="15890" max="15890" width="11" style="835" customWidth="1"/>
    <col min="15891" max="15892" width="8.6640625" style="835" customWidth="1"/>
    <col min="15893" max="15893" width="21" style="835" customWidth="1"/>
    <col min="15894" max="15894" width="31.88671875" style="835" customWidth="1"/>
    <col min="15895" max="16129" width="9.109375" style="835"/>
    <col min="16130" max="16130" width="8.5546875" style="835" customWidth="1"/>
    <col min="16131" max="16131" width="45.21875" style="835" customWidth="1"/>
    <col min="16132" max="16132" width="61.6640625" style="835" customWidth="1"/>
    <col min="16133" max="16133" width="10.33203125" style="835" customWidth="1"/>
    <col min="16134" max="16145" width="8.6640625" style="835" customWidth="1"/>
    <col min="16146" max="16146" width="11" style="835" customWidth="1"/>
    <col min="16147" max="16148" width="8.6640625" style="835" customWidth="1"/>
    <col min="16149" max="16149" width="21" style="835" customWidth="1"/>
    <col min="16150" max="16150" width="31.88671875" style="835" customWidth="1"/>
    <col min="16151" max="16384" width="9.109375" style="835"/>
  </cols>
  <sheetData>
    <row r="1" spans="1:22" s="803" customFormat="1" ht="24" customHeight="1">
      <c r="A1" s="1259" t="s">
        <v>591</v>
      </c>
      <c r="B1" s="1259"/>
      <c r="C1" s="1259"/>
      <c r="D1" s="949"/>
      <c r="S1" s="804"/>
      <c r="U1" s="958"/>
    </row>
    <row r="2" spans="1:22" s="803" customFormat="1" ht="24" customHeight="1" thickBot="1">
      <c r="A2" s="979" t="s">
        <v>592</v>
      </c>
      <c r="B2" s="805"/>
      <c r="C2" s="805"/>
      <c r="D2" s="950"/>
      <c r="S2" s="804"/>
      <c r="U2" s="958"/>
    </row>
    <row r="3" spans="1:22" s="803" customFormat="1" ht="24" customHeight="1" thickBot="1">
      <c r="A3" s="1260" t="s">
        <v>37</v>
      </c>
      <c r="B3" s="1262" t="s">
        <v>593</v>
      </c>
      <c r="C3" s="1264" t="s">
        <v>523</v>
      </c>
      <c r="D3" s="1266" t="s">
        <v>42</v>
      </c>
      <c r="E3" s="1273" t="s">
        <v>946</v>
      </c>
      <c r="F3" s="1268" t="s">
        <v>594</v>
      </c>
      <c r="G3" s="1269"/>
      <c r="H3" s="1269"/>
      <c r="I3" s="1269"/>
      <c r="J3" s="1269"/>
      <c r="K3" s="1269"/>
      <c r="L3" s="1269"/>
      <c r="M3" s="1269"/>
      <c r="N3" s="1269"/>
      <c r="O3" s="1269"/>
      <c r="P3" s="1269"/>
      <c r="Q3" s="1269"/>
      <c r="R3" s="1269"/>
      <c r="S3" s="1269"/>
      <c r="T3" s="1270"/>
      <c r="U3" s="1271" t="s">
        <v>677</v>
      </c>
      <c r="V3" s="1257" t="s">
        <v>595</v>
      </c>
    </row>
    <row r="4" spans="1:22" s="803" customFormat="1" ht="24" customHeight="1" thickBot="1">
      <c r="A4" s="1261"/>
      <c r="B4" s="1263"/>
      <c r="C4" s="1265"/>
      <c r="D4" s="1267"/>
      <c r="E4" s="1274"/>
      <c r="F4" s="806" t="s">
        <v>596</v>
      </c>
      <c r="G4" s="807" t="s">
        <v>597</v>
      </c>
      <c r="H4" s="807" t="s">
        <v>598</v>
      </c>
      <c r="I4" s="807" t="s">
        <v>599</v>
      </c>
      <c r="J4" s="808" t="s">
        <v>600</v>
      </c>
      <c r="K4" s="807" t="s">
        <v>601</v>
      </c>
      <c r="L4" s="809" t="s">
        <v>602</v>
      </c>
      <c r="M4" s="810" t="s">
        <v>603</v>
      </c>
      <c r="N4" s="810" t="s">
        <v>604</v>
      </c>
      <c r="O4" s="810" t="s">
        <v>605</v>
      </c>
      <c r="P4" s="810" t="s">
        <v>606</v>
      </c>
      <c r="Q4" s="811" t="s">
        <v>607</v>
      </c>
      <c r="R4" s="812" t="s">
        <v>608</v>
      </c>
      <c r="S4" s="813" t="s">
        <v>609</v>
      </c>
      <c r="T4" s="814" t="s">
        <v>610</v>
      </c>
      <c r="U4" s="1272"/>
      <c r="V4" s="1258"/>
    </row>
    <row r="5" spans="1:22" s="826" customFormat="1" ht="41.4">
      <c r="A5" s="1063">
        <v>1</v>
      </c>
      <c r="B5" s="1073" t="s">
        <v>689</v>
      </c>
      <c r="C5" s="1074" t="s">
        <v>715</v>
      </c>
      <c r="D5" s="947" t="s">
        <v>663</v>
      </c>
      <c r="E5" s="1075" t="s">
        <v>951</v>
      </c>
      <c r="F5" s="843"/>
      <c r="G5" s="842"/>
      <c r="H5" s="842"/>
      <c r="I5" s="842"/>
      <c r="J5" s="842"/>
      <c r="K5" s="842"/>
      <c r="L5" s="843"/>
      <c r="M5" s="842"/>
      <c r="N5" s="842"/>
      <c r="O5" s="843"/>
      <c r="P5" s="842"/>
      <c r="Q5" s="844"/>
      <c r="R5" s="1076">
        <f t="shared" ref="R5:R12" si="0">SUM(F5:Q5)</f>
        <v>0</v>
      </c>
      <c r="S5" s="825"/>
      <c r="T5" s="1062">
        <f t="shared" ref="T5:T68" si="1">R5*S5</f>
        <v>0</v>
      </c>
      <c r="U5" s="1077"/>
      <c r="V5" s="824"/>
    </row>
    <row r="6" spans="1:22" s="826" customFormat="1" ht="22.8">
      <c r="A6" s="836"/>
      <c r="B6" s="823" t="s">
        <v>940</v>
      </c>
      <c r="C6" s="1038" t="s">
        <v>615</v>
      </c>
      <c r="D6" s="954"/>
      <c r="E6" s="1078"/>
      <c r="F6" s="843"/>
      <c r="G6" s="842"/>
      <c r="H6" s="842"/>
      <c r="I6" s="842"/>
      <c r="J6" s="842"/>
      <c r="K6" s="842"/>
      <c r="L6" s="843"/>
      <c r="M6" s="842"/>
      <c r="N6" s="842"/>
      <c r="O6" s="843"/>
      <c r="P6" s="842"/>
      <c r="Q6" s="844"/>
      <c r="R6" s="1076">
        <f t="shared" si="0"/>
        <v>0</v>
      </c>
      <c r="S6" s="825"/>
      <c r="T6" s="1062">
        <f t="shared" si="1"/>
        <v>0</v>
      </c>
      <c r="U6" s="1077">
        <v>9.8000000000000007</v>
      </c>
      <c r="V6" s="824" t="s">
        <v>921</v>
      </c>
    </row>
    <row r="7" spans="1:22" s="826" customFormat="1" ht="22.8">
      <c r="A7" s="836"/>
      <c r="B7" s="1079" t="s">
        <v>939</v>
      </c>
      <c r="C7" s="1038" t="s">
        <v>688</v>
      </c>
      <c r="D7" s="954"/>
      <c r="E7" s="1078"/>
      <c r="F7" s="843"/>
      <c r="G7" s="842"/>
      <c r="H7" s="842"/>
      <c r="I7" s="842"/>
      <c r="J7" s="842"/>
      <c r="K7" s="842"/>
      <c r="L7" s="843"/>
      <c r="M7" s="842"/>
      <c r="N7" s="842"/>
      <c r="O7" s="843"/>
      <c r="P7" s="842"/>
      <c r="Q7" s="844"/>
      <c r="R7" s="1076">
        <f t="shared" si="0"/>
        <v>0</v>
      </c>
      <c r="S7" s="825"/>
      <c r="T7" s="1062">
        <f t="shared" si="1"/>
        <v>0</v>
      </c>
      <c r="U7" s="960"/>
      <c r="V7" s="824"/>
    </row>
    <row r="8" spans="1:22" s="826" customFormat="1" ht="22.8">
      <c r="A8" s="836"/>
      <c r="B8" s="1080" t="s">
        <v>710</v>
      </c>
      <c r="C8" s="1041"/>
      <c r="D8" s="954"/>
      <c r="E8" s="1078"/>
      <c r="F8" s="843"/>
      <c r="G8" s="842"/>
      <c r="H8" s="842"/>
      <c r="I8" s="842"/>
      <c r="J8" s="842"/>
      <c r="K8" s="842"/>
      <c r="L8" s="843"/>
      <c r="M8" s="842"/>
      <c r="N8" s="842"/>
      <c r="O8" s="843"/>
      <c r="P8" s="842"/>
      <c r="Q8" s="844"/>
      <c r="R8" s="1076">
        <f t="shared" si="0"/>
        <v>0</v>
      </c>
      <c r="S8" s="825"/>
      <c r="T8" s="1062">
        <f t="shared" si="1"/>
        <v>0</v>
      </c>
      <c r="U8" s="960"/>
      <c r="V8" s="824"/>
    </row>
    <row r="9" spans="1:22" s="826" customFormat="1" ht="22.8" hidden="1">
      <c r="A9" s="836">
        <v>2</v>
      </c>
      <c r="B9" s="823" t="s">
        <v>668</v>
      </c>
      <c r="C9" s="1041" t="s">
        <v>669</v>
      </c>
      <c r="D9" s="947" t="s">
        <v>663</v>
      </c>
      <c r="E9" s="1075">
        <v>2027</v>
      </c>
      <c r="F9" s="843"/>
      <c r="G9" s="842"/>
      <c r="H9" s="842"/>
      <c r="I9" s="842"/>
      <c r="J9" s="842"/>
      <c r="K9" s="842"/>
      <c r="L9" s="843"/>
      <c r="M9" s="842"/>
      <c r="N9" s="842"/>
      <c r="O9" s="843"/>
      <c r="P9" s="842"/>
      <c r="Q9" s="844"/>
      <c r="R9" s="1076">
        <f t="shared" si="0"/>
        <v>0</v>
      </c>
      <c r="S9" s="825"/>
      <c r="T9" s="1062">
        <f t="shared" si="1"/>
        <v>0</v>
      </c>
      <c r="U9" s="960"/>
      <c r="V9" s="824"/>
    </row>
    <row r="10" spans="1:22" s="826" customFormat="1" ht="22.8" hidden="1">
      <c r="A10" s="836"/>
      <c r="B10" s="1040" t="s">
        <v>662</v>
      </c>
      <c r="C10" s="1038" t="s">
        <v>615</v>
      </c>
      <c r="D10" s="954"/>
      <c r="E10" s="1078"/>
      <c r="F10" s="843"/>
      <c r="G10" s="842"/>
      <c r="H10" s="842"/>
      <c r="I10" s="842"/>
      <c r="J10" s="842"/>
      <c r="K10" s="842"/>
      <c r="L10" s="843"/>
      <c r="M10" s="842"/>
      <c r="N10" s="842"/>
      <c r="O10" s="843"/>
      <c r="P10" s="842"/>
      <c r="Q10" s="844"/>
      <c r="R10" s="1076">
        <f t="shared" si="0"/>
        <v>0</v>
      </c>
      <c r="S10" s="825"/>
      <c r="T10" s="1062">
        <f t="shared" si="1"/>
        <v>0</v>
      </c>
      <c r="U10" s="960"/>
      <c r="V10" s="824"/>
    </row>
    <row r="11" spans="1:22" s="826" customFormat="1" ht="22.8" hidden="1">
      <c r="A11" s="836"/>
      <c r="B11" s="1040" t="s">
        <v>920</v>
      </c>
      <c r="C11" s="1038" t="s">
        <v>688</v>
      </c>
      <c r="D11" s="954"/>
      <c r="E11" s="1078"/>
      <c r="F11" s="843"/>
      <c r="G11" s="842"/>
      <c r="H11" s="842"/>
      <c r="I11" s="842"/>
      <c r="J11" s="842"/>
      <c r="K11" s="842"/>
      <c r="L11" s="843"/>
      <c r="M11" s="842"/>
      <c r="N11" s="842"/>
      <c r="O11" s="843"/>
      <c r="P11" s="842"/>
      <c r="Q11" s="844"/>
      <c r="R11" s="1076">
        <f t="shared" si="0"/>
        <v>0</v>
      </c>
      <c r="S11" s="825"/>
      <c r="T11" s="1062">
        <f t="shared" si="1"/>
        <v>0</v>
      </c>
      <c r="U11" s="960"/>
      <c r="V11" s="824"/>
    </row>
    <row r="12" spans="1:22" s="826" customFormat="1" ht="22.8" hidden="1">
      <c r="A12" s="836"/>
      <c r="B12" s="1042"/>
      <c r="C12" s="1041"/>
      <c r="D12" s="954"/>
      <c r="E12" s="1078"/>
      <c r="F12" s="843"/>
      <c r="G12" s="842"/>
      <c r="H12" s="842"/>
      <c r="I12" s="842"/>
      <c r="J12" s="842"/>
      <c r="K12" s="842"/>
      <c r="L12" s="843"/>
      <c r="M12" s="842"/>
      <c r="N12" s="842"/>
      <c r="O12" s="843"/>
      <c r="P12" s="842"/>
      <c r="Q12" s="844"/>
      <c r="R12" s="1076">
        <f t="shared" si="0"/>
        <v>0</v>
      </c>
      <c r="S12" s="825"/>
      <c r="T12" s="1062">
        <f t="shared" si="1"/>
        <v>0</v>
      </c>
      <c r="U12" s="960"/>
      <c r="V12" s="824"/>
    </row>
    <row r="13" spans="1:22" s="826" customFormat="1" ht="24" customHeight="1">
      <c r="A13" s="836">
        <v>2</v>
      </c>
      <c r="B13" s="823" t="s">
        <v>620</v>
      </c>
      <c r="C13" s="1041" t="s">
        <v>621</v>
      </c>
      <c r="D13" s="946" t="s">
        <v>663</v>
      </c>
      <c r="E13" s="1075" t="s">
        <v>951</v>
      </c>
      <c r="F13" s="843"/>
      <c r="G13" s="842"/>
      <c r="H13" s="842"/>
      <c r="I13" s="842"/>
      <c r="J13" s="842"/>
      <c r="K13" s="842"/>
      <c r="L13" s="843"/>
      <c r="M13" s="842"/>
      <c r="N13" s="842"/>
      <c r="O13" s="843"/>
      <c r="P13" s="842"/>
      <c r="Q13" s="844"/>
      <c r="R13" s="1076">
        <f>SUM(F13:Q13)</f>
        <v>0</v>
      </c>
      <c r="S13" s="825"/>
      <c r="T13" s="1062">
        <f t="shared" si="1"/>
        <v>0</v>
      </c>
      <c r="U13" s="960"/>
      <c r="V13" s="824"/>
    </row>
    <row r="14" spans="1:22" s="826" customFormat="1" ht="22.8">
      <c r="A14" s="836"/>
      <c r="B14" s="1080" t="s">
        <v>954</v>
      </c>
      <c r="C14" s="1038" t="s">
        <v>687</v>
      </c>
      <c r="D14" s="954"/>
      <c r="E14" s="1078"/>
      <c r="F14" s="843"/>
      <c r="G14" s="842"/>
      <c r="H14" s="842"/>
      <c r="I14" s="842"/>
      <c r="J14" s="842"/>
      <c r="K14" s="842"/>
      <c r="L14" s="843"/>
      <c r="M14" s="842"/>
      <c r="N14" s="842"/>
      <c r="O14" s="843"/>
      <c r="P14" s="842"/>
      <c r="Q14" s="844"/>
      <c r="R14" s="1076">
        <f>SUM(F14:Q14)</f>
        <v>0</v>
      </c>
      <c r="S14" s="825"/>
      <c r="T14" s="1062">
        <f t="shared" si="1"/>
        <v>0</v>
      </c>
      <c r="U14" s="960"/>
      <c r="V14" s="824"/>
    </row>
    <row r="15" spans="1:22" s="826" customFormat="1" ht="22.8">
      <c r="A15" s="836"/>
      <c r="B15" s="1080" t="s">
        <v>624</v>
      </c>
      <c r="C15" s="1038"/>
      <c r="D15" s="954"/>
      <c r="E15" s="1078"/>
      <c r="F15" s="843"/>
      <c r="G15" s="842"/>
      <c r="H15" s="842"/>
      <c r="I15" s="842"/>
      <c r="J15" s="842"/>
      <c r="K15" s="842"/>
      <c r="L15" s="843"/>
      <c r="M15" s="842"/>
      <c r="N15" s="842"/>
      <c r="O15" s="843"/>
      <c r="P15" s="842"/>
      <c r="Q15" s="844"/>
      <c r="R15" s="1076">
        <f>SUM(F15:Q15)</f>
        <v>0</v>
      </c>
      <c r="S15" s="825"/>
      <c r="T15" s="1062">
        <f t="shared" si="1"/>
        <v>0</v>
      </c>
      <c r="U15" s="960"/>
      <c r="V15" s="824"/>
    </row>
    <row r="16" spans="1:22" s="826" customFormat="1" ht="22.8">
      <c r="A16" s="836"/>
      <c r="B16" s="1080" t="s">
        <v>884</v>
      </c>
      <c r="C16" s="1081" t="s">
        <v>900</v>
      </c>
      <c r="D16" s="954"/>
      <c r="E16" s="1078"/>
      <c r="F16" s="843"/>
      <c r="G16" s="842"/>
      <c r="H16" s="842"/>
      <c r="I16" s="842"/>
      <c r="J16" s="842"/>
      <c r="K16" s="842"/>
      <c r="L16" s="843"/>
      <c r="M16" s="842"/>
      <c r="N16" s="842"/>
      <c r="O16" s="843"/>
      <c r="P16" s="842"/>
      <c r="Q16" s="844"/>
      <c r="R16" s="1076">
        <f>SUM(F16:Q16)</f>
        <v>0</v>
      </c>
      <c r="S16" s="825"/>
      <c r="T16" s="1062">
        <f t="shared" si="1"/>
        <v>0</v>
      </c>
      <c r="U16" s="960"/>
      <c r="V16" s="824"/>
    </row>
    <row r="17" spans="1:22" s="826" customFormat="1" ht="22.8" hidden="1">
      <c r="A17" s="1112">
        <v>4</v>
      </c>
      <c r="B17" s="823" t="s">
        <v>959</v>
      </c>
      <c r="C17" s="1041" t="s">
        <v>947</v>
      </c>
      <c r="D17" s="947" t="s">
        <v>611</v>
      </c>
      <c r="E17" s="1075">
        <v>2027</v>
      </c>
      <c r="F17" s="843"/>
      <c r="G17" s="842"/>
      <c r="H17" s="842"/>
      <c r="I17" s="842"/>
      <c r="J17" s="842"/>
      <c r="K17" s="842"/>
      <c r="L17" s="843"/>
      <c r="M17" s="842"/>
      <c r="N17" s="842"/>
      <c r="O17" s="843"/>
      <c r="P17" s="842"/>
      <c r="Q17" s="844"/>
      <c r="R17" s="1076">
        <f t="shared" ref="R17:R24" si="2">SUM(F17:Q17)</f>
        <v>0</v>
      </c>
      <c r="S17" s="825"/>
      <c r="T17" s="1062">
        <f t="shared" si="1"/>
        <v>0</v>
      </c>
      <c r="U17" s="960"/>
      <c r="V17" s="824" t="s">
        <v>675</v>
      </c>
    </row>
    <row r="18" spans="1:22" s="826" customFormat="1" ht="22.8" hidden="1">
      <c r="A18" s="836"/>
      <c r="B18" s="1040" t="s">
        <v>662</v>
      </c>
      <c r="C18" s="1038" t="s">
        <v>615</v>
      </c>
      <c r="D18" s="954"/>
      <c r="E18" s="1078"/>
      <c r="F18" s="843"/>
      <c r="G18" s="842"/>
      <c r="H18" s="842"/>
      <c r="I18" s="842"/>
      <c r="J18" s="842"/>
      <c r="K18" s="842"/>
      <c r="L18" s="843"/>
      <c r="M18" s="842"/>
      <c r="N18" s="842"/>
      <c r="O18" s="843"/>
      <c r="P18" s="842"/>
      <c r="Q18" s="844"/>
      <c r="R18" s="1076">
        <f t="shared" si="2"/>
        <v>0</v>
      </c>
      <c r="S18" s="825"/>
      <c r="T18" s="1062">
        <f t="shared" si="1"/>
        <v>0</v>
      </c>
      <c r="U18" s="960"/>
      <c r="V18" s="824"/>
    </row>
    <row r="19" spans="1:22" s="826" customFormat="1" ht="22.8" hidden="1">
      <c r="A19" s="836"/>
      <c r="B19" s="823" t="s">
        <v>671</v>
      </c>
      <c r="C19" s="1038" t="s">
        <v>688</v>
      </c>
      <c r="D19" s="954"/>
      <c r="E19" s="1078"/>
      <c r="F19" s="843"/>
      <c r="G19" s="842"/>
      <c r="H19" s="842"/>
      <c r="I19" s="842"/>
      <c r="J19" s="842"/>
      <c r="K19" s="842"/>
      <c r="L19" s="843"/>
      <c r="M19" s="842"/>
      <c r="N19" s="842"/>
      <c r="O19" s="843"/>
      <c r="P19" s="842"/>
      <c r="Q19" s="844"/>
      <c r="R19" s="1076">
        <f t="shared" si="2"/>
        <v>0</v>
      </c>
      <c r="S19" s="825"/>
      <c r="T19" s="1062">
        <f t="shared" si="1"/>
        <v>0</v>
      </c>
      <c r="U19" s="960"/>
      <c r="V19" s="824"/>
    </row>
    <row r="20" spans="1:22" s="826" customFormat="1" ht="22.8" hidden="1">
      <c r="A20" s="836"/>
      <c r="B20" s="823" t="s">
        <v>672</v>
      </c>
      <c r="C20" s="1041"/>
      <c r="D20" s="954"/>
      <c r="E20" s="1078"/>
      <c r="F20" s="843"/>
      <c r="G20" s="842"/>
      <c r="H20" s="842"/>
      <c r="I20" s="842"/>
      <c r="J20" s="842"/>
      <c r="K20" s="842"/>
      <c r="L20" s="843"/>
      <c r="M20" s="842"/>
      <c r="N20" s="842"/>
      <c r="O20" s="843"/>
      <c r="P20" s="842"/>
      <c r="Q20" s="844"/>
      <c r="R20" s="1076">
        <f t="shared" si="2"/>
        <v>0</v>
      </c>
      <c r="S20" s="825"/>
      <c r="T20" s="1062">
        <f t="shared" si="1"/>
        <v>0</v>
      </c>
      <c r="U20" s="960"/>
      <c r="V20" s="824"/>
    </row>
    <row r="21" spans="1:22" s="826" customFormat="1" ht="22.8" hidden="1">
      <c r="A21" s="836"/>
      <c r="B21" s="823" t="s">
        <v>673</v>
      </c>
      <c r="C21" s="1041"/>
      <c r="D21" s="954"/>
      <c r="E21" s="1078"/>
      <c r="F21" s="843"/>
      <c r="G21" s="842"/>
      <c r="H21" s="842"/>
      <c r="I21" s="842"/>
      <c r="J21" s="842"/>
      <c r="K21" s="842"/>
      <c r="L21" s="843"/>
      <c r="M21" s="842"/>
      <c r="N21" s="842"/>
      <c r="O21" s="843"/>
      <c r="P21" s="842"/>
      <c r="Q21" s="844"/>
      <c r="R21" s="1076">
        <f t="shared" si="2"/>
        <v>0</v>
      </c>
      <c r="S21" s="825"/>
      <c r="T21" s="1062">
        <f t="shared" si="1"/>
        <v>0</v>
      </c>
      <c r="U21" s="960"/>
      <c r="V21" s="824"/>
    </row>
    <row r="22" spans="1:22" s="826" customFormat="1" ht="22.8" hidden="1">
      <c r="A22" s="836"/>
      <c r="B22" s="823" t="s">
        <v>674</v>
      </c>
      <c r="C22" s="1041"/>
      <c r="D22" s="954"/>
      <c r="E22" s="1078"/>
      <c r="F22" s="843"/>
      <c r="G22" s="842"/>
      <c r="H22" s="842"/>
      <c r="I22" s="842"/>
      <c r="J22" s="842"/>
      <c r="K22" s="842"/>
      <c r="L22" s="843"/>
      <c r="M22" s="842"/>
      <c r="N22" s="842"/>
      <c r="O22" s="843"/>
      <c r="P22" s="842"/>
      <c r="Q22" s="844"/>
      <c r="R22" s="1076">
        <f t="shared" si="2"/>
        <v>0</v>
      </c>
      <c r="S22" s="825"/>
      <c r="T22" s="1062">
        <f t="shared" si="1"/>
        <v>0</v>
      </c>
      <c r="U22" s="960"/>
      <c r="V22" s="824"/>
    </row>
    <row r="23" spans="1:22" s="826" customFormat="1" ht="22.8">
      <c r="A23" s="1112">
        <v>3</v>
      </c>
      <c r="B23" s="823" t="s">
        <v>961</v>
      </c>
      <c r="C23" s="1041" t="s">
        <v>692</v>
      </c>
      <c r="D23" s="947" t="s">
        <v>663</v>
      </c>
      <c r="E23" s="1075">
        <v>2027</v>
      </c>
      <c r="F23" s="843"/>
      <c r="G23" s="842"/>
      <c r="H23" s="842"/>
      <c r="I23" s="842"/>
      <c r="J23" s="842"/>
      <c r="K23" s="842"/>
      <c r="L23" s="843"/>
      <c r="M23" s="842"/>
      <c r="N23" s="842"/>
      <c r="O23" s="843"/>
      <c r="P23" s="842"/>
      <c r="Q23" s="844"/>
      <c r="R23" s="1076">
        <f t="shared" si="2"/>
        <v>0</v>
      </c>
      <c r="S23" s="825"/>
      <c r="T23" s="1062">
        <f t="shared" si="1"/>
        <v>0</v>
      </c>
      <c r="U23" s="960"/>
      <c r="V23" s="824"/>
    </row>
    <row r="24" spans="1:22" s="826" customFormat="1" ht="22.8">
      <c r="A24" s="836"/>
      <c r="B24" s="1080" t="s">
        <v>978</v>
      </c>
      <c r="C24" s="1038" t="s">
        <v>615</v>
      </c>
      <c r="D24" s="954"/>
      <c r="E24" s="1078"/>
      <c r="F24" s="843"/>
      <c r="G24" s="842"/>
      <c r="H24" s="842"/>
      <c r="I24" s="842"/>
      <c r="J24" s="842"/>
      <c r="K24" s="842"/>
      <c r="L24" s="843"/>
      <c r="M24" s="842"/>
      <c r="N24" s="842"/>
      <c r="O24" s="843"/>
      <c r="P24" s="842"/>
      <c r="Q24" s="844"/>
      <c r="R24" s="1076">
        <f t="shared" si="2"/>
        <v>0</v>
      </c>
      <c r="S24" s="825"/>
      <c r="T24" s="1062">
        <f t="shared" si="1"/>
        <v>0</v>
      </c>
      <c r="U24" s="1076">
        <v>26</v>
      </c>
      <c r="V24" s="1027"/>
    </row>
    <row r="25" spans="1:22" s="826" customFormat="1" ht="22.8">
      <c r="A25" s="836"/>
      <c r="B25" s="1080" t="s">
        <v>955</v>
      </c>
      <c r="C25" s="1038" t="s">
        <v>688</v>
      </c>
      <c r="D25" s="954"/>
      <c r="E25" s="1078"/>
      <c r="F25" s="843"/>
      <c r="G25" s="842"/>
      <c r="H25" s="842"/>
      <c r="I25" s="842"/>
      <c r="J25" s="842"/>
      <c r="K25" s="842"/>
      <c r="L25" s="843"/>
      <c r="M25" s="842"/>
      <c r="N25" s="842"/>
      <c r="O25" s="843"/>
      <c r="P25" s="842"/>
      <c r="Q25" s="844"/>
      <c r="R25" s="1076">
        <f>SUM(F25:Q25)</f>
        <v>0</v>
      </c>
      <c r="S25" s="825"/>
      <c r="T25" s="1062">
        <f t="shared" si="1"/>
        <v>0</v>
      </c>
      <c r="U25" s="960"/>
      <c r="V25" s="824"/>
    </row>
    <row r="26" spans="1:22" s="826" customFormat="1" ht="22.8">
      <c r="A26" s="836"/>
      <c r="B26" s="1080" t="s">
        <v>979</v>
      </c>
      <c r="C26" s="1038" t="s">
        <v>973</v>
      </c>
      <c r="D26" s="954"/>
      <c r="E26" s="1078"/>
      <c r="F26" s="843"/>
      <c r="G26" s="842"/>
      <c r="H26" s="842"/>
      <c r="I26" s="842"/>
      <c r="J26" s="842"/>
      <c r="K26" s="842"/>
      <c r="L26" s="843"/>
      <c r="M26" s="842"/>
      <c r="N26" s="842"/>
      <c r="O26" s="843"/>
      <c r="P26" s="842"/>
      <c r="Q26" s="844"/>
      <c r="R26" s="1076">
        <f>SUM(F26:Q26)</f>
        <v>0</v>
      </c>
      <c r="S26" s="825"/>
      <c r="T26" s="1062">
        <f t="shared" si="1"/>
        <v>0</v>
      </c>
      <c r="U26" s="960"/>
      <c r="V26" s="824"/>
    </row>
    <row r="27" spans="1:22" s="826" customFormat="1" ht="22.8">
      <c r="A27" s="836"/>
      <c r="B27" s="1080" t="s">
        <v>956</v>
      </c>
      <c r="C27" s="1038"/>
      <c r="D27" s="954"/>
      <c r="E27" s="1078"/>
      <c r="F27" s="843"/>
      <c r="G27" s="842"/>
      <c r="H27" s="842"/>
      <c r="I27" s="842"/>
      <c r="J27" s="842"/>
      <c r="K27" s="842"/>
      <c r="L27" s="843"/>
      <c r="M27" s="842"/>
      <c r="N27" s="842"/>
      <c r="O27" s="843"/>
      <c r="P27" s="842"/>
      <c r="Q27" s="844"/>
      <c r="R27" s="1076"/>
      <c r="S27" s="825"/>
      <c r="T27" s="1062">
        <f t="shared" si="1"/>
        <v>0</v>
      </c>
      <c r="U27" s="960"/>
      <c r="V27" s="824"/>
    </row>
    <row r="28" spans="1:22" s="826" customFormat="1" ht="22.8">
      <c r="A28" s="836"/>
      <c r="B28" s="1040" t="s">
        <v>980</v>
      </c>
      <c r="C28" s="1038"/>
      <c r="D28" s="954"/>
      <c r="E28" s="1078"/>
      <c r="F28" s="843"/>
      <c r="G28" s="842"/>
      <c r="H28" s="842"/>
      <c r="I28" s="842"/>
      <c r="J28" s="842"/>
      <c r="K28" s="842"/>
      <c r="L28" s="843"/>
      <c r="M28" s="842"/>
      <c r="N28" s="842"/>
      <c r="O28" s="843"/>
      <c r="P28" s="842"/>
      <c r="Q28" s="844"/>
      <c r="R28" s="1076"/>
      <c r="S28" s="825"/>
      <c r="T28" s="1062">
        <f t="shared" si="1"/>
        <v>0</v>
      </c>
      <c r="U28" s="960"/>
      <c r="V28" s="824"/>
    </row>
    <row r="29" spans="1:22" s="826" customFormat="1" ht="22.8" hidden="1">
      <c r="A29" s="836">
        <v>6</v>
      </c>
      <c r="B29" s="823" t="s">
        <v>693</v>
      </c>
      <c r="C29" s="1041" t="s">
        <v>694</v>
      </c>
      <c r="D29" s="947" t="s">
        <v>663</v>
      </c>
      <c r="E29" s="1075" t="s">
        <v>951</v>
      </c>
      <c r="F29" s="843"/>
      <c r="G29" s="842"/>
      <c r="H29" s="842"/>
      <c r="I29" s="842"/>
      <c r="J29" s="842"/>
      <c r="K29" s="842"/>
      <c r="L29" s="843"/>
      <c r="M29" s="842"/>
      <c r="N29" s="842"/>
      <c r="O29" s="843"/>
      <c r="P29" s="842"/>
      <c r="Q29" s="844"/>
      <c r="R29" s="1076">
        <f>SUM(F29:Q29)</f>
        <v>0</v>
      </c>
      <c r="S29" s="825"/>
      <c r="T29" s="1062">
        <f t="shared" si="1"/>
        <v>0</v>
      </c>
      <c r="U29" s="960"/>
      <c r="V29" s="824"/>
    </row>
    <row r="30" spans="1:22" s="826" customFormat="1" ht="22.8" hidden="1">
      <c r="A30" s="836"/>
      <c r="B30" s="823" t="s">
        <v>892</v>
      </c>
      <c r="C30" s="1038" t="s">
        <v>615</v>
      </c>
      <c r="D30" s="954"/>
      <c r="E30" s="1078"/>
      <c r="F30" s="843"/>
      <c r="G30" s="842"/>
      <c r="H30" s="842"/>
      <c r="I30" s="842"/>
      <c r="J30" s="842"/>
      <c r="K30" s="842"/>
      <c r="L30" s="843"/>
      <c r="M30" s="842"/>
      <c r="N30" s="842"/>
      <c r="O30" s="843"/>
      <c r="P30" s="842"/>
      <c r="Q30" s="844"/>
      <c r="R30" s="1076"/>
      <c r="S30" s="825"/>
      <c r="T30" s="1062">
        <f t="shared" si="1"/>
        <v>0</v>
      </c>
      <c r="U30" s="842">
        <v>0.7</v>
      </c>
      <c r="V30" s="824" t="s">
        <v>898</v>
      </c>
    </row>
    <row r="31" spans="1:22" s="826" customFormat="1" ht="22.8" hidden="1">
      <c r="A31" s="836"/>
      <c r="B31" s="823" t="s">
        <v>893</v>
      </c>
      <c r="C31" s="1038"/>
      <c r="D31" s="954"/>
      <c r="E31" s="1078"/>
      <c r="F31" s="843"/>
      <c r="G31" s="842"/>
      <c r="H31" s="842"/>
      <c r="I31" s="842"/>
      <c r="J31" s="842"/>
      <c r="K31" s="842"/>
      <c r="L31" s="843"/>
      <c r="M31" s="842"/>
      <c r="N31" s="842"/>
      <c r="O31" s="843"/>
      <c r="P31" s="842"/>
      <c r="Q31" s="844"/>
      <c r="R31" s="1076">
        <f t="shared" ref="R31:R94" si="3">SUM(F31:Q31)</f>
        <v>0</v>
      </c>
      <c r="S31" s="825"/>
      <c r="T31" s="1062">
        <f t="shared" si="1"/>
        <v>0</v>
      </c>
      <c r="U31" s="960"/>
      <c r="V31" s="824"/>
    </row>
    <row r="32" spans="1:22" s="826" customFormat="1" ht="22.8" hidden="1">
      <c r="A32" s="836"/>
      <c r="B32" s="823" t="s">
        <v>894</v>
      </c>
      <c r="C32" s="1038"/>
      <c r="D32" s="954"/>
      <c r="E32" s="1078"/>
      <c r="F32" s="843"/>
      <c r="G32" s="842"/>
      <c r="H32" s="842"/>
      <c r="I32" s="842"/>
      <c r="J32" s="842"/>
      <c r="K32" s="842"/>
      <c r="L32" s="843"/>
      <c r="M32" s="842"/>
      <c r="N32" s="842"/>
      <c r="O32" s="843"/>
      <c r="P32" s="842"/>
      <c r="Q32" s="844"/>
      <c r="R32" s="1076">
        <f t="shared" si="3"/>
        <v>0</v>
      </c>
      <c r="S32" s="825"/>
      <c r="T32" s="1062">
        <f t="shared" si="1"/>
        <v>0</v>
      </c>
      <c r="U32" s="960"/>
      <c r="V32" s="824"/>
    </row>
    <row r="33" spans="1:22" s="826" customFormat="1" ht="22.8" hidden="1">
      <c r="A33" s="836"/>
      <c r="B33" s="823" t="s">
        <v>895</v>
      </c>
      <c r="C33" s="1038"/>
      <c r="D33" s="954"/>
      <c r="E33" s="1078"/>
      <c r="F33" s="843"/>
      <c r="G33" s="842"/>
      <c r="H33" s="842"/>
      <c r="I33" s="842"/>
      <c r="J33" s="842"/>
      <c r="K33" s="842"/>
      <c r="L33" s="843"/>
      <c r="M33" s="842"/>
      <c r="N33" s="842"/>
      <c r="O33" s="843"/>
      <c r="P33" s="842"/>
      <c r="Q33" s="844"/>
      <c r="R33" s="1076">
        <f t="shared" si="3"/>
        <v>0</v>
      </c>
      <c r="S33" s="825"/>
      <c r="T33" s="1062">
        <f t="shared" si="1"/>
        <v>0</v>
      </c>
      <c r="U33" s="960"/>
      <c r="V33" s="824"/>
    </row>
    <row r="34" spans="1:22" s="826" customFormat="1" ht="22.8" hidden="1">
      <c r="A34" s="836"/>
      <c r="B34" s="823" t="s">
        <v>896</v>
      </c>
      <c r="C34" s="1038"/>
      <c r="D34" s="954"/>
      <c r="E34" s="1078"/>
      <c r="F34" s="843"/>
      <c r="G34" s="842"/>
      <c r="H34" s="842"/>
      <c r="I34" s="842"/>
      <c r="J34" s="842"/>
      <c r="K34" s="842"/>
      <c r="L34" s="843"/>
      <c r="M34" s="842"/>
      <c r="N34" s="842"/>
      <c r="O34" s="843"/>
      <c r="P34" s="842"/>
      <c r="Q34" s="844"/>
      <c r="R34" s="1076">
        <f t="shared" si="3"/>
        <v>0</v>
      </c>
      <c r="S34" s="825"/>
      <c r="T34" s="1062">
        <f t="shared" si="1"/>
        <v>0</v>
      </c>
      <c r="U34" s="960"/>
      <c r="V34" s="824"/>
    </row>
    <row r="35" spans="1:22" s="826" customFormat="1" ht="22.8" hidden="1">
      <c r="A35" s="836"/>
      <c r="B35" s="1080" t="s">
        <v>897</v>
      </c>
      <c r="C35" s="1038"/>
      <c r="D35" s="954"/>
      <c r="E35" s="1078"/>
      <c r="F35" s="843"/>
      <c r="G35" s="842"/>
      <c r="H35" s="842"/>
      <c r="I35" s="842"/>
      <c r="J35" s="842"/>
      <c r="K35" s="842"/>
      <c r="L35" s="843"/>
      <c r="M35" s="842"/>
      <c r="N35" s="842"/>
      <c r="O35" s="843"/>
      <c r="P35" s="842"/>
      <c r="Q35" s="844"/>
      <c r="R35" s="1076">
        <f t="shared" si="3"/>
        <v>0</v>
      </c>
      <c r="S35" s="825"/>
      <c r="T35" s="1062">
        <f t="shared" si="1"/>
        <v>0</v>
      </c>
      <c r="U35" s="960"/>
      <c r="V35" s="824"/>
    </row>
    <row r="36" spans="1:22" s="826" customFormat="1" ht="22.8" hidden="1">
      <c r="A36" s="836"/>
      <c r="B36" s="1042"/>
      <c r="C36" s="1038"/>
      <c r="D36" s="954"/>
      <c r="E36" s="1078"/>
      <c r="F36" s="843"/>
      <c r="G36" s="842"/>
      <c r="H36" s="842"/>
      <c r="I36" s="842"/>
      <c r="J36" s="842"/>
      <c r="K36" s="842"/>
      <c r="L36" s="843"/>
      <c r="M36" s="842"/>
      <c r="N36" s="842"/>
      <c r="O36" s="843"/>
      <c r="P36" s="842"/>
      <c r="Q36" s="844"/>
      <c r="R36" s="1076">
        <f t="shared" si="3"/>
        <v>0</v>
      </c>
      <c r="S36" s="825"/>
      <c r="T36" s="1062">
        <f t="shared" si="1"/>
        <v>0</v>
      </c>
      <c r="U36" s="960"/>
      <c r="V36" s="824"/>
    </row>
    <row r="37" spans="1:22" s="826" customFormat="1" ht="22.8" hidden="1">
      <c r="A37" s="836">
        <v>7</v>
      </c>
      <c r="B37" s="823" t="s">
        <v>722</v>
      </c>
      <c r="C37" s="1041" t="s">
        <v>719</v>
      </c>
      <c r="D37" s="946" t="s">
        <v>663</v>
      </c>
      <c r="E37" s="1075">
        <v>2027</v>
      </c>
      <c r="F37" s="1069"/>
      <c r="G37" s="1060"/>
      <c r="H37" s="1060"/>
      <c r="I37" s="1060"/>
      <c r="J37" s="1060"/>
      <c r="K37" s="1060"/>
      <c r="L37" s="843"/>
      <c r="M37" s="842"/>
      <c r="N37" s="842"/>
      <c r="O37" s="843"/>
      <c r="P37" s="842"/>
      <c r="Q37" s="844"/>
      <c r="R37" s="1076">
        <f t="shared" si="3"/>
        <v>0</v>
      </c>
      <c r="S37" s="825"/>
      <c r="T37" s="1062">
        <f t="shared" si="1"/>
        <v>0</v>
      </c>
      <c r="U37" s="842"/>
      <c r="V37" s="824"/>
    </row>
    <row r="38" spans="1:22" s="826" customFormat="1" ht="22.8" hidden="1">
      <c r="A38" s="836"/>
      <c r="B38" s="823" t="s">
        <v>721</v>
      </c>
      <c r="C38" s="1038" t="s">
        <v>615</v>
      </c>
      <c r="D38" s="954"/>
      <c r="E38" s="1072"/>
      <c r="F38" s="1069"/>
      <c r="G38" s="1060"/>
      <c r="H38" s="1060"/>
      <c r="I38" s="1060"/>
      <c r="J38" s="1060"/>
      <c r="K38" s="1060"/>
      <c r="L38" s="843"/>
      <c r="M38" s="1060"/>
      <c r="N38" s="842"/>
      <c r="O38" s="843"/>
      <c r="P38" s="842"/>
      <c r="Q38" s="844"/>
      <c r="R38" s="1076">
        <f t="shared" si="3"/>
        <v>0</v>
      </c>
      <c r="S38" s="825"/>
      <c r="T38" s="1062">
        <f t="shared" si="1"/>
        <v>0</v>
      </c>
      <c r="U38" s="842">
        <v>1.7</v>
      </c>
      <c r="V38" s="824"/>
    </row>
    <row r="39" spans="1:22" s="826" customFormat="1" ht="22.8" hidden="1">
      <c r="A39" s="836"/>
      <c r="B39" s="823" t="s">
        <v>725</v>
      </c>
      <c r="C39" s="1038" t="s">
        <v>688</v>
      </c>
      <c r="D39" s="954"/>
      <c r="E39" s="1072"/>
      <c r="F39" s="1069"/>
      <c r="G39" s="1060"/>
      <c r="H39" s="1060"/>
      <c r="I39" s="1060"/>
      <c r="J39" s="1060"/>
      <c r="K39" s="1060"/>
      <c r="L39" s="843"/>
      <c r="M39" s="842"/>
      <c r="N39" s="842"/>
      <c r="O39" s="843"/>
      <c r="P39" s="842"/>
      <c r="Q39" s="843"/>
      <c r="R39" s="1076">
        <f t="shared" si="3"/>
        <v>0</v>
      </c>
      <c r="S39" s="825"/>
      <c r="T39" s="1062">
        <f t="shared" si="1"/>
        <v>0</v>
      </c>
      <c r="U39" s="842"/>
      <c r="V39" s="824"/>
    </row>
    <row r="40" spans="1:22" s="826" customFormat="1" ht="22.8" hidden="1">
      <c r="A40" s="836"/>
      <c r="B40" s="823" t="s">
        <v>724</v>
      </c>
      <c r="C40" s="1038"/>
      <c r="D40" s="954"/>
      <c r="E40" s="1072"/>
      <c r="F40" s="1069"/>
      <c r="G40" s="1060"/>
      <c r="H40" s="1060"/>
      <c r="I40" s="1060"/>
      <c r="J40" s="1060"/>
      <c r="K40" s="1060"/>
      <c r="L40" s="843"/>
      <c r="M40" s="842"/>
      <c r="N40" s="842"/>
      <c r="O40" s="843"/>
      <c r="P40" s="842"/>
      <c r="Q40" s="843"/>
      <c r="R40" s="1076">
        <f t="shared" si="3"/>
        <v>0</v>
      </c>
      <c r="S40" s="825"/>
      <c r="T40" s="1062">
        <f t="shared" si="1"/>
        <v>0</v>
      </c>
      <c r="U40" s="842"/>
      <c r="V40" s="824"/>
    </row>
    <row r="41" spans="1:22" s="826" customFormat="1" ht="22.8" hidden="1">
      <c r="A41" s="836"/>
      <c r="B41" s="823" t="s">
        <v>723</v>
      </c>
      <c r="C41" s="1038"/>
      <c r="D41" s="954"/>
      <c r="E41" s="1072"/>
      <c r="F41" s="1069"/>
      <c r="G41" s="1060"/>
      <c r="H41" s="1060"/>
      <c r="I41" s="1060"/>
      <c r="J41" s="1060"/>
      <c r="K41" s="1060"/>
      <c r="L41" s="843"/>
      <c r="M41" s="842"/>
      <c r="N41" s="842"/>
      <c r="O41" s="843"/>
      <c r="P41" s="842"/>
      <c r="Q41" s="844"/>
      <c r="R41" s="1076">
        <f t="shared" si="3"/>
        <v>0</v>
      </c>
      <c r="S41" s="825"/>
      <c r="T41" s="1062">
        <f t="shared" si="1"/>
        <v>0</v>
      </c>
      <c r="U41" s="842"/>
      <c r="V41" s="824"/>
    </row>
    <row r="42" spans="1:22" s="826" customFormat="1" ht="22.8" hidden="1">
      <c r="A42" s="836"/>
      <c r="B42" s="1040" t="s">
        <v>720</v>
      </c>
      <c r="C42" s="1038"/>
      <c r="D42" s="954"/>
      <c r="E42" s="1072"/>
      <c r="F42" s="1069"/>
      <c r="G42" s="1060"/>
      <c r="H42" s="1060"/>
      <c r="I42" s="1060"/>
      <c r="J42" s="1060"/>
      <c r="K42" s="1060"/>
      <c r="L42" s="843"/>
      <c r="M42" s="842"/>
      <c r="N42" s="842"/>
      <c r="O42" s="843"/>
      <c r="P42" s="842"/>
      <c r="Q42" s="844"/>
      <c r="R42" s="1076">
        <f t="shared" si="3"/>
        <v>0</v>
      </c>
      <c r="S42" s="825"/>
      <c r="T42" s="1062">
        <f t="shared" si="1"/>
        <v>0</v>
      </c>
      <c r="U42" s="842"/>
      <c r="V42" s="824"/>
    </row>
    <row r="43" spans="1:22" s="826" customFormat="1" ht="22.8" hidden="1">
      <c r="A43" s="1066">
        <v>8</v>
      </c>
      <c r="B43" s="823" t="s">
        <v>744</v>
      </c>
      <c r="C43" s="1041" t="s">
        <v>701</v>
      </c>
      <c r="D43" s="947" t="s">
        <v>663</v>
      </c>
      <c r="E43" s="1075">
        <v>2027</v>
      </c>
      <c r="F43" s="843"/>
      <c r="G43" s="842"/>
      <c r="H43" s="842"/>
      <c r="I43" s="842"/>
      <c r="J43" s="842"/>
      <c r="K43" s="842"/>
      <c r="L43" s="843"/>
      <c r="M43" s="842"/>
      <c r="N43" s="842"/>
      <c r="O43" s="843"/>
      <c r="P43" s="842"/>
      <c r="Q43" s="844"/>
      <c r="R43" s="1076">
        <f t="shared" si="3"/>
        <v>0</v>
      </c>
      <c r="S43" s="825"/>
      <c r="T43" s="1062">
        <f t="shared" si="1"/>
        <v>0</v>
      </c>
      <c r="U43" s="960"/>
      <c r="V43" s="824"/>
    </row>
    <row r="44" spans="1:22" s="826" customFormat="1" ht="22.8" hidden="1">
      <c r="A44" s="836"/>
      <c r="B44" s="823" t="s">
        <v>745</v>
      </c>
      <c r="C44" s="1038" t="s">
        <v>615</v>
      </c>
      <c r="D44" s="954"/>
      <c r="E44" s="1078"/>
      <c r="F44" s="843"/>
      <c r="G44" s="842"/>
      <c r="H44" s="841"/>
      <c r="I44" s="825"/>
      <c r="J44" s="844"/>
      <c r="K44" s="842"/>
      <c r="L44" s="843"/>
      <c r="M44" s="842"/>
      <c r="N44" s="842"/>
      <c r="O44" s="843"/>
      <c r="P44" s="842"/>
      <c r="Q44" s="842"/>
      <c r="R44" s="1076">
        <f t="shared" si="3"/>
        <v>0</v>
      </c>
      <c r="S44" s="825"/>
      <c r="T44" s="1062">
        <f t="shared" si="1"/>
        <v>0</v>
      </c>
      <c r="U44" s="842">
        <v>1.5</v>
      </c>
      <c r="V44" s="824"/>
    </row>
    <row r="45" spans="1:22" s="826" customFormat="1" ht="22.8" hidden="1">
      <c r="A45" s="836"/>
      <c r="B45" s="823" t="s">
        <v>787</v>
      </c>
      <c r="C45" s="1038"/>
      <c r="D45" s="954"/>
      <c r="E45" s="1078"/>
      <c r="F45" s="843"/>
      <c r="G45" s="842"/>
      <c r="H45" s="841"/>
      <c r="I45" s="825"/>
      <c r="J45" s="844"/>
      <c r="K45" s="842"/>
      <c r="L45" s="843"/>
      <c r="M45" s="842"/>
      <c r="N45" s="842"/>
      <c r="O45" s="843"/>
      <c r="P45" s="842"/>
      <c r="Q45" s="844"/>
      <c r="R45" s="1076">
        <f t="shared" si="3"/>
        <v>0</v>
      </c>
      <c r="S45" s="825"/>
      <c r="T45" s="1062">
        <f t="shared" si="1"/>
        <v>0</v>
      </c>
      <c r="U45" s="842"/>
      <c r="V45" s="824"/>
    </row>
    <row r="46" spans="1:22" s="826" customFormat="1" ht="84" hidden="1">
      <c r="A46" s="836"/>
      <c r="B46" s="1082" t="s">
        <v>713</v>
      </c>
      <c r="C46" s="1083"/>
      <c r="D46" s="954"/>
      <c r="E46" s="1078"/>
      <c r="F46" s="843"/>
      <c r="G46" s="842"/>
      <c r="H46" s="842"/>
      <c r="I46" s="842"/>
      <c r="J46" s="842"/>
      <c r="K46" s="842"/>
      <c r="L46" s="843"/>
      <c r="M46" s="842"/>
      <c r="N46" s="842"/>
      <c r="O46" s="843"/>
      <c r="P46" s="842"/>
      <c r="Q46" s="844"/>
      <c r="R46" s="1076">
        <f t="shared" si="3"/>
        <v>0</v>
      </c>
      <c r="S46" s="825"/>
      <c r="T46" s="1062">
        <f t="shared" si="1"/>
        <v>0</v>
      </c>
      <c r="U46" s="842"/>
      <c r="V46" s="824"/>
    </row>
    <row r="47" spans="1:22" s="826" customFormat="1" ht="22.8" hidden="1">
      <c r="A47" s="836"/>
      <c r="B47" s="1040" t="s">
        <v>746</v>
      </c>
      <c r="C47" s="1038"/>
      <c r="D47" s="954"/>
      <c r="E47" s="1078"/>
      <c r="F47" s="843"/>
      <c r="G47" s="842"/>
      <c r="H47" s="842"/>
      <c r="I47" s="842"/>
      <c r="J47" s="842"/>
      <c r="K47" s="842"/>
      <c r="L47" s="843"/>
      <c r="M47" s="842"/>
      <c r="N47" s="842"/>
      <c r="O47" s="843"/>
      <c r="P47" s="842"/>
      <c r="Q47" s="844"/>
      <c r="R47" s="1076">
        <f t="shared" si="3"/>
        <v>0</v>
      </c>
      <c r="S47" s="825"/>
      <c r="T47" s="1062">
        <f t="shared" si="1"/>
        <v>0</v>
      </c>
      <c r="U47" s="842"/>
      <c r="V47" s="824"/>
    </row>
    <row r="48" spans="1:22" s="826" customFormat="1" ht="22.8" hidden="1">
      <c r="A48" s="1066">
        <v>9</v>
      </c>
      <c r="B48" s="823" t="s">
        <v>722</v>
      </c>
      <c r="C48" s="1041" t="s">
        <v>726</v>
      </c>
      <c r="D48" s="946" t="s">
        <v>663</v>
      </c>
      <c r="E48" s="1075">
        <v>2026</v>
      </c>
      <c r="F48" s="1069"/>
      <c r="G48" s="1060"/>
      <c r="H48" s="1060"/>
      <c r="I48" s="1060"/>
      <c r="J48" s="1060"/>
      <c r="K48" s="1060"/>
      <c r="L48" s="843"/>
      <c r="M48" s="842"/>
      <c r="N48" s="842"/>
      <c r="O48" s="843"/>
      <c r="P48" s="842"/>
      <c r="Q48" s="844"/>
      <c r="R48" s="1076">
        <f t="shared" si="3"/>
        <v>0</v>
      </c>
      <c r="S48" s="825"/>
      <c r="T48" s="1062">
        <f t="shared" si="1"/>
        <v>0</v>
      </c>
      <c r="U48" s="842"/>
      <c r="V48" s="824"/>
    </row>
    <row r="49" spans="1:22" s="826" customFormat="1" ht="22.8" hidden="1">
      <c r="A49" s="836"/>
      <c r="B49" s="823" t="s">
        <v>721</v>
      </c>
      <c r="C49" s="1038" t="s">
        <v>615</v>
      </c>
      <c r="D49" s="954"/>
      <c r="E49" s="1072"/>
      <c r="F49" s="1069"/>
      <c r="G49" s="1060"/>
      <c r="H49" s="1060"/>
      <c r="I49" s="1060"/>
      <c r="J49" s="1060"/>
      <c r="K49" s="1060"/>
      <c r="L49" s="843"/>
      <c r="M49" s="842"/>
      <c r="N49" s="842"/>
      <c r="O49" s="843"/>
      <c r="P49" s="842"/>
      <c r="Q49" s="844"/>
      <c r="R49" s="1076">
        <f t="shared" si="3"/>
        <v>0</v>
      </c>
      <c r="S49" s="825"/>
      <c r="T49" s="1062">
        <f t="shared" si="1"/>
        <v>0</v>
      </c>
      <c r="U49" s="842"/>
      <c r="V49" s="824"/>
    </row>
    <row r="50" spans="1:22" s="826" customFormat="1" ht="22.8" hidden="1">
      <c r="A50" s="836"/>
      <c r="B50" s="823" t="s">
        <v>725</v>
      </c>
      <c r="C50" s="1038"/>
      <c r="D50" s="954"/>
      <c r="E50" s="1072"/>
      <c r="F50" s="1069"/>
      <c r="G50" s="1060"/>
      <c r="H50" s="1060"/>
      <c r="I50" s="1060"/>
      <c r="J50" s="1060"/>
      <c r="K50" s="1060"/>
      <c r="L50" s="843"/>
      <c r="M50" s="842"/>
      <c r="N50" s="842"/>
      <c r="O50" s="843"/>
      <c r="P50" s="842"/>
      <c r="Q50" s="844"/>
      <c r="R50" s="1076">
        <f t="shared" si="3"/>
        <v>0</v>
      </c>
      <c r="S50" s="825"/>
      <c r="T50" s="1062">
        <f t="shared" si="1"/>
        <v>0</v>
      </c>
      <c r="U50" s="842"/>
      <c r="V50" s="824"/>
    </row>
    <row r="51" spans="1:22" s="826" customFormat="1" ht="22.8" hidden="1">
      <c r="A51" s="836"/>
      <c r="B51" s="823" t="s">
        <v>724</v>
      </c>
      <c r="C51" s="1038"/>
      <c r="D51" s="954"/>
      <c r="E51" s="1072"/>
      <c r="F51" s="1069"/>
      <c r="G51" s="1060"/>
      <c r="H51" s="1060"/>
      <c r="I51" s="1060"/>
      <c r="J51" s="1060"/>
      <c r="K51" s="1060"/>
      <c r="L51" s="843"/>
      <c r="M51" s="842"/>
      <c r="N51" s="842"/>
      <c r="O51" s="843"/>
      <c r="P51" s="842"/>
      <c r="Q51" s="844"/>
      <c r="R51" s="1076">
        <f t="shared" si="3"/>
        <v>0</v>
      </c>
      <c r="S51" s="825"/>
      <c r="T51" s="1062">
        <f t="shared" si="1"/>
        <v>0</v>
      </c>
      <c r="U51" s="842"/>
      <c r="V51" s="824"/>
    </row>
    <row r="52" spans="1:22" s="826" customFormat="1" ht="22.8" hidden="1">
      <c r="A52" s="836"/>
      <c r="B52" s="823" t="s">
        <v>723</v>
      </c>
      <c r="C52" s="1038"/>
      <c r="D52" s="954"/>
      <c r="E52" s="1072"/>
      <c r="F52" s="1069"/>
      <c r="G52" s="1060"/>
      <c r="H52" s="1060"/>
      <c r="I52" s="1060"/>
      <c r="J52" s="1060"/>
      <c r="K52" s="1060"/>
      <c r="L52" s="843"/>
      <c r="M52" s="842"/>
      <c r="N52" s="842"/>
      <c r="O52" s="843"/>
      <c r="P52" s="842"/>
      <c r="Q52" s="844"/>
      <c r="R52" s="1076">
        <f t="shared" si="3"/>
        <v>0</v>
      </c>
      <c r="S52" s="825"/>
      <c r="T52" s="1062">
        <f t="shared" si="1"/>
        <v>0</v>
      </c>
      <c r="U52" s="842"/>
      <c r="V52" s="824"/>
    </row>
    <row r="53" spans="1:22" s="826" customFormat="1" ht="22.8" hidden="1">
      <c r="A53" s="836"/>
      <c r="B53" s="1040" t="s">
        <v>737</v>
      </c>
      <c r="C53" s="1038"/>
      <c r="D53" s="954"/>
      <c r="E53" s="1072"/>
      <c r="F53" s="1069"/>
      <c r="G53" s="1060"/>
      <c r="H53" s="1060"/>
      <c r="I53" s="1060"/>
      <c r="J53" s="1060"/>
      <c r="K53" s="1060"/>
      <c r="L53" s="843"/>
      <c r="M53" s="842"/>
      <c r="N53" s="842"/>
      <c r="O53" s="843"/>
      <c r="P53" s="842"/>
      <c r="Q53" s="844"/>
      <c r="R53" s="1076">
        <f t="shared" si="3"/>
        <v>0</v>
      </c>
      <c r="S53" s="825"/>
      <c r="T53" s="1062">
        <f t="shared" si="1"/>
        <v>0</v>
      </c>
      <c r="U53" s="842"/>
      <c r="V53" s="824"/>
    </row>
    <row r="54" spans="1:22" s="826" customFormat="1" ht="22.8" hidden="1">
      <c r="A54" s="1066">
        <v>10</v>
      </c>
      <c r="B54" s="823" t="s">
        <v>747</v>
      </c>
      <c r="C54" s="1041" t="s">
        <v>729</v>
      </c>
      <c r="D54" s="946" t="s">
        <v>663</v>
      </c>
      <c r="E54" s="1075">
        <v>2026</v>
      </c>
      <c r="F54" s="1069"/>
      <c r="G54" s="1060"/>
      <c r="H54" s="1060"/>
      <c r="I54" s="1060"/>
      <c r="J54" s="1060"/>
      <c r="K54" s="1060"/>
      <c r="L54" s="843"/>
      <c r="M54" s="842"/>
      <c r="N54" s="842"/>
      <c r="O54" s="843"/>
      <c r="P54" s="842"/>
      <c r="Q54" s="844"/>
      <c r="R54" s="1076">
        <f t="shared" si="3"/>
        <v>0</v>
      </c>
      <c r="S54" s="825"/>
      <c r="T54" s="1062">
        <f t="shared" si="1"/>
        <v>0</v>
      </c>
      <c r="U54" s="842"/>
      <c r="V54" s="824"/>
    </row>
    <row r="55" spans="1:22" s="826" customFormat="1" ht="22.8" hidden="1">
      <c r="A55" s="836"/>
      <c r="B55" s="823" t="s">
        <v>730</v>
      </c>
      <c r="C55" s="1038" t="s">
        <v>615</v>
      </c>
      <c r="D55" s="954"/>
      <c r="E55" s="1072"/>
      <c r="F55" s="1069"/>
      <c r="G55" s="1060"/>
      <c r="H55" s="1060"/>
      <c r="I55" s="1060"/>
      <c r="J55" s="1060"/>
      <c r="K55" s="1060"/>
      <c r="L55" s="843"/>
      <c r="M55" s="842"/>
      <c r="N55" s="842"/>
      <c r="O55" s="843"/>
      <c r="P55" s="842"/>
      <c r="Q55" s="844"/>
      <c r="R55" s="1076">
        <f t="shared" si="3"/>
        <v>0</v>
      </c>
      <c r="S55" s="825"/>
      <c r="T55" s="1062">
        <f t="shared" si="1"/>
        <v>0</v>
      </c>
      <c r="U55" s="842"/>
      <c r="V55" s="824"/>
    </row>
    <row r="56" spans="1:22" s="826" customFormat="1" ht="22.8" hidden="1">
      <c r="A56" s="836"/>
      <c r="B56" s="823" t="s">
        <v>731</v>
      </c>
      <c r="C56" s="1038" t="s">
        <v>688</v>
      </c>
      <c r="D56" s="954"/>
      <c r="E56" s="1072"/>
      <c r="F56" s="1069"/>
      <c r="G56" s="1060"/>
      <c r="H56" s="1060"/>
      <c r="I56" s="1060"/>
      <c r="J56" s="1060"/>
      <c r="K56" s="1060"/>
      <c r="L56" s="843"/>
      <c r="M56" s="842"/>
      <c r="N56" s="842"/>
      <c r="O56" s="843"/>
      <c r="P56" s="842"/>
      <c r="Q56" s="844"/>
      <c r="R56" s="1076">
        <f t="shared" si="3"/>
        <v>0</v>
      </c>
      <c r="S56" s="825"/>
      <c r="T56" s="1062">
        <f t="shared" si="1"/>
        <v>0</v>
      </c>
      <c r="U56" s="842"/>
      <c r="V56" s="824"/>
    </row>
    <row r="57" spans="1:22" s="826" customFormat="1" ht="22.8" hidden="1">
      <c r="A57" s="836"/>
      <c r="B57" s="1040" t="s">
        <v>759</v>
      </c>
      <c r="C57" s="1038"/>
      <c r="D57" s="954"/>
      <c r="E57" s="1072"/>
      <c r="F57" s="1069"/>
      <c r="G57" s="1060"/>
      <c r="H57" s="1060"/>
      <c r="I57" s="1060"/>
      <c r="J57" s="1060"/>
      <c r="K57" s="1060"/>
      <c r="L57" s="843"/>
      <c r="M57" s="842"/>
      <c r="N57" s="842"/>
      <c r="O57" s="843"/>
      <c r="P57" s="842"/>
      <c r="Q57" s="844"/>
      <c r="R57" s="1076">
        <f t="shared" si="3"/>
        <v>0</v>
      </c>
      <c r="S57" s="825"/>
      <c r="T57" s="1062">
        <f t="shared" si="1"/>
        <v>0</v>
      </c>
      <c r="U57" s="842"/>
      <c r="V57" s="824"/>
    </row>
    <row r="58" spans="1:22" s="826" customFormat="1" ht="22.8" hidden="1">
      <c r="A58" s="836"/>
      <c r="B58" s="1040" t="s">
        <v>732</v>
      </c>
      <c r="C58" s="1038"/>
      <c r="D58" s="954"/>
      <c r="E58" s="1072"/>
      <c r="F58" s="1069"/>
      <c r="G58" s="1060"/>
      <c r="H58" s="1060"/>
      <c r="I58" s="1060"/>
      <c r="J58" s="1060"/>
      <c r="K58" s="1060"/>
      <c r="L58" s="843"/>
      <c r="M58" s="842"/>
      <c r="N58" s="842"/>
      <c r="O58" s="843"/>
      <c r="P58" s="842"/>
      <c r="Q58" s="844"/>
      <c r="R58" s="1076">
        <f t="shared" si="3"/>
        <v>0</v>
      </c>
      <c r="S58" s="825"/>
      <c r="T58" s="1062">
        <f t="shared" si="1"/>
        <v>0</v>
      </c>
      <c r="U58" s="842"/>
      <c r="V58" s="824"/>
    </row>
    <row r="59" spans="1:22" s="826" customFormat="1" ht="22.8">
      <c r="A59" s="836">
        <v>4</v>
      </c>
      <c r="B59" s="823" t="s">
        <v>727</v>
      </c>
      <c r="C59" s="1041" t="s">
        <v>755</v>
      </c>
      <c r="D59" s="946" t="s">
        <v>663</v>
      </c>
      <c r="E59" s="1075">
        <v>2027</v>
      </c>
      <c r="F59" s="1069"/>
      <c r="G59" s="1060"/>
      <c r="H59" s="1060"/>
      <c r="I59" s="1060"/>
      <c r="J59" s="1060"/>
      <c r="K59" s="1060"/>
      <c r="L59" s="843"/>
      <c r="M59" s="842"/>
      <c r="N59" s="842"/>
      <c r="O59" s="843"/>
      <c r="P59" s="842"/>
      <c r="Q59" s="844"/>
      <c r="R59" s="1076">
        <f t="shared" si="3"/>
        <v>0</v>
      </c>
      <c r="S59" s="825"/>
      <c r="T59" s="1062">
        <f t="shared" si="1"/>
        <v>0</v>
      </c>
      <c r="U59" s="842"/>
      <c r="V59" s="824"/>
    </row>
    <row r="60" spans="1:22" s="826" customFormat="1" ht="22.8">
      <c r="A60" s="836"/>
      <c r="B60" s="1080" t="s">
        <v>756</v>
      </c>
      <c r="C60" s="1038" t="s">
        <v>761</v>
      </c>
      <c r="D60" s="954"/>
      <c r="E60" s="1072"/>
      <c r="F60" s="1069"/>
      <c r="G60" s="1060"/>
      <c r="H60" s="1060"/>
      <c r="I60" s="1060"/>
      <c r="J60" s="1060"/>
      <c r="K60" s="1060"/>
      <c r="L60" s="1060"/>
      <c r="M60" s="1060"/>
      <c r="N60" s="1060"/>
      <c r="O60" s="1060"/>
      <c r="P60" s="1060"/>
      <c r="Q60" s="1060"/>
      <c r="R60" s="1076">
        <f t="shared" si="3"/>
        <v>0</v>
      </c>
      <c r="S60" s="825"/>
      <c r="T60" s="1062">
        <f t="shared" si="1"/>
        <v>0</v>
      </c>
      <c r="U60" s="842">
        <v>2.7</v>
      </c>
      <c r="V60" s="824" t="s">
        <v>921</v>
      </c>
    </row>
    <row r="61" spans="1:22" s="826" customFormat="1" ht="22.8">
      <c r="A61" s="836"/>
      <c r="B61" s="1034" t="s">
        <v>1018</v>
      </c>
      <c r="C61" s="1038" t="s">
        <v>762</v>
      </c>
      <c r="D61" s="954"/>
      <c r="E61" s="1072"/>
      <c r="F61" s="1069"/>
      <c r="G61" s="1060"/>
      <c r="H61" s="1060"/>
      <c r="I61" s="1060"/>
      <c r="J61" s="1060"/>
      <c r="K61" s="1060"/>
      <c r="L61" s="1060"/>
      <c r="M61" s="1060"/>
      <c r="N61" s="1060"/>
      <c r="O61" s="1060"/>
      <c r="P61" s="1060"/>
      <c r="Q61" s="1060"/>
      <c r="R61" s="1076">
        <f t="shared" si="3"/>
        <v>0</v>
      </c>
      <c r="S61" s="825"/>
      <c r="T61" s="1062">
        <f t="shared" si="1"/>
        <v>0</v>
      </c>
      <c r="U61" s="842">
        <v>2.5299999999999998</v>
      </c>
      <c r="V61" s="824" t="s">
        <v>957</v>
      </c>
    </row>
    <row r="62" spans="1:22" s="826" customFormat="1" ht="22.8">
      <c r="A62" s="836"/>
      <c r="B62" s="1080" t="s">
        <v>890</v>
      </c>
      <c r="C62" s="1038" t="s">
        <v>687</v>
      </c>
      <c r="D62" s="954"/>
      <c r="E62" s="1072"/>
      <c r="F62" s="1069"/>
      <c r="G62" s="1060"/>
      <c r="H62" s="1060"/>
      <c r="I62" s="1060"/>
      <c r="J62" s="1060"/>
      <c r="K62" s="1060"/>
      <c r="L62" s="1060"/>
      <c r="M62" s="1060"/>
      <c r="N62" s="1060"/>
      <c r="O62" s="1060"/>
      <c r="P62" s="1060"/>
      <c r="Q62" s="1060"/>
      <c r="R62" s="1076">
        <f t="shared" si="3"/>
        <v>0</v>
      </c>
      <c r="S62" s="825"/>
      <c r="T62" s="1062">
        <f t="shared" si="1"/>
        <v>0</v>
      </c>
      <c r="U62" s="842">
        <v>2.0299999999999998</v>
      </c>
      <c r="V62" s="824" t="s">
        <v>958</v>
      </c>
    </row>
    <row r="63" spans="1:22" s="826" customFormat="1" ht="22.8">
      <c r="A63" s="836"/>
      <c r="B63" s="1080" t="s">
        <v>891</v>
      </c>
      <c r="C63" s="1038"/>
      <c r="D63" s="954"/>
      <c r="E63" s="1072"/>
      <c r="F63" s="1069"/>
      <c r="G63" s="1060"/>
      <c r="H63" s="1060"/>
      <c r="I63" s="1060"/>
      <c r="J63" s="1060"/>
      <c r="K63" s="1060"/>
      <c r="L63" s="843"/>
      <c r="M63" s="842"/>
      <c r="N63" s="842"/>
      <c r="O63" s="843"/>
      <c r="P63" s="842"/>
      <c r="Q63" s="844"/>
      <c r="R63" s="1076">
        <f t="shared" si="3"/>
        <v>0</v>
      </c>
      <c r="S63" s="825"/>
      <c r="T63" s="1062">
        <f t="shared" si="1"/>
        <v>0</v>
      </c>
      <c r="U63" s="842"/>
      <c r="V63" s="824"/>
    </row>
    <row r="64" spans="1:22" s="826" customFormat="1" ht="22.8">
      <c r="A64" s="836"/>
      <c r="B64" s="1040" t="s">
        <v>937</v>
      </c>
      <c r="C64" s="1038"/>
      <c r="D64" s="954"/>
      <c r="E64" s="1072"/>
      <c r="F64" s="1069"/>
      <c r="G64" s="1060"/>
      <c r="H64" s="1060"/>
      <c r="I64" s="1060"/>
      <c r="J64" s="1060"/>
      <c r="K64" s="1060"/>
      <c r="L64" s="843"/>
      <c r="M64" s="842"/>
      <c r="N64" s="842"/>
      <c r="O64" s="843"/>
      <c r="P64" s="842"/>
      <c r="Q64" s="844"/>
      <c r="R64" s="1076">
        <f t="shared" si="3"/>
        <v>0</v>
      </c>
      <c r="S64" s="825"/>
      <c r="T64" s="1062">
        <f t="shared" si="1"/>
        <v>0</v>
      </c>
      <c r="U64" s="842"/>
      <c r="V64" s="824"/>
    </row>
    <row r="65" spans="1:22" s="826" customFormat="1" ht="22.8" hidden="1">
      <c r="A65" s="836">
        <v>12</v>
      </c>
      <c r="B65" s="823" t="s">
        <v>693</v>
      </c>
      <c r="C65" s="1041" t="s">
        <v>771</v>
      </c>
      <c r="D65" s="947" t="s">
        <v>663</v>
      </c>
      <c r="E65" s="1075" t="s">
        <v>950</v>
      </c>
      <c r="F65" s="1069"/>
      <c r="G65" s="1060"/>
      <c r="H65" s="1060"/>
      <c r="I65" s="1060"/>
      <c r="J65" s="1060"/>
      <c r="K65" s="1060"/>
      <c r="L65" s="843"/>
      <c r="M65" s="842"/>
      <c r="N65" s="842"/>
      <c r="O65" s="843"/>
      <c r="P65" s="842"/>
      <c r="Q65" s="844"/>
      <c r="R65" s="1076">
        <f t="shared" si="3"/>
        <v>0</v>
      </c>
      <c r="S65" s="825"/>
      <c r="T65" s="1062">
        <f t="shared" si="1"/>
        <v>0</v>
      </c>
      <c r="U65" s="842"/>
      <c r="V65" s="824"/>
    </row>
    <row r="66" spans="1:22" s="826" customFormat="1" ht="22.8" hidden="1">
      <c r="A66" s="836"/>
      <c r="B66" s="823" t="s">
        <v>773</v>
      </c>
      <c r="C66" s="1038" t="s">
        <v>615</v>
      </c>
      <c r="D66" s="954"/>
      <c r="E66" s="1072"/>
      <c r="F66" s="1069"/>
      <c r="G66" s="1060"/>
      <c r="H66" s="1060"/>
      <c r="I66" s="1060"/>
      <c r="J66" s="1060"/>
      <c r="K66" s="1060"/>
      <c r="L66" s="843"/>
      <c r="M66" s="842"/>
      <c r="N66" s="842"/>
      <c r="O66" s="843"/>
      <c r="P66" s="842"/>
      <c r="Q66" s="844"/>
      <c r="R66" s="1076">
        <f t="shared" si="3"/>
        <v>0</v>
      </c>
      <c r="S66" s="825"/>
      <c r="T66" s="1062">
        <f t="shared" si="1"/>
        <v>0</v>
      </c>
      <c r="U66" s="842"/>
      <c r="V66" s="824"/>
    </row>
    <row r="67" spans="1:22" s="826" customFormat="1" ht="22.8" hidden="1">
      <c r="A67" s="836"/>
      <c r="B67" s="823" t="s">
        <v>774</v>
      </c>
      <c r="C67" s="1038" t="s">
        <v>688</v>
      </c>
      <c r="D67" s="954"/>
      <c r="E67" s="1072"/>
      <c r="F67" s="1069"/>
      <c r="G67" s="1060"/>
      <c r="H67" s="1060"/>
      <c r="I67" s="1060"/>
      <c r="J67" s="1060"/>
      <c r="K67" s="1060"/>
      <c r="L67" s="843"/>
      <c r="M67" s="842"/>
      <c r="N67" s="842"/>
      <c r="O67" s="843"/>
      <c r="P67" s="842"/>
      <c r="Q67" s="844"/>
      <c r="R67" s="1076">
        <f t="shared" si="3"/>
        <v>0</v>
      </c>
      <c r="S67" s="825"/>
      <c r="T67" s="1062">
        <f t="shared" si="1"/>
        <v>0</v>
      </c>
      <c r="U67" s="842"/>
      <c r="V67" s="824"/>
    </row>
    <row r="68" spans="1:22" s="826" customFormat="1" ht="22.8" hidden="1">
      <c r="A68" s="836"/>
      <c r="B68" s="823" t="s">
        <v>775</v>
      </c>
      <c r="C68" s="1038"/>
      <c r="D68" s="954"/>
      <c r="E68" s="1072"/>
      <c r="F68" s="1069"/>
      <c r="G68" s="1060"/>
      <c r="H68" s="1060"/>
      <c r="I68" s="1060"/>
      <c r="J68" s="1060"/>
      <c r="K68" s="1060"/>
      <c r="L68" s="843"/>
      <c r="M68" s="842"/>
      <c r="N68" s="842"/>
      <c r="O68" s="843"/>
      <c r="P68" s="842"/>
      <c r="Q68" s="844"/>
      <c r="R68" s="1076">
        <f t="shared" si="3"/>
        <v>0</v>
      </c>
      <c r="S68" s="825"/>
      <c r="T68" s="1062">
        <f t="shared" si="1"/>
        <v>0</v>
      </c>
      <c r="U68" s="842"/>
      <c r="V68" s="824"/>
    </row>
    <row r="69" spans="1:22" s="826" customFormat="1" ht="22.8" hidden="1">
      <c r="A69" s="836"/>
      <c r="B69" s="823" t="s">
        <v>776</v>
      </c>
      <c r="C69" s="1038"/>
      <c r="D69" s="954"/>
      <c r="E69" s="1072"/>
      <c r="F69" s="1069"/>
      <c r="G69" s="1060"/>
      <c r="H69" s="1060"/>
      <c r="I69" s="1060"/>
      <c r="J69" s="1060"/>
      <c r="K69" s="1060"/>
      <c r="L69" s="843"/>
      <c r="M69" s="842"/>
      <c r="N69" s="842"/>
      <c r="O69" s="843"/>
      <c r="P69" s="842"/>
      <c r="Q69" s="844"/>
      <c r="R69" s="1076">
        <f t="shared" si="3"/>
        <v>0</v>
      </c>
      <c r="S69" s="825"/>
      <c r="T69" s="1062">
        <f t="shared" ref="T69:T133" si="4">R69*S69</f>
        <v>0</v>
      </c>
      <c r="U69" s="842"/>
      <c r="V69" s="824"/>
    </row>
    <row r="70" spans="1:22" s="826" customFormat="1" ht="22.8" hidden="1">
      <c r="A70" s="836"/>
      <c r="B70" s="1040" t="s">
        <v>772</v>
      </c>
      <c r="C70" s="1038"/>
      <c r="D70" s="954"/>
      <c r="E70" s="1072"/>
      <c r="F70" s="1069"/>
      <c r="G70" s="1060"/>
      <c r="H70" s="1060"/>
      <c r="I70" s="1060"/>
      <c r="J70" s="1060"/>
      <c r="K70" s="1060"/>
      <c r="L70" s="843"/>
      <c r="M70" s="842"/>
      <c r="N70" s="842"/>
      <c r="O70" s="843"/>
      <c r="P70" s="842"/>
      <c r="Q70" s="844"/>
      <c r="R70" s="1076">
        <f t="shared" si="3"/>
        <v>0</v>
      </c>
      <c r="S70" s="825"/>
      <c r="T70" s="1062">
        <f t="shared" si="4"/>
        <v>0</v>
      </c>
      <c r="U70" s="842"/>
      <c r="V70" s="824"/>
    </row>
    <row r="71" spans="1:22" s="826" customFormat="1" ht="22.8" hidden="1">
      <c r="A71" s="836"/>
      <c r="B71" s="1040" t="s">
        <v>777</v>
      </c>
      <c r="C71" s="1038"/>
      <c r="D71" s="954"/>
      <c r="E71" s="1072"/>
      <c r="F71" s="1069"/>
      <c r="G71" s="1060"/>
      <c r="H71" s="1060"/>
      <c r="I71" s="1060"/>
      <c r="J71" s="1060"/>
      <c r="K71" s="1060"/>
      <c r="L71" s="843"/>
      <c r="M71" s="842"/>
      <c r="N71" s="842"/>
      <c r="O71" s="843"/>
      <c r="P71" s="842"/>
      <c r="Q71" s="844"/>
      <c r="R71" s="1076">
        <f t="shared" si="3"/>
        <v>0</v>
      </c>
      <c r="S71" s="825"/>
      <c r="T71" s="1062">
        <f t="shared" si="4"/>
        <v>0</v>
      </c>
      <c r="U71" s="842"/>
      <c r="V71" s="824"/>
    </row>
    <row r="72" spans="1:22" s="826" customFormat="1" ht="22.8">
      <c r="A72" s="836">
        <v>5</v>
      </c>
      <c r="B72" s="823" t="s">
        <v>794</v>
      </c>
      <c r="C72" s="1041" t="s">
        <v>788</v>
      </c>
      <c r="D72" s="947" t="s">
        <v>663</v>
      </c>
      <c r="E72" s="1075" t="s">
        <v>949</v>
      </c>
      <c r="F72" s="1069"/>
      <c r="G72" s="1060"/>
      <c r="H72" s="1060"/>
      <c r="I72" s="1060"/>
      <c r="J72" s="1060"/>
      <c r="K72" s="1060"/>
      <c r="L72" s="843"/>
      <c r="M72" s="842"/>
      <c r="N72" s="842"/>
      <c r="O72" s="843"/>
      <c r="P72" s="842"/>
      <c r="Q72" s="844"/>
      <c r="R72" s="1076">
        <f t="shared" si="3"/>
        <v>0</v>
      </c>
      <c r="S72" s="825"/>
      <c r="T72" s="1062">
        <f t="shared" si="4"/>
        <v>0</v>
      </c>
      <c r="U72" s="842"/>
      <c r="V72" s="824" t="s">
        <v>786</v>
      </c>
    </row>
    <row r="73" spans="1:22" s="826" customFormat="1" ht="22.8">
      <c r="A73" s="836"/>
      <c r="B73" s="823" t="s">
        <v>791</v>
      </c>
      <c r="C73" s="1038" t="s">
        <v>960</v>
      </c>
      <c r="D73" s="954"/>
      <c r="E73" s="1072"/>
      <c r="F73" s="1069"/>
      <c r="G73" s="1060"/>
      <c r="H73" s="1060"/>
      <c r="I73" s="1060"/>
      <c r="J73" s="1060"/>
      <c r="K73" s="1060"/>
      <c r="L73" s="843"/>
      <c r="M73" s="842"/>
      <c r="N73" s="842"/>
      <c r="O73" s="843"/>
      <c r="P73" s="842"/>
      <c r="Q73" s="844"/>
      <c r="R73" s="1076">
        <f t="shared" si="3"/>
        <v>0</v>
      </c>
      <c r="S73" s="825"/>
      <c r="T73" s="1062">
        <f t="shared" si="4"/>
        <v>0</v>
      </c>
      <c r="U73" s="842"/>
      <c r="V73" s="824"/>
    </row>
    <row r="74" spans="1:22" s="826" customFormat="1" ht="22.8">
      <c r="A74" s="836"/>
      <c r="B74" s="823" t="s">
        <v>792</v>
      </c>
      <c r="C74" s="1038" t="s">
        <v>889</v>
      </c>
      <c r="D74" s="954"/>
      <c r="E74" s="1072"/>
      <c r="F74" s="1069"/>
      <c r="G74" s="1060"/>
      <c r="H74" s="1060"/>
      <c r="I74" s="1060"/>
      <c r="J74" s="1060"/>
      <c r="K74" s="1060"/>
      <c r="L74" s="843"/>
      <c r="M74" s="842"/>
      <c r="N74" s="842"/>
      <c r="O74" s="843"/>
      <c r="P74" s="842"/>
      <c r="Q74" s="844">
        <v>0.43</v>
      </c>
      <c r="R74" s="1076">
        <f t="shared" si="3"/>
        <v>0.43</v>
      </c>
      <c r="S74" s="825">
        <v>0.3</v>
      </c>
      <c r="T74" s="1062">
        <f t="shared" si="4"/>
        <v>0.129</v>
      </c>
      <c r="U74" s="842"/>
      <c r="V74" s="824"/>
    </row>
    <row r="75" spans="1:22" s="826" customFormat="1" ht="22.8">
      <c r="A75" s="836"/>
      <c r="B75" s="823" t="s">
        <v>793</v>
      </c>
      <c r="C75" s="1038"/>
      <c r="D75" s="954"/>
      <c r="E75" s="1072"/>
      <c r="F75" s="1069"/>
      <c r="G75" s="1060"/>
      <c r="H75" s="1060"/>
      <c r="I75" s="1060"/>
      <c r="J75" s="1060"/>
      <c r="K75" s="1060"/>
      <c r="L75" s="843"/>
      <c r="M75" s="842"/>
      <c r="N75" s="842"/>
      <c r="O75" s="843"/>
      <c r="P75" s="842"/>
      <c r="Q75" s="844"/>
      <c r="R75" s="1076">
        <f t="shared" si="3"/>
        <v>0</v>
      </c>
      <c r="S75" s="825"/>
      <c r="T75" s="1062">
        <f t="shared" si="4"/>
        <v>0</v>
      </c>
      <c r="U75" s="842"/>
      <c r="V75" s="824"/>
    </row>
    <row r="76" spans="1:22" s="826" customFormat="1" ht="22.8">
      <c r="A76" s="836"/>
      <c r="B76" s="823" t="s">
        <v>885</v>
      </c>
      <c r="C76" s="1038" t="s">
        <v>888</v>
      </c>
      <c r="D76" s="954"/>
      <c r="E76" s="1072"/>
      <c r="F76" s="1069"/>
      <c r="G76" s="1060"/>
      <c r="H76" s="1060"/>
      <c r="I76" s="1060"/>
      <c r="J76" s="1060"/>
      <c r="K76" s="1060"/>
      <c r="L76" s="843"/>
      <c r="M76" s="842"/>
      <c r="N76" s="842"/>
      <c r="O76" s="843"/>
      <c r="P76" s="842"/>
      <c r="Q76" s="844"/>
      <c r="R76" s="1076">
        <f t="shared" si="3"/>
        <v>0</v>
      </c>
      <c r="S76" s="825"/>
      <c r="T76" s="1062">
        <f t="shared" si="4"/>
        <v>0</v>
      </c>
      <c r="U76" s="842"/>
      <c r="V76" s="824"/>
    </row>
    <row r="77" spans="1:22" s="826" customFormat="1" ht="22.8">
      <c r="A77" s="836"/>
      <c r="B77" s="823" t="s">
        <v>886</v>
      </c>
      <c r="C77" s="1038"/>
      <c r="D77" s="954"/>
      <c r="E77" s="1072"/>
      <c r="F77" s="1069"/>
      <c r="G77" s="1060"/>
      <c r="H77" s="1060"/>
      <c r="I77" s="1060"/>
      <c r="J77" s="1060"/>
      <c r="K77" s="1060"/>
      <c r="L77" s="843"/>
      <c r="M77" s="842"/>
      <c r="N77" s="842"/>
      <c r="O77" s="843"/>
      <c r="P77" s="842"/>
      <c r="Q77" s="844"/>
      <c r="R77" s="1076">
        <f t="shared" si="3"/>
        <v>0</v>
      </c>
      <c r="S77" s="825"/>
      <c r="T77" s="1062">
        <f t="shared" si="4"/>
        <v>0</v>
      </c>
      <c r="U77" s="842"/>
      <c r="V77" s="824"/>
    </row>
    <row r="78" spans="1:22" s="826" customFormat="1" ht="22.8">
      <c r="A78" s="836"/>
      <c r="B78" s="823" t="s">
        <v>887</v>
      </c>
      <c r="C78" s="1038"/>
      <c r="D78" s="954"/>
      <c r="E78" s="1072"/>
      <c r="F78" s="1069"/>
      <c r="G78" s="1060"/>
      <c r="H78" s="1060"/>
      <c r="I78" s="1060"/>
      <c r="J78" s="1060"/>
      <c r="K78" s="1060"/>
      <c r="L78" s="843"/>
      <c r="M78" s="842"/>
      <c r="N78" s="842"/>
      <c r="O78" s="843"/>
      <c r="P78" s="842"/>
      <c r="Q78" s="844"/>
      <c r="R78" s="1076">
        <f t="shared" si="3"/>
        <v>0</v>
      </c>
      <c r="S78" s="825"/>
      <c r="T78" s="1062">
        <f t="shared" si="4"/>
        <v>0</v>
      </c>
      <c r="U78" s="842"/>
      <c r="V78" s="824"/>
    </row>
    <row r="79" spans="1:22" s="826" customFormat="1" ht="22.8">
      <c r="A79" s="836"/>
      <c r="B79" s="1040" t="s">
        <v>790</v>
      </c>
      <c r="C79" s="1038"/>
      <c r="D79" s="954"/>
      <c r="E79" s="1072"/>
      <c r="F79" s="1069"/>
      <c r="G79" s="1060"/>
      <c r="H79" s="1060"/>
      <c r="I79" s="1060"/>
      <c r="J79" s="1060"/>
      <c r="K79" s="1060"/>
      <c r="L79" s="843"/>
      <c r="M79" s="842"/>
      <c r="N79" s="842"/>
      <c r="O79" s="843"/>
      <c r="P79" s="842"/>
      <c r="Q79" s="844"/>
      <c r="R79" s="1076">
        <f t="shared" si="3"/>
        <v>0</v>
      </c>
      <c r="S79" s="825"/>
      <c r="T79" s="1062">
        <f t="shared" si="4"/>
        <v>0</v>
      </c>
      <c r="U79" s="842"/>
      <c r="V79" s="824"/>
    </row>
    <row r="80" spans="1:22" s="826" customFormat="1" ht="22.8">
      <c r="A80" s="836"/>
      <c r="B80" s="1040" t="s">
        <v>789</v>
      </c>
      <c r="C80" s="1038"/>
      <c r="D80" s="954"/>
      <c r="E80" s="1072"/>
      <c r="F80" s="1069"/>
      <c r="G80" s="1060"/>
      <c r="H80" s="1060"/>
      <c r="I80" s="1060"/>
      <c r="J80" s="1060"/>
      <c r="K80" s="1060"/>
      <c r="L80" s="843"/>
      <c r="M80" s="842"/>
      <c r="N80" s="842"/>
      <c r="O80" s="843"/>
      <c r="P80" s="842"/>
      <c r="Q80" s="844"/>
      <c r="R80" s="1076">
        <f t="shared" si="3"/>
        <v>0</v>
      </c>
      <c r="S80" s="825"/>
      <c r="T80" s="1062">
        <f t="shared" si="4"/>
        <v>0</v>
      </c>
      <c r="U80" s="842"/>
      <c r="V80" s="824"/>
    </row>
    <row r="81" spans="1:22" s="826" customFormat="1" ht="22.8">
      <c r="A81" s="1066">
        <v>6</v>
      </c>
      <c r="B81" s="823" t="s">
        <v>981</v>
      </c>
      <c r="C81" s="1041" t="s">
        <v>906</v>
      </c>
      <c r="D81" s="947" t="s">
        <v>611</v>
      </c>
      <c r="E81" s="1075" t="s">
        <v>949</v>
      </c>
      <c r="F81" s="1069"/>
      <c r="G81" s="1060"/>
      <c r="H81" s="1060"/>
      <c r="I81" s="1060"/>
      <c r="J81" s="1060"/>
      <c r="K81" s="1060"/>
      <c r="L81" s="843"/>
      <c r="M81" s="842"/>
      <c r="N81" s="842"/>
      <c r="O81" s="843"/>
      <c r="P81" s="842"/>
      <c r="Q81" s="844"/>
      <c r="R81" s="1076">
        <f t="shared" si="3"/>
        <v>0</v>
      </c>
      <c r="S81" s="825"/>
      <c r="T81" s="1062">
        <f t="shared" si="4"/>
        <v>0</v>
      </c>
      <c r="U81" s="842"/>
      <c r="V81" s="824"/>
    </row>
    <row r="82" spans="1:22" s="826" customFormat="1" ht="22.8">
      <c r="A82" s="836"/>
      <c r="B82" s="823" t="s">
        <v>907</v>
      </c>
      <c r="C82" s="1038" t="s">
        <v>615</v>
      </c>
      <c r="D82" s="954"/>
      <c r="E82" s="1072"/>
      <c r="F82" s="1069"/>
      <c r="G82" s="1060"/>
      <c r="H82" s="1060"/>
      <c r="I82" s="1060"/>
      <c r="J82" s="1060"/>
      <c r="K82" s="1060"/>
      <c r="L82" s="843"/>
      <c r="M82" s="842"/>
      <c r="N82" s="842"/>
      <c r="O82" s="843"/>
      <c r="P82" s="842"/>
      <c r="Q82" s="844"/>
      <c r="R82" s="1076">
        <f t="shared" si="3"/>
        <v>0</v>
      </c>
      <c r="S82" s="825"/>
      <c r="T82" s="1062">
        <f t="shared" si="4"/>
        <v>0</v>
      </c>
      <c r="U82" s="842"/>
      <c r="V82" s="824"/>
    </row>
    <row r="83" spans="1:22" s="826" customFormat="1" ht="22.8">
      <c r="A83" s="836"/>
      <c r="B83" s="823" t="s">
        <v>908</v>
      </c>
      <c r="C83" s="1038" t="s">
        <v>941</v>
      </c>
      <c r="D83" s="954"/>
      <c r="E83" s="1072"/>
      <c r="F83" s="1069"/>
      <c r="G83" s="1060"/>
      <c r="H83" s="1060"/>
      <c r="I83" s="1060"/>
      <c r="J83" s="1060"/>
      <c r="K83" s="1060"/>
      <c r="L83" s="843"/>
      <c r="M83" s="842"/>
      <c r="N83" s="842"/>
      <c r="O83" s="843"/>
      <c r="P83" s="842"/>
      <c r="Q83" s="844"/>
      <c r="R83" s="1076">
        <f t="shared" si="3"/>
        <v>0</v>
      </c>
      <c r="S83" s="825"/>
      <c r="T83" s="1062">
        <f t="shared" si="4"/>
        <v>0</v>
      </c>
      <c r="U83" s="842"/>
      <c r="V83" s="824"/>
    </row>
    <row r="84" spans="1:22" s="826" customFormat="1" ht="22.8">
      <c r="A84" s="836"/>
      <c r="B84" s="823" t="s">
        <v>774</v>
      </c>
      <c r="C84" s="1038"/>
      <c r="D84" s="954"/>
      <c r="E84" s="1072"/>
      <c r="F84" s="1069"/>
      <c r="G84" s="1060"/>
      <c r="H84" s="1060"/>
      <c r="I84" s="1060"/>
      <c r="J84" s="1060"/>
      <c r="K84" s="1060"/>
      <c r="L84" s="843"/>
      <c r="M84" s="842"/>
      <c r="N84" s="842"/>
      <c r="O84" s="843"/>
      <c r="P84" s="842"/>
      <c r="Q84" s="844"/>
      <c r="R84" s="1076">
        <f t="shared" si="3"/>
        <v>0</v>
      </c>
      <c r="S84" s="825"/>
      <c r="T84" s="1062">
        <f t="shared" si="4"/>
        <v>0</v>
      </c>
      <c r="U84" s="842"/>
      <c r="V84" s="824"/>
    </row>
    <row r="85" spans="1:22" s="826" customFormat="1" ht="22.8">
      <c r="A85" s="836"/>
      <c r="B85" s="823" t="s">
        <v>909</v>
      </c>
      <c r="C85" s="1038"/>
      <c r="D85" s="954"/>
      <c r="E85" s="1072"/>
      <c r="F85" s="1069"/>
      <c r="G85" s="1060"/>
      <c r="H85" s="1060"/>
      <c r="I85" s="1060"/>
      <c r="J85" s="1060"/>
      <c r="K85" s="1060"/>
      <c r="L85" s="843"/>
      <c r="M85" s="842"/>
      <c r="N85" s="842"/>
      <c r="O85" s="843"/>
      <c r="P85" s="842"/>
      <c r="Q85" s="844"/>
      <c r="R85" s="1076">
        <f t="shared" si="3"/>
        <v>0</v>
      </c>
      <c r="S85" s="825"/>
      <c r="T85" s="1062">
        <f t="shared" si="4"/>
        <v>0</v>
      </c>
      <c r="U85" s="842"/>
      <c r="V85" s="824"/>
    </row>
    <row r="86" spans="1:22" s="826" customFormat="1" ht="22.8">
      <c r="A86" s="836"/>
      <c r="B86" s="823" t="s">
        <v>895</v>
      </c>
      <c r="C86" s="1038"/>
      <c r="D86" s="954"/>
      <c r="E86" s="1072"/>
      <c r="F86" s="1069"/>
      <c r="G86" s="1060"/>
      <c r="H86" s="1060"/>
      <c r="I86" s="1060"/>
      <c r="J86" s="1060"/>
      <c r="K86" s="1060"/>
      <c r="L86" s="843"/>
      <c r="M86" s="842"/>
      <c r="N86" s="842"/>
      <c r="O86" s="843"/>
      <c r="P86" s="842"/>
      <c r="Q86" s="844"/>
      <c r="R86" s="1076">
        <f t="shared" si="3"/>
        <v>0</v>
      </c>
      <c r="S86" s="825"/>
      <c r="T86" s="1062">
        <f t="shared" si="4"/>
        <v>0</v>
      </c>
      <c r="U86" s="842"/>
      <c r="V86" s="824"/>
    </row>
    <row r="87" spans="1:22" s="826" customFormat="1" ht="22.8">
      <c r="A87" s="836"/>
      <c r="B87" s="1040" t="s">
        <v>910</v>
      </c>
      <c r="C87" s="1038"/>
      <c r="D87" s="954"/>
      <c r="E87" s="1072"/>
      <c r="F87" s="1069"/>
      <c r="G87" s="1060"/>
      <c r="H87" s="1060"/>
      <c r="I87" s="1060"/>
      <c r="J87" s="1060"/>
      <c r="K87" s="1060"/>
      <c r="L87" s="843"/>
      <c r="M87" s="842"/>
      <c r="N87" s="842"/>
      <c r="O87" s="843"/>
      <c r="P87" s="842"/>
      <c r="Q87" s="844"/>
      <c r="R87" s="1076">
        <f t="shared" si="3"/>
        <v>0</v>
      </c>
      <c r="S87" s="825"/>
      <c r="T87" s="1062">
        <f t="shared" si="4"/>
        <v>0</v>
      </c>
      <c r="U87" s="842"/>
      <c r="V87" s="824"/>
    </row>
    <row r="88" spans="1:22" s="826" customFormat="1" ht="22.8">
      <c r="A88" s="836"/>
      <c r="B88" s="1040" t="s">
        <v>782</v>
      </c>
      <c r="C88" s="1038"/>
      <c r="D88" s="954"/>
      <c r="E88" s="1072"/>
      <c r="F88" s="1069"/>
      <c r="G88" s="1060"/>
      <c r="H88" s="1060"/>
      <c r="I88" s="1060"/>
      <c r="J88" s="1060"/>
      <c r="K88" s="1060"/>
      <c r="L88" s="843"/>
      <c r="M88" s="842"/>
      <c r="N88" s="842"/>
      <c r="O88" s="843"/>
      <c r="P88" s="842"/>
      <c r="Q88" s="844"/>
      <c r="R88" s="1076">
        <f t="shared" si="3"/>
        <v>0</v>
      </c>
      <c r="S88" s="825"/>
      <c r="T88" s="1062">
        <f t="shared" si="4"/>
        <v>0</v>
      </c>
      <c r="U88" s="842"/>
      <c r="V88" s="824"/>
    </row>
    <row r="89" spans="1:22" s="826" customFormat="1" ht="22.8">
      <c r="A89" s="836"/>
      <c r="B89" s="1040" t="s">
        <v>911</v>
      </c>
      <c r="C89" s="1038"/>
      <c r="D89" s="954"/>
      <c r="E89" s="1072"/>
      <c r="F89" s="1069"/>
      <c r="G89" s="1060"/>
      <c r="H89" s="1060"/>
      <c r="I89" s="1060"/>
      <c r="J89" s="1060"/>
      <c r="K89" s="1060"/>
      <c r="L89" s="843"/>
      <c r="M89" s="842"/>
      <c r="N89" s="842"/>
      <c r="O89" s="843"/>
      <c r="P89" s="842"/>
      <c r="Q89" s="844"/>
      <c r="R89" s="1076">
        <f t="shared" si="3"/>
        <v>0</v>
      </c>
      <c r="S89" s="825"/>
      <c r="T89" s="1062">
        <f t="shared" si="4"/>
        <v>0</v>
      </c>
      <c r="U89" s="842"/>
      <c r="V89" s="824"/>
    </row>
    <row r="90" spans="1:22" s="826" customFormat="1" ht="22.8" hidden="1">
      <c r="A90" s="836">
        <v>15</v>
      </c>
      <c r="B90" s="823" t="s">
        <v>722</v>
      </c>
      <c r="C90" s="1041" t="s">
        <v>741</v>
      </c>
      <c r="D90" s="946" t="s">
        <v>663</v>
      </c>
      <c r="E90" s="1075">
        <v>2027</v>
      </c>
      <c r="F90" s="1069"/>
      <c r="G90" s="1060"/>
      <c r="H90" s="1060"/>
      <c r="I90" s="1060"/>
      <c r="J90" s="1060"/>
      <c r="K90" s="1060"/>
      <c r="L90" s="843"/>
      <c r="M90" s="842"/>
      <c r="N90" s="842"/>
      <c r="O90" s="843"/>
      <c r="P90" s="842"/>
      <c r="Q90" s="844"/>
      <c r="R90" s="1076">
        <f t="shared" si="3"/>
        <v>0</v>
      </c>
      <c r="S90" s="825"/>
      <c r="T90" s="1062">
        <f t="shared" si="4"/>
        <v>0</v>
      </c>
      <c r="U90" s="842"/>
      <c r="V90" s="824"/>
    </row>
    <row r="91" spans="1:22" s="826" customFormat="1" ht="22.8" hidden="1">
      <c r="A91" s="836"/>
      <c r="B91" s="823" t="s">
        <v>739</v>
      </c>
      <c r="C91" s="1038" t="s">
        <v>615</v>
      </c>
      <c r="D91" s="954"/>
      <c r="E91" s="1072"/>
      <c r="F91" s="1069"/>
      <c r="G91" s="1060"/>
      <c r="H91" s="1060"/>
      <c r="I91" s="1060"/>
      <c r="J91" s="1060"/>
      <c r="K91" s="1060"/>
      <c r="L91" s="843"/>
      <c r="M91" s="842"/>
      <c r="N91" s="842"/>
      <c r="O91" s="843"/>
      <c r="P91" s="842"/>
      <c r="Q91" s="844"/>
      <c r="R91" s="1076">
        <f t="shared" si="3"/>
        <v>0</v>
      </c>
      <c r="S91" s="825"/>
      <c r="T91" s="1062">
        <f t="shared" si="4"/>
        <v>0</v>
      </c>
      <c r="U91" s="842"/>
      <c r="V91" s="824"/>
    </row>
    <row r="92" spans="1:22" s="826" customFormat="1" ht="22.8" hidden="1">
      <c r="A92" s="836"/>
      <c r="B92" s="823"/>
      <c r="C92" s="1038"/>
      <c r="D92" s="954"/>
      <c r="E92" s="1072"/>
      <c r="F92" s="1069"/>
      <c r="G92" s="1060"/>
      <c r="H92" s="1060"/>
      <c r="I92" s="1060"/>
      <c r="J92" s="1060"/>
      <c r="K92" s="1060"/>
      <c r="L92" s="843"/>
      <c r="M92" s="842"/>
      <c r="N92" s="842"/>
      <c r="O92" s="843"/>
      <c r="P92" s="842"/>
      <c r="Q92" s="844"/>
      <c r="R92" s="1076">
        <f t="shared" si="3"/>
        <v>0</v>
      </c>
      <c r="S92" s="825"/>
      <c r="T92" s="1062">
        <f t="shared" si="4"/>
        <v>0</v>
      </c>
      <c r="U92" s="842"/>
      <c r="V92" s="824"/>
    </row>
    <row r="93" spans="1:22" s="826" customFormat="1" ht="22.8" hidden="1">
      <c r="A93" s="836"/>
      <c r="B93" s="1040" t="s">
        <v>740</v>
      </c>
      <c r="C93" s="1038"/>
      <c r="D93" s="954"/>
      <c r="E93" s="1072"/>
      <c r="F93" s="1069"/>
      <c r="G93" s="1060"/>
      <c r="H93" s="1060"/>
      <c r="I93" s="1060"/>
      <c r="J93" s="1060"/>
      <c r="K93" s="1060"/>
      <c r="L93" s="843"/>
      <c r="M93" s="842"/>
      <c r="N93" s="842"/>
      <c r="O93" s="843"/>
      <c r="P93" s="842"/>
      <c r="Q93" s="844"/>
      <c r="R93" s="1076">
        <f t="shared" si="3"/>
        <v>0</v>
      </c>
      <c r="S93" s="825"/>
      <c r="T93" s="1062">
        <f t="shared" si="4"/>
        <v>0</v>
      </c>
      <c r="U93" s="842"/>
      <c r="V93" s="824"/>
    </row>
    <row r="94" spans="1:22" s="826" customFormat="1" ht="22.8">
      <c r="A94" s="836">
        <v>7</v>
      </c>
      <c r="B94" s="1036" t="s">
        <v>982</v>
      </c>
      <c r="C94" s="1041" t="s">
        <v>914</v>
      </c>
      <c r="D94" s="947" t="s">
        <v>663</v>
      </c>
      <c r="E94" s="1075">
        <v>2027</v>
      </c>
      <c r="F94" s="1069"/>
      <c r="G94" s="1060"/>
      <c r="H94" s="1060"/>
      <c r="I94" s="1060"/>
      <c r="J94" s="1060"/>
      <c r="K94" s="1060"/>
      <c r="L94" s="843"/>
      <c r="M94" s="842"/>
      <c r="N94" s="842"/>
      <c r="O94" s="843"/>
      <c r="P94" s="842"/>
      <c r="Q94" s="844"/>
      <c r="R94" s="1076">
        <f t="shared" si="3"/>
        <v>0</v>
      </c>
      <c r="S94" s="825"/>
      <c r="T94" s="1062">
        <f t="shared" si="4"/>
        <v>0</v>
      </c>
      <c r="U94" s="842"/>
      <c r="V94" s="824"/>
    </row>
    <row r="95" spans="1:22" s="826" customFormat="1" ht="22.8">
      <c r="A95" s="836"/>
      <c r="B95" s="823" t="s">
        <v>952</v>
      </c>
      <c r="C95" s="1038" t="s">
        <v>615</v>
      </c>
      <c r="D95" s="954"/>
      <c r="E95" s="1072"/>
      <c r="F95" s="1069"/>
      <c r="G95" s="1060"/>
      <c r="H95" s="1060"/>
      <c r="I95" s="1060"/>
      <c r="J95" s="1060"/>
      <c r="K95" s="1060"/>
      <c r="L95" s="843"/>
      <c r="M95" s="842"/>
      <c r="N95" s="842"/>
      <c r="O95" s="843"/>
      <c r="P95" s="842"/>
      <c r="Q95" s="844"/>
      <c r="R95" s="1076">
        <f t="shared" ref="R95:R159" si="5">SUM(F95:Q95)</f>
        <v>0</v>
      </c>
      <c r="S95" s="825"/>
      <c r="T95" s="1062">
        <f t="shared" si="4"/>
        <v>0</v>
      </c>
      <c r="U95" s="842"/>
      <c r="V95" s="824"/>
    </row>
    <row r="96" spans="1:22" s="826" customFormat="1" ht="22.8">
      <c r="A96" s="836"/>
      <c r="B96" s="823" t="s">
        <v>953</v>
      </c>
      <c r="C96" s="1038" t="s">
        <v>688</v>
      </c>
      <c r="D96" s="954"/>
      <c r="E96" s="1072"/>
      <c r="F96" s="1069"/>
      <c r="G96" s="1060"/>
      <c r="H96" s="1060"/>
      <c r="I96" s="1060"/>
      <c r="J96" s="1060"/>
      <c r="K96" s="1060"/>
      <c r="L96" s="843"/>
      <c r="M96" s="842"/>
      <c r="N96" s="842"/>
      <c r="O96" s="843"/>
      <c r="P96" s="842"/>
      <c r="Q96" s="844"/>
      <c r="R96" s="1076">
        <f t="shared" si="5"/>
        <v>0</v>
      </c>
      <c r="S96" s="825"/>
      <c r="T96" s="1062">
        <f t="shared" si="4"/>
        <v>0</v>
      </c>
      <c r="U96" s="842"/>
      <c r="V96" s="824"/>
    </row>
    <row r="97" spans="1:22" s="826" customFormat="1" ht="22.8">
      <c r="A97" s="836"/>
      <c r="B97" s="1040" t="s">
        <v>983</v>
      </c>
      <c r="C97" s="1038"/>
      <c r="D97" s="954"/>
      <c r="E97" s="1072"/>
      <c r="F97" s="1069"/>
      <c r="G97" s="1060"/>
      <c r="H97" s="1060"/>
      <c r="I97" s="1060"/>
      <c r="J97" s="1060"/>
      <c r="K97" s="1060"/>
      <c r="L97" s="843"/>
      <c r="M97" s="842"/>
      <c r="N97" s="842"/>
      <c r="O97" s="843"/>
      <c r="P97" s="842"/>
      <c r="Q97" s="844"/>
      <c r="R97" s="1076">
        <f t="shared" si="5"/>
        <v>0</v>
      </c>
      <c r="S97" s="825"/>
      <c r="T97" s="1062">
        <f t="shared" si="4"/>
        <v>0</v>
      </c>
      <c r="U97" s="842"/>
      <c r="V97" s="824"/>
    </row>
    <row r="98" spans="1:22" s="826" customFormat="1" ht="22.8">
      <c r="A98" s="836"/>
      <c r="B98" s="1040" t="s">
        <v>916</v>
      </c>
      <c r="C98" s="1038"/>
      <c r="D98" s="954"/>
      <c r="E98" s="1072"/>
      <c r="F98" s="1069"/>
      <c r="G98" s="1060"/>
      <c r="H98" s="1060"/>
      <c r="I98" s="1060"/>
      <c r="J98" s="1060"/>
      <c r="K98" s="1060"/>
      <c r="L98" s="843"/>
      <c r="M98" s="842"/>
      <c r="N98" s="842"/>
      <c r="O98" s="843"/>
      <c r="P98" s="842"/>
      <c r="Q98" s="844"/>
      <c r="R98" s="1076">
        <f t="shared" si="5"/>
        <v>0</v>
      </c>
      <c r="S98" s="825"/>
      <c r="T98" s="1062">
        <f t="shared" si="4"/>
        <v>0</v>
      </c>
      <c r="U98" s="842"/>
      <c r="V98" s="824"/>
    </row>
    <row r="99" spans="1:22" s="826" customFormat="1" ht="22.8">
      <c r="A99" s="836">
        <v>8</v>
      </c>
      <c r="B99" s="1036" t="s">
        <v>919</v>
      </c>
      <c r="C99" s="1041" t="s">
        <v>917</v>
      </c>
      <c r="D99" s="947" t="s">
        <v>663</v>
      </c>
      <c r="E99" s="1075">
        <v>2027</v>
      </c>
      <c r="F99" s="1069"/>
      <c r="G99" s="1060"/>
      <c r="H99" s="1060"/>
      <c r="I99" s="1060"/>
      <c r="J99" s="1060"/>
      <c r="K99" s="1060"/>
      <c r="L99" s="843"/>
      <c r="M99" s="842"/>
      <c r="N99" s="842"/>
      <c r="O99" s="843"/>
      <c r="P99" s="842"/>
      <c r="Q99" s="844"/>
      <c r="R99" s="1076">
        <f t="shared" si="5"/>
        <v>0</v>
      </c>
      <c r="S99" s="825"/>
      <c r="T99" s="1062">
        <f t="shared" si="4"/>
        <v>0</v>
      </c>
      <c r="U99" s="842"/>
      <c r="V99" s="824"/>
    </row>
    <row r="100" spans="1:22" s="826" customFormat="1" ht="22.8">
      <c r="A100" s="836"/>
      <c r="B100" s="1036" t="s">
        <v>918</v>
      </c>
      <c r="C100" s="1038" t="s">
        <v>615</v>
      </c>
      <c r="D100" s="954"/>
      <c r="E100" s="1072"/>
      <c r="F100" s="1069"/>
      <c r="G100" s="1060"/>
      <c r="H100" s="1060"/>
      <c r="I100" s="1060"/>
      <c r="J100" s="1060"/>
      <c r="K100" s="1060"/>
      <c r="L100" s="843"/>
      <c r="M100" s="842"/>
      <c r="N100" s="842"/>
      <c r="O100" s="843"/>
      <c r="P100" s="842"/>
      <c r="Q100" s="844"/>
      <c r="R100" s="1076">
        <f t="shared" si="5"/>
        <v>0</v>
      </c>
      <c r="S100" s="825"/>
      <c r="T100" s="1062">
        <f t="shared" si="4"/>
        <v>0</v>
      </c>
      <c r="U100" s="842"/>
      <c r="V100" s="824"/>
    </row>
    <row r="101" spans="1:22" s="826" customFormat="1" ht="22.8">
      <c r="A101" s="836"/>
      <c r="B101" s="1036"/>
      <c r="C101" s="1038" t="s">
        <v>688</v>
      </c>
      <c r="D101" s="954"/>
      <c r="E101" s="1072"/>
      <c r="F101" s="1069"/>
      <c r="G101" s="1060"/>
      <c r="H101" s="1060"/>
      <c r="I101" s="1060"/>
      <c r="J101" s="1060"/>
      <c r="K101" s="1060"/>
      <c r="L101" s="843"/>
      <c r="M101" s="842"/>
      <c r="N101" s="842"/>
      <c r="O101" s="843"/>
      <c r="P101" s="842"/>
      <c r="Q101" s="844"/>
      <c r="R101" s="1076">
        <f t="shared" si="5"/>
        <v>0</v>
      </c>
      <c r="S101" s="825"/>
      <c r="T101" s="1062">
        <f t="shared" si="4"/>
        <v>0</v>
      </c>
      <c r="U101" s="842"/>
      <c r="V101" s="824"/>
    </row>
    <row r="102" spans="1:22" s="826" customFormat="1" ht="22.8">
      <c r="A102" s="836"/>
      <c r="B102" s="1040"/>
      <c r="C102" s="1038"/>
      <c r="D102" s="954"/>
      <c r="E102" s="1072"/>
      <c r="F102" s="1069"/>
      <c r="G102" s="1060"/>
      <c r="H102" s="1060"/>
      <c r="I102" s="1060"/>
      <c r="J102" s="1060"/>
      <c r="K102" s="1060"/>
      <c r="L102" s="843"/>
      <c r="M102" s="842"/>
      <c r="N102" s="842"/>
      <c r="O102" s="843"/>
      <c r="P102" s="842"/>
      <c r="Q102" s="844"/>
      <c r="R102" s="1076">
        <f t="shared" si="5"/>
        <v>0</v>
      </c>
      <c r="S102" s="825"/>
      <c r="T102" s="1062">
        <f t="shared" si="4"/>
        <v>0</v>
      </c>
      <c r="U102" s="842"/>
      <c r="V102" s="824"/>
    </row>
    <row r="103" spans="1:22" s="826" customFormat="1" ht="22.8">
      <c r="A103" s="836">
        <v>9</v>
      </c>
      <c r="B103" s="1036" t="s">
        <v>922</v>
      </c>
      <c r="C103" s="1041" t="s">
        <v>923</v>
      </c>
      <c r="D103" s="947" t="s">
        <v>663</v>
      </c>
      <c r="E103" s="1075">
        <v>2027</v>
      </c>
      <c r="F103" s="1069"/>
      <c r="G103" s="1060"/>
      <c r="H103" s="1060"/>
      <c r="I103" s="1060"/>
      <c r="J103" s="1060"/>
      <c r="K103" s="1060"/>
      <c r="L103" s="843"/>
      <c r="M103" s="842"/>
      <c r="N103" s="842"/>
      <c r="O103" s="843"/>
      <c r="P103" s="842"/>
      <c r="Q103" s="844"/>
      <c r="R103" s="1076">
        <f t="shared" si="5"/>
        <v>0</v>
      </c>
      <c r="S103" s="825"/>
      <c r="T103" s="1062">
        <f t="shared" si="4"/>
        <v>0</v>
      </c>
      <c r="U103" s="842"/>
      <c r="V103" s="824"/>
    </row>
    <row r="104" spans="1:22" s="826" customFormat="1" ht="22.8">
      <c r="A104" s="836"/>
      <c r="B104" s="1040"/>
      <c r="C104" s="1038" t="s">
        <v>615</v>
      </c>
      <c r="D104" s="954"/>
      <c r="E104" s="1072"/>
      <c r="F104" s="1069"/>
      <c r="G104" s="1060"/>
      <c r="H104" s="1060"/>
      <c r="I104" s="1060"/>
      <c r="J104" s="1060"/>
      <c r="K104" s="1060"/>
      <c r="L104" s="843"/>
      <c r="M104" s="842"/>
      <c r="N104" s="842"/>
      <c r="O104" s="843"/>
      <c r="P104" s="842"/>
      <c r="Q104" s="844"/>
      <c r="R104" s="1076">
        <f t="shared" si="5"/>
        <v>0</v>
      </c>
      <c r="S104" s="825"/>
      <c r="T104" s="1062">
        <f t="shared" si="4"/>
        <v>0</v>
      </c>
      <c r="U104" s="842">
        <v>0.47</v>
      </c>
      <c r="V104" s="824"/>
    </row>
    <row r="105" spans="1:22" s="826" customFormat="1" ht="22.8">
      <c r="A105" s="836"/>
      <c r="B105" s="1040"/>
      <c r="C105" s="1038" t="s">
        <v>925</v>
      </c>
      <c r="D105" s="954"/>
      <c r="E105" s="1072"/>
      <c r="F105" s="1069"/>
      <c r="G105" s="1060"/>
      <c r="H105" s="1060"/>
      <c r="I105" s="1060"/>
      <c r="J105" s="1060"/>
      <c r="K105" s="1060"/>
      <c r="L105" s="843"/>
      <c r="M105" s="842"/>
      <c r="N105" s="842"/>
      <c r="O105" s="843"/>
      <c r="P105" s="842"/>
      <c r="Q105" s="844"/>
      <c r="R105" s="1076">
        <f t="shared" si="5"/>
        <v>0</v>
      </c>
      <c r="S105" s="825"/>
      <c r="T105" s="1062">
        <f t="shared" si="4"/>
        <v>0</v>
      </c>
      <c r="U105" s="842">
        <v>0.12</v>
      </c>
      <c r="V105" s="824"/>
    </row>
    <row r="106" spans="1:22" s="826" customFormat="1" ht="22.8">
      <c r="A106" s="836">
        <v>10</v>
      </c>
      <c r="B106" s="1036" t="s">
        <v>924</v>
      </c>
      <c r="C106" s="1041" t="s">
        <v>926</v>
      </c>
      <c r="D106" s="947" t="s">
        <v>663</v>
      </c>
      <c r="E106" s="1075">
        <v>2026</v>
      </c>
      <c r="F106" s="1069"/>
      <c r="G106" s="1060"/>
      <c r="H106" s="1060"/>
      <c r="I106" s="1060"/>
      <c r="J106" s="1060"/>
      <c r="K106" s="1060"/>
      <c r="L106" s="843"/>
      <c r="M106" s="842"/>
      <c r="N106" s="842"/>
      <c r="O106" s="843"/>
      <c r="P106" s="842"/>
      <c r="Q106" s="844"/>
      <c r="R106" s="1076">
        <f t="shared" si="5"/>
        <v>0</v>
      </c>
      <c r="S106" s="825"/>
      <c r="T106" s="1062">
        <f t="shared" si="4"/>
        <v>0</v>
      </c>
      <c r="U106" s="842"/>
      <c r="V106" s="824"/>
    </row>
    <row r="107" spans="1:22" s="826" customFormat="1" ht="22.8">
      <c r="A107" s="836"/>
      <c r="B107" s="1040"/>
      <c r="C107" s="1038" t="s">
        <v>615</v>
      </c>
      <c r="D107" s="954"/>
      <c r="E107" s="1072"/>
      <c r="F107" s="1069"/>
      <c r="G107" s="1060"/>
      <c r="H107" s="1060">
        <v>0.01</v>
      </c>
      <c r="I107" s="1060"/>
      <c r="J107" s="1060"/>
      <c r="K107" s="1060"/>
      <c r="L107" s="843"/>
      <c r="M107" s="842"/>
      <c r="N107" s="842"/>
      <c r="O107" s="843"/>
      <c r="P107" s="842"/>
      <c r="Q107" s="844"/>
      <c r="R107" s="1076">
        <f t="shared" si="5"/>
        <v>0.01</v>
      </c>
      <c r="S107" s="825">
        <v>1</v>
      </c>
      <c r="T107" s="1062">
        <f t="shared" si="4"/>
        <v>0.01</v>
      </c>
      <c r="U107" s="842"/>
      <c r="V107" s="824"/>
    </row>
    <row r="108" spans="1:22" s="826" customFormat="1" ht="22.8">
      <c r="A108" s="836"/>
      <c r="B108" s="1040"/>
      <c r="C108" s="1038"/>
      <c r="D108" s="954"/>
      <c r="E108" s="1072"/>
      <c r="F108" s="1069"/>
      <c r="G108" s="1060"/>
      <c r="H108" s="1060"/>
      <c r="I108" s="1060"/>
      <c r="J108" s="1060"/>
      <c r="K108" s="1060"/>
      <c r="L108" s="843"/>
      <c r="M108" s="842"/>
      <c r="N108" s="842"/>
      <c r="O108" s="843"/>
      <c r="P108" s="842"/>
      <c r="Q108" s="844"/>
      <c r="R108" s="1076">
        <f t="shared" si="5"/>
        <v>0</v>
      </c>
      <c r="S108" s="825"/>
      <c r="T108" s="1062">
        <f t="shared" si="4"/>
        <v>0</v>
      </c>
      <c r="U108" s="842"/>
      <c r="V108" s="824"/>
    </row>
    <row r="109" spans="1:22" s="826" customFormat="1" ht="22.8">
      <c r="A109" s="836">
        <v>11</v>
      </c>
      <c r="B109" s="1036" t="s">
        <v>930</v>
      </c>
      <c r="C109" s="1041" t="s">
        <v>929</v>
      </c>
      <c r="D109" s="947" t="s">
        <v>663</v>
      </c>
      <c r="E109" s="1075">
        <v>2026</v>
      </c>
      <c r="F109" s="1069"/>
      <c r="G109" s="1060"/>
      <c r="H109" s="1060"/>
      <c r="I109" s="1060"/>
      <c r="J109" s="1060"/>
      <c r="K109" s="1060"/>
      <c r="L109" s="843"/>
      <c r="M109" s="842"/>
      <c r="N109" s="842"/>
      <c r="O109" s="843"/>
      <c r="P109" s="842"/>
      <c r="Q109" s="844"/>
      <c r="R109" s="1076">
        <f t="shared" si="5"/>
        <v>0</v>
      </c>
      <c r="S109" s="825"/>
      <c r="T109" s="1062">
        <f t="shared" si="4"/>
        <v>0</v>
      </c>
      <c r="U109" s="842"/>
      <c r="V109" s="824"/>
    </row>
    <row r="110" spans="1:22" s="826" customFormat="1" ht="22.8">
      <c r="A110" s="836"/>
      <c r="B110" s="1040"/>
      <c r="C110" s="1038" t="s">
        <v>931</v>
      </c>
      <c r="D110" s="954"/>
      <c r="E110" s="1072"/>
      <c r="F110" s="1069"/>
      <c r="G110" s="1060"/>
      <c r="H110" s="1060"/>
      <c r="I110" s="1060">
        <v>3.9E-2</v>
      </c>
      <c r="J110" s="1060"/>
      <c r="K110" s="1060"/>
      <c r="L110" s="843"/>
      <c r="M110" s="842"/>
      <c r="N110" s="842"/>
      <c r="O110" s="843"/>
      <c r="P110" s="842"/>
      <c r="Q110" s="844"/>
      <c r="R110" s="1076">
        <f t="shared" si="5"/>
        <v>3.9E-2</v>
      </c>
      <c r="S110" s="825">
        <v>0.5</v>
      </c>
      <c r="T110" s="1062">
        <f t="shared" si="4"/>
        <v>1.95E-2</v>
      </c>
      <c r="U110" s="842"/>
      <c r="V110" s="824"/>
    </row>
    <row r="111" spans="1:22" s="826" customFormat="1" ht="22.8">
      <c r="A111" s="836"/>
      <c r="B111" s="1040"/>
      <c r="C111" s="1038"/>
      <c r="D111" s="954"/>
      <c r="E111" s="1072"/>
      <c r="F111" s="1069"/>
      <c r="G111" s="1060"/>
      <c r="H111" s="1060"/>
      <c r="I111" s="1060"/>
      <c r="J111" s="1060"/>
      <c r="K111" s="1060"/>
      <c r="L111" s="843"/>
      <c r="M111" s="842"/>
      <c r="N111" s="842"/>
      <c r="O111" s="843"/>
      <c r="P111" s="842"/>
      <c r="Q111" s="844"/>
      <c r="R111" s="1076">
        <f t="shared" si="5"/>
        <v>0</v>
      </c>
      <c r="S111" s="825"/>
      <c r="T111" s="1062">
        <f t="shared" si="4"/>
        <v>0</v>
      </c>
      <c r="U111" s="842"/>
      <c r="V111" s="824"/>
    </row>
    <row r="112" spans="1:22" s="826" customFormat="1" ht="22.8">
      <c r="A112" s="836">
        <v>12</v>
      </c>
      <c r="B112" s="1036" t="s">
        <v>932</v>
      </c>
      <c r="C112" s="1041" t="s">
        <v>934</v>
      </c>
      <c r="D112" s="947" t="s">
        <v>663</v>
      </c>
      <c r="E112" s="1075">
        <v>2026</v>
      </c>
      <c r="F112" s="1069"/>
      <c r="G112" s="1060"/>
      <c r="H112" s="1060"/>
      <c r="I112" s="1060"/>
      <c r="J112" s="1060"/>
      <c r="K112" s="1060"/>
      <c r="L112" s="843"/>
      <c r="M112" s="842"/>
      <c r="N112" s="842"/>
      <c r="O112" s="843"/>
      <c r="P112" s="842"/>
      <c r="Q112" s="844"/>
      <c r="R112" s="1076">
        <v>2.1000000000000001E-2</v>
      </c>
      <c r="S112" s="825">
        <v>0.1</v>
      </c>
      <c r="T112" s="1062">
        <f t="shared" si="4"/>
        <v>2.1000000000000003E-3</v>
      </c>
      <c r="U112" s="842"/>
      <c r="V112" s="824" t="s">
        <v>758</v>
      </c>
    </row>
    <row r="113" spans="1:22" s="826" customFormat="1" ht="22.8">
      <c r="A113" s="836"/>
      <c r="B113" s="823" t="s">
        <v>933</v>
      </c>
      <c r="C113" s="1038" t="s">
        <v>615</v>
      </c>
      <c r="D113" s="954"/>
      <c r="E113" s="1072"/>
      <c r="F113" s="1069"/>
      <c r="G113" s="1060"/>
      <c r="H113" s="1060"/>
      <c r="I113" s="1060"/>
      <c r="J113" s="1060"/>
      <c r="K113" s="1060"/>
      <c r="L113" s="843"/>
      <c r="M113" s="842"/>
      <c r="N113" s="842"/>
      <c r="O113" s="843"/>
      <c r="P113" s="842"/>
      <c r="Q113" s="844"/>
      <c r="R113" s="1076">
        <f t="shared" si="5"/>
        <v>0</v>
      </c>
      <c r="S113" s="825"/>
      <c r="T113" s="1062">
        <f t="shared" si="4"/>
        <v>0</v>
      </c>
      <c r="U113" s="842"/>
      <c r="V113" s="824"/>
    </row>
    <row r="114" spans="1:22" s="826" customFormat="1" ht="22.8">
      <c r="A114" s="836"/>
      <c r="B114" s="1040"/>
      <c r="C114" s="1038"/>
      <c r="D114" s="954"/>
      <c r="E114" s="1072"/>
      <c r="F114" s="1069"/>
      <c r="G114" s="1060"/>
      <c r="H114" s="1060"/>
      <c r="I114" s="1060"/>
      <c r="J114" s="1060"/>
      <c r="K114" s="1060"/>
      <c r="L114" s="843"/>
      <c r="M114" s="842"/>
      <c r="N114" s="842"/>
      <c r="O114" s="843"/>
      <c r="P114" s="842"/>
      <c r="Q114" s="844"/>
      <c r="R114" s="1076">
        <f t="shared" si="5"/>
        <v>0</v>
      </c>
      <c r="S114" s="825"/>
      <c r="T114" s="1062">
        <f t="shared" si="4"/>
        <v>0</v>
      </c>
      <c r="U114" s="842"/>
      <c r="V114" s="824"/>
    </row>
    <row r="115" spans="1:22" s="826" customFormat="1" ht="22.8">
      <c r="A115" s="836">
        <v>13</v>
      </c>
      <c r="B115" s="1036" t="s">
        <v>932</v>
      </c>
      <c r="C115" s="1041" t="s">
        <v>935</v>
      </c>
      <c r="D115" s="947" t="s">
        <v>663</v>
      </c>
      <c r="E115" s="1075">
        <v>2026</v>
      </c>
      <c r="F115" s="1069"/>
      <c r="G115" s="1060"/>
      <c r="H115" s="1060"/>
      <c r="I115" s="1060"/>
      <c r="J115" s="1060"/>
      <c r="K115" s="1060"/>
      <c r="L115" s="843"/>
      <c r="M115" s="842"/>
      <c r="N115" s="842"/>
      <c r="O115" s="843"/>
      <c r="P115" s="842"/>
      <c r="Q115" s="844"/>
      <c r="R115" s="1076">
        <v>1.7000000000000001E-2</v>
      </c>
      <c r="S115" s="825">
        <v>0.1</v>
      </c>
      <c r="T115" s="1062">
        <f t="shared" si="4"/>
        <v>1.7000000000000001E-3</v>
      </c>
      <c r="U115" s="842"/>
      <c r="V115" s="824" t="s">
        <v>758</v>
      </c>
    </row>
    <row r="116" spans="1:22" s="826" customFormat="1" ht="22.8">
      <c r="A116" s="836"/>
      <c r="B116" s="823" t="s">
        <v>933</v>
      </c>
      <c r="C116" s="1038" t="s">
        <v>615</v>
      </c>
      <c r="D116" s="954"/>
      <c r="E116" s="1072"/>
      <c r="F116" s="1069"/>
      <c r="G116" s="1060"/>
      <c r="H116" s="1060"/>
      <c r="I116" s="1060"/>
      <c r="J116" s="1060"/>
      <c r="K116" s="1060"/>
      <c r="L116" s="843"/>
      <c r="M116" s="842"/>
      <c r="N116" s="842"/>
      <c r="O116" s="843"/>
      <c r="P116" s="842"/>
      <c r="Q116" s="844"/>
      <c r="R116" s="1076">
        <f t="shared" si="5"/>
        <v>0</v>
      </c>
      <c r="S116" s="825"/>
      <c r="T116" s="1062">
        <f t="shared" si="4"/>
        <v>0</v>
      </c>
      <c r="U116" s="842"/>
      <c r="V116" s="824"/>
    </row>
    <row r="117" spans="1:22" s="826" customFormat="1" ht="22.8">
      <c r="A117" s="836"/>
      <c r="B117" s="823"/>
      <c r="C117" s="1038"/>
      <c r="D117" s="954"/>
      <c r="E117" s="1072"/>
      <c r="F117" s="1069"/>
      <c r="G117" s="1060"/>
      <c r="H117" s="1060"/>
      <c r="I117" s="1060"/>
      <c r="J117" s="1060"/>
      <c r="K117" s="1060"/>
      <c r="L117" s="843"/>
      <c r="M117" s="842"/>
      <c r="N117" s="842"/>
      <c r="O117" s="843"/>
      <c r="P117" s="842"/>
      <c r="Q117" s="844"/>
      <c r="R117" s="1076">
        <f t="shared" si="5"/>
        <v>0</v>
      </c>
      <c r="S117" s="825"/>
      <c r="T117" s="1062">
        <f t="shared" si="4"/>
        <v>0</v>
      </c>
      <c r="U117" s="842"/>
      <c r="V117" s="824"/>
    </row>
    <row r="118" spans="1:22" s="826" customFormat="1" ht="22.8">
      <c r="A118" s="836">
        <v>14</v>
      </c>
      <c r="B118" s="1036" t="s">
        <v>942</v>
      </c>
      <c r="C118" s="1041" t="s">
        <v>948</v>
      </c>
      <c r="D118" s="947" t="s">
        <v>663</v>
      </c>
      <c r="E118" s="1072"/>
      <c r="F118" s="1069"/>
      <c r="G118" s="1060"/>
      <c r="H118" s="1060"/>
      <c r="I118" s="1060"/>
      <c r="J118" s="1060"/>
      <c r="K118" s="1060"/>
      <c r="L118" s="843"/>
      <c r="M118" s="842"/>
      <c r="N118" s="842"/>
      <c r="O118" s="843"/>
      <c r="P118" s="842"/>
      <c r="Q118" s="844"/>
      <c r="R118" s="1076">
        <f t="shared" si="5"/>
        <v>0</v>
      </c>
      <c r="S118" s="825"/>
      <c r="T118" s="1062">
        <f t="shared" si="4"/>
        <v>0</v>
      </c>
      <c r="U118" s="842"/>
      <c r="V118" s="824"/>
    </row>
    <row r="119" spans="1:22" s="826" customFormat="1" ht="22.8">
      <c r="A119" s="836"/>
      <c r="B119" s="823" t="s">
        <v>943</v>
      </c>
      <c r="C119" s="1038" t="s">
        <v>615</v>
      </c>
      <c r="D119" s="954"/>
      <c r="E119" s="1072"/>
      <c r="F119" s="1069"/>
      <c r="G119" s="1060"/>
      <c r="H119" s="1060"/>
      <c r="I119" s="1060"/>
      <c r="J119" s="1060"/>
      <c r="K119" s="1060"/>
      <c r="L119" s="843"/>
      <c r="M119" s="842"/>
      <c r="N119" s="842"/>
      <c r="O119" s="843"/>
      <c r="P119" s="842"/>
      <c r="Q119" s="844"/>
      <c r="R119" s="1076">
        <f t="shared" si="5"/>
        <v>0</v>
      </c>
      <c r="S119" s="825"/>
      <c r="T119" s="1062">
        <f t="shared" si="4"/>
        <v>0</v>
      </c>
      <c r="U119" s="842"/>
      <c r="V119" s="824"/>
    </row>
    <row r="120" spans="1:22" s="826" customFormat="1" ht="22.8">
      <c r="A120" s="836"/>
      <c r="B120" s="823" t="s">
        <v>944</v>
      </c>
      <c r="C120" s="1038"/>
      <c r="D120" s="954"/>
      <c r="E120" s="1072"/>
      <c r="F120" s="1069"/>
      <c r="G120" s="1060"/>
      <c r="H120" s="1060"/>
      <c r="I120" s="1060"/>
      <c r="J120" s="1060"/>
      <c r="K120" s="1060"/>
      <c r="L120" s="843"/>
      <c r="M120" s="842"/>
      <c r="N120" s="842"/>
      <c r="O120" s="843"/>
      <c r="P120" s="842"/>
      <c r="Q120" s="844"/>
      <c r="R120" s="1076">
        <f t="shared" si="5"/>
        <v>0</v>
      </c>
      <c r="S120" s="825"/>
      <c r="T120" s="1062">
        <f t="shared" si="4"/>
        <v>0</v>
      </c>
      <c r="U120" s="842"/>
      <c r="V120" s="824"/>
    </row>
    <row r="121" spans="1:22" s="826" customFormat="1" ht="22.8">
      <c r="A121" s="836"/>
      <c r="B121" s="1040" t="s">
        <v>945</v>
      </c>
      <c r="C121" s="1038"/>
      <c r="D121" s="954"/>
      <c r="E121" s="1072"/>
      <c r="F121" s="1069"/>
      <c r="G121" s="1060"/>
      <c r="H121" s="1060"/>
      <c r="I121" s="1060"/>
      <c r="J121" s="1060"/>
      <c r="K121" s="1060"/>
      <c r="L121" s="843"/>
      <c r="M121" s="842"/>
      <c r="N121" s="842"/>
      <c r="O121" s="843"/>
      <c r="P121" s="842"/>
      <c r="Q121" s="844"/>
      <c r="R121" s="1076">
        <f t="shared" si="5"/>
        <v>0</v>
      </c>
      <c r="S121" s="825"/>
      <c r="T121" s="1062">
        <f t="shared" si="4"/>
        <v>0</v>
      </c>
      <c r="U121" s="842"/>
      <c r="V121" s="824"/>
    </row>
    <row r="122" spans="1:22" s="826" customFormat="1" ht="22.8">
      <c r="A122" s="1112">
        <v>15</v>
      </c>
      <c r="B122" s="823" t="s">
        <v>964</v>
      </c>
      <c r="C122" s="1041" t="s">
        <v>963</v>
      </c>
      <c r="D122" s="946" t="s">
        <v>611</v>
      </c>
      <c r="E122" s="1072"/>
      <c r="F122" s="1069"/>
      <c r="G122" s="1060"/>
      <c r="H122" s="1060"/>
      <c r="I122" s="1060"/>
      <c r="J122" s="1060"/>
      <c r="K122" s="1060"/>
      <c r="L122" s="843"/>
      <c r="M122" s="842"/>
      <c r="N122" s="842"/>
      <c r="O122" s="843"/>
      <c r="P122" s="842"/>
      <c r="Q122" s="844"/>
      <c r="R122" s="1076">
        <f t="shared" si="5"/>
        <v>0</v>
      </c>
      <c r="S122" s="825"/>
      <c r="T122" s="1062">
        <f t="shared" si="4"/>
        <v>0</v>
      </c>
      <c r="U122" s="842"/>
      <c r="V122" s="824"/>
    </row>
    <row r="123" spans="1:22" s="826" customFormat="1" ht="22.8">
      <c r="A123" s="836"/>
      <c r="B123" s="1080" t="s">
        <v>965</v>
      </c>
      <c r="C123" s="1038" t="s">
        <v>987</v>
      </c>
      <c r="D123" s="954"/>
      <c r="E123" s="1072"/>
      <c r="F123" s="1069"/>
      <c r="G123" s="1060"/>
      <c r="H123" s="1060"/>
      <c r="I123" s="1060"/>
      <c r="J123" s="1060"/>
      <c r="K123" s="1060"/>
      <c r="L123" s="843"/>
      <c r="M123" s="842"/>
      <c r="N123" s="842"/>
      <c r="O123" s="843"/>
      <c r="P123" s="842"/>
      <c r="Q123" s="844">
        <v>0.3</v>
      </c>
      <c r="R123" s="1076">
        <v>0.5</v>
      </c>
      <c r="S123" s="825">
        <v>0.1</v>
      </c>
      <c r="T123" s="1062">
        <f t="shared" si="4"/>
        <v>0.05</v>
      </c>
      <c r="U123" s="842"/>
      <c r="V123" s="824"/>
    </row>
    <row r="124" spans="1:22" s="826" customFormat="1" ht="22.8">
      <c r="A124" s="836"/>
      <c r="B124" s="1080" t="s">
        <v>966</v>
      </c>
      <c r="C124" s="1038" t="s">
        <v>993</v>
      </c>
      <c r="D124" s="954"/>
      <c r="E124" s="1072"/>
      <c r="F124" s="1069"/>
      <c r="G124" s="1060"/>
      <c r="H124" s="1060"/>
      <c r="I124" s="1060"/>
      <c r="J124" s="1060"/>
      <c r="K124" s="1060"/>
      <c r="L124" s="843"/>
      <c r="M124" s="842"/>
      <c r="N124" s="842"/>
      <c r="O124" s="843"/>
      <c r="P124" s="842"/>
      <c r="Q124" s="844">
        <v>0.5</v>
      </c>
      <c r="R124" s="1076">
        <v>0.3</v>
      </c>
      <c r="S124" s="825">
        <v>0.1</v>
      </c>
      <c r="T124" s="1062">
        <f t="shared" si="4"/>
        <v>0.03</v>
      </c>
      <c r="U124" s="842"/>
      <c r="V124" s="824"/>
    </row>
    <row r="125" spans="1:22" s="826" customFormat="1" ht="22.8">
      <c r="A125" s="836"/>
      <c r="B125" s="1080" t="s">
        <v>967</v>
      </c>
      <c r="C125" s="1038"/>
      <c r="D125" s="954"/>
      <c r="E125" s="1072"/>
      <c r="F125" s="1069"/>
      <c r="G125" s="1060"/>
      <c r="H125" s="1060"/>
      <c r="I125" s="1060"/>
      <c r="J125" s="1060"/>
      <c r="K125" s="1060"/>
      <c r="L125" s="843"/>
      <c r="M125" s="842"/>
      <c r="N125" s="842"/>
      <c r="O125" s="843"/>
      <c r="P125" s="842"/>
      <c r="Q125" s="844"/>
      <c r="R125" s="1076">
        <f t="shared" si="5"/>
        <v>0</v>
      </c>
      <c r="S125" s="825"/>
      <c r="T125" s="1062">
        <f t="shared" si="4"/>
        <v>0</v>
      </c>
      <c r="U125" s="842"/>
      <c r="V125" s="824"/>
    </row>
    <row r="126" spans="1:22" s="826" customFormat="1" ht="22.8">
      <c r="A126" s="836"/>
      <c r="B126" s="1080" t="s">
        <v>968</v>
      </c>
      <c r="C126" s="1038"/>
      <c r="D126" s="954"/>
      <c r="E126" s="1072"/>
      <c r="F126" s="1069"/>
      <c r="G126" s="1060"/>
      <c r="H126" s="1060"/>
      <c r="I126" s="1060"/>
      <c r="J126" s="1060"/>
      <c r="K126" s="1060"/>
      <c r="L126" s="843"/>
      <c r="M126" s="842"/>
      <c r="N126" s="842"/>
      <c r="O126" s="843"/>
      <c r="P126" s="842"/>
      <c r="Q126" s="844"/>
      <c r="R126" s="1076">
        <f t="shared" si="5"/>
        <v>0</v>
      </c>
      <c r="S126" s="825"/>
      <c r="T126" s="1062">
        <f t="shared" si="4"/>
        <v>0</v>
      </c>
      <c r="U126" s="842"/>
      <c r="V126" s="824"/>
    </row>
    <row r="127" spans="1:22" s="826" customFormat="1" ht="22.8">
      <c r="A127" s="836"/>
      <c r="B127" s="1080" t="s">
        <v>969</v>
      </c>
      <c r="C127" s="1038"/>
      <c r="D127" s="954"/>
      <c r="E127" s="1072"/>
      <c r="F127" s="1069"/>
      <c r="G127" s="1060"/>
      <c r="H127" s="1060"/>
      <c r="I127" s="1060"/>
      <c r="J127" s="1060"/>
      <c r="K127" s="1060"/>
      <c r="L127" s="843"/>
      <c r="M127" s="842"/>
      <c r="N127" s="842"/>
      <c r="O127" s="843"/>
      <c r="P127" s="842"/>
      <c r="Q127" s="844"/>
      <c r="R127" s="1076">
        <f t="shared" si="5"/>
        <v>0</v>
      </c>
      <c r="S127" s="825"/>
      <c r="T127" s="1062">
        <f t="shared" si="4"/>
        <v>0</v>
      </c>
      <c r="U127" s="842"/>
      <c r="V127" s="824"/>
    </row>
    <row r="128" spans="1:22" s="826" customFormat="1" ht="22.8">
      <c r="A128" s="836"/>
      <c r="B128" s="1080" t="s">
        <v>970</v>
      </c>
      <c r="C128" s="1038"/>
      <c r="D128" s="954"/>
      <c r="E128" s="1072"/>
      <c r="F128" s="1069"/>
      <c r="G128" s="1060"/>
      <c r="H128" s="1060"/>
      <c r="I128" s="1060"/>
      <c r="J128" s="1060"/>
      <c r="K128" s="1060"/>
      <c r="L128" s="843"/>
      <c r="M128" s="842"/>
      <c r="N128" s="842"/>
      <c r="O128" s="843"/>
      <c r="P128" s="842"/>
      <c r="Q128" s="844"/>
      <c r="R128" s="1076">
        <f t="shared" si="5"/>
        <v>0</v>
      </c>
      <c r="S128" s="825"/>
      <c r="T128" s="1062">
        <f t="shared" si="4"/>
        <v>0</v>
      </c>
      <c r="U128" s="842"/>
      <c r="V128" s="824"/>
    </row>
    <row r="129" spans="1:22" s="826" customFormat="1" ht="22.8">
      <c r="A129" s="836"/>
      <c r="B129" s="1080" t="s">
        <v>1010</v>
      </c>
      <c r="C129" s="1038"/>
      <c r="D129" s="954"/>
      <c r="E129" s="1072"/>
      <c r="F129" s="1069"/>
      <c r="G129" s="1060"/>
      <c r="H129" s="1060"/>
      <c r="I129" s="1060"/>
      <c r="J129" s="1060"/>
      <c r="K129" s="1060"/>
      <c r="L129" s="843"/>
      <c r="M129" s="842"/>
      <c r="N129" s="842"/>
      <c r="O129" s="843"/>
      <c r="P129" s="842"/>
      <c r="Q129" s="844"/>
      <c r="R129" s="1076">
        <f t="shared" si="5"/>
        <v>0</v>
      </c>
      <c r="S129" s="825"/>
      <c r="T129" s="1062">
        <f t="shared" si="4"/>
        <v>0</v>
      </c>
      <c r="U129" s="842"/>
      <c r="V129" s="824"/>
    </row>
    <row r="130" spans="1:22" s="826" customFormat="1" ht="22.8">
      <c r="A130" s="836"/>
      <c r="B130" s="1080" t="s">
        <v>962</v>
      </c>
      <c r="C130" s="1038"/>
      <c r="D130" s="954"/>
      <c r="E130" s="1072"/>
      <c r="F130" s="1069"/>
      <c r="G130" s="1060"/>
      <c r="H130" s="1060"/>
      <c r="I130" s="1060"/>
      <c r="J130" s="1060"/>
      <c r="K130" s="1060"/>
      <c r="L130" s="843"/>
      <c r="M130" s="842"/>
      <c r="N130" s="842"/>
      <c r="O130" s="843"/>
      <c r="P130" s="842"/>
      <c r="Q130" s="844"/>
      <c r="R130" s="1076"/>
      <c r="S130" s="825"/>
      <c r="T130" s="1062"/>
      <c r="U130" s="842"/>
      <c r="V130" s="824"/>
    </row>
    <row r="131" spans="1:22" s="826" customFormat="1" ht="22.8">
      <c r="A131" s="1112">
        <v>16</v>
      </c>
      <c r="B131" s="823" t="s">
        <v>984</v>
      </c>
      <c r="C131" s="1041" t="s">
        <v>738</v>
      </c>
      <c r="D131" s="946" t="s">
        <v>611</v>
      </c>
      <c r="E131" s="1072"/>
      <c r="F131" s="1069"/>
      <c r="G131" s="1060"/>
      <c r="H131" s="1060"/>
      <c r="I131" s="1060"/>
      <c r="J131" s="1060"/>
      <c r="K131" s="1060"/>
      <c r="L131" s="843"/>
      <c r="M131" s="842"/>
      <c r="N131" s="842"/>
      <c r="O131" s="843"/>
      <c r="P131" s="842"/>
      <c r="Q131" s="844"/>
      <c r="R131" s="1076">
        <f t="shared" si="5"/>
        <v>0</v>
      </c>
      <c r="S131" s="825"/>
      <c r="T131" s="1062">
        <f t="shared" si="4"/>
        <v>0</v>
      </c>
      <c r="U131" s="842"/>
      <c r="V131" s="824" t="s">
        <v>798</v>
      </c>
    </row>
    <row r="132" spans="1:22" s="826" customFormat="1" ht="22.8">
      <c r="A132" s="836"/>
      <c r="B132" s="823" t="s">
        <v>971</v>
      </c>
      <c r="C132" s="1038" t="s">
        <v>615</v>
      </c>
      <c r="D132" s="954"/>
      <c r="E132" s="1072"/>
      <c r="F132" s="1069"/>
      <c r="G132" s="1060"/>
      <c r="H132" s="1060"/>
      <c r="I132" s="1060"/>
      <c r="J132" s="1060"/>
      <c r="K132" s="1060"/>
      <c r="L132" s="843"/>
      <c r="M132" s="842"/>
      <c r="N132" s="842"/>
      <c r="O132" s="843"/>
      <c r="P132" s="842"/>
      <c r="Q132" s="844"/>
      <c r="R132" s="1076">
        <f t="shared" si="5"/>
        <v>0</v>
      </c>
      <c r="S132" s="825"/>
      <c r="T132" s="1062">
        <f t="shared" si="4"/>
        <v>0</v>
      </c>
      <c r="U132" s="842"/>
      <c r="V132" s="824"/>
    </row>
    <row r="133" spans="1:22" s="826" customFormat="1" ht="22.8">
      <c r="A133" s="836"/>
      <c r="B133" s="823"/>
      <c r="C133" s="1038" t="s">
        <v>688</v>
      </c>
      <c r="D133" s="954"/>
      <c r="E133" s="1072"/>
      <c r="F133" s="1069"/>
      <c r="G133" s="1060"/>
      <c r="H133" s="1060"/>
      <c r="I133" s="1060"/>
      <c r="J133" s="1060"/>
      <c r="K133" s="1060"/>
      <c r="L133" s="843"/>
      <c r="M133" s="842"/>
      <c r="N133" s="842"/>
      <c r="O133" s="843"/>
      <c r="P133" s="842"/>
      <c r="Q133" s="844"/>
      <c r="R133" s="1076">
        <f t="shared" si="5"/>
        <v>0</v>
      </c>
      <c r="S133" s="825"/>
      <c r="T133" s="1062">
        <f t="shared" si="4"/>
        <v>0</v>
      </c>
      <c r="U133" s="842"/>
      <c r="V133" s="824"/>
    </row>
    <row r="134" spans="1:22" s="826" customFormat="1" ht="22.8">
      <c r="A134" s="836"/>
      <c r="B134" s="1040" t="s">
        <v>736</v>
      </c>
      <c r="C134" s="1038"/>
      <c r="D134" s="954"/>
      <c r="E134" s="1072"/>
      <c r="F134" s="1069"/>
      <c r="G134" s="1060"/>
      <c r="H134" s="1060"/>
      <c r="I134" s="1060"/>
      <c r="J134" s="1060"/>
      <c r="K134" s="1060"/>
      <c r="L134" s="843"/>
      <c r="M134" s="842"/>
      <c r="N134" s="842"/>
      <c r="O134" s="843"/>
      <c r="P134" s="842"/>
      <c r="Q134" s="844"/>
      <c r="R134" s="1076">
        <f t="shared" si="5"/>
        <v>0</v>
      </c>
      <c r="S134" s="825"/>
      <c r="T134" s="1062">
        <f t="shared" ref="T134:T198" si="6">R134*S134</f>
        <v>0</v>
      </c>
      <c r="U134" s="842"/>
      <c r="V134" s="824"/>
    </row>
    <row r="135" spans="1:22" s="826" customFormat="1" ht="22.8">
      <c r="A135" s="1112">
        <v>17</v>
      </c>
      <c r="B135" s="823" t="s">
        <v>985</v>
      </c>
      <c r="C135" s="1041" t="s">
        <v>734</v>
      </c>
      <c r="D135" s="946" t="s">
        <v>611</v>
      </c>
      <c r="E135" s="1072"/>
      <c r="F135" s="1069"/>
      <c r="G135" s="1060"/>
      <c r="H135" s="1060"/>
      <c r="I135" s="1060"/>
      <c r="J135" s="1060"/>
      <c r="K135" s="1060"/>
      <c r="L135" s="843"/>
      <c r="M135" s="842"/>
      <c r="N135" s="842"/>
      <c r="O135" s="843"/>
      <c r="P135" s="842"/>
      <c r="Q135" s="844"/>
      <c r="R135" s="1076">
        <f t="shared" si="5"/>
        <v>0</v>
      </c>
      <c r="S135" s="825"/>
      <c r="T135" s="1062">
        <f t="shared" si="6"/>
        <v>0</v>
      </c>
      <c r="U135" s="842"/>
      <c r="V135" s="824" t="s">
        <v>758</v>
      </c>
    </row>
    <row r="136" spans="1:22" s="826" customFormat="1" ht="22.8">
      <c r="A136" s="836"/>
      <c r="B136" s="823" t="s">
        <v>971</v>
      </c>
      <c r="C136" s="1038" t="s">
        <v>615</v>
      </c>
      <c r="D136" s="954"/>
      <c r="E136" s="1072"/>
      <c r="F136" s="1069"/>
      <c r="G136" s="1060"/>
      <c r="H136" s="1060"/>
      <c r="I136" s="1060"/>
      <c r="J136" s="1060"/>
      <c r="K136" s="1060"/>
      <c r="L136" s="843"/>
      <c r="M136" s="842"/>
      <c r="N136" s="842"/>
      <c r="O136" s="843"/>
      <c r="P136" s="842"/>
      <c r="Q136" s="844"/>
      <c r="R136" s="1076">
        <f t="shared" si="5"/>
        <v>0</v>
      </c>
      <c r="S136" s="825"/>
      <c r="T136" s="1062">
        <f t="shared" si="6"/>
        <v>0</v>
      </c>
      <c r="U136" s="842"/>
      <c r="V136" s="824"/>
    </row>
    <row r="137" spans="1:22" s="826" customFormat="1" ht="22.8">
      <c r="A137" s="836"/>
      <c r="B137" s="823"/>
      <c r="C137" s="1038" t="s">
        <v>688</v>
      </c>
      <c r="D137" s="954"/>
      <c r="E137" s="1072"/>
      <c r="F137" s="1069"/>
      <c r="G137" s="1060"/>
      <c r="H137" s="1060"/>
      <c r="I137" s="1060"/>
      <c r="J137" s="1060"/>
      <c r="K137" s="1060"/>
      <c r="L137" s="843"/>
      <c r="M137" s="842"/>
      <c r="N137" s="842"/>
      <c r="O137" s="843"/>
      <c r="P137" s="842"/>
      <c r="Q137" s="844"/>
      <c r="R137" s="1076">
        <f t="shared" si="5"/>
        <v>0</v>
      </c>
      <c r="S137" s="825"/>
      <c r="T137" s="1062">
        <f t="shared" si="6"/>
        <v>0</v>
      </c>
      <c r="U137" s="842"/>
      <c r="V137" s="824"/>
    </row>
    <row r="138" spans="1:22" s="826" customFormat="1" ht="22.8">
      <c r="A138" s="836"/>
      <c r="B138" s="823"/>
      <c r="C138" s="1038"/>
      <c r="D138" s="954"/>
      <c r="E138" s="1072"/>
      <c r="F138" s="1069"/>
      <c r="G138" s="1060"/>
      <c r="H138" s="1060"/>
      <c r="I138" s="1060"/>
      <c r="J138" s="1060"/>
      <c r="K138" s="1060"/>
      <c r="L138" s="843"/>
      <c r="M138" s="842"/>
      <c r="N138" s="842"/>
      <c r="O138" s="843"/>
      <c r="P138" s="842"/>
      <c r="Q138" s="844"/>
      <c r="R138" s="1076">
        <f t="shared" si="5"/>
        <v>0</v>
      </c>
      <c r="S138" s="825"/>
      <c r="T138" s="1062">
        <f t="shared" si="6"/>
        <v>0</v>
      </c>
      <c r="U138" s="842"/>
      <c r="V138" s="824"/>
    </row>
    <row r="139" spans="1:22" s="826" customFormat="1" ht="22.8" hidden="1">
      <c r="A139" s="836">
        <v>27</v>
      </c>
      <c r="B139" s="823" t="s">
        <v>974</v>
      </c>
      <c r="C139" s="1041" t="s">
        <v>972</v>
      </c>
      <c r="D139" s="946" t="s">
        <v>611</v>
      </c>
      <c r="E139" s="1072"/>
      <c r="F139" s="1069"/>
      <c r="G139" s="1060"/>
      <c r="H139" s="1060"/>
      <c r="I139" s="1060"/>
      <c r="J139" s="1060"/>
      <c r="K139" s="1060"/>
      <c r="L139" s="843"/>
      <c r="M139" s="842"/>
      <c r="N139" s="842"/>
      <c r="O139" s="843"/>
      <c r="P139" s="842"/>
      <c r="Q139" s="844"/>
      <c r="R139" s="1076">
        <f t="shared" si="5"/>
        <v>0</v>
      </c>
      <c r="S139" s="825"/>
      <c r="T139" s="1062">
        <f t="shared" si="6"/>
        <v>0</v>
      </c>
      <c r="U139" s="842"/>
      <c r="V139" s="824"/>
    </row>
    <row r="140" spans="1:22" s="826" customFormat="1" ht="22.8" hidden="1">
      <c r="A140" s="836"/>
      <c r="B140" s="823" t="s">
        <v>975</v>
      </c>
      <c r="C140" s="1038" t="s">
        <v>688</v>
      </c>
      <c r="D140" s="954"/>
      <c r="E140" s="1072"/>
      <c r="F140" s="1069"/>
      <c r="G140" s="1060"/>
      <c r="H140" s="1060"/>
      <c r="I140" s="1060"/>
      <c r="J140" s="1060"/>
      <c r="K140" s="1060"/>
      <c r="L140" s="843"/>
      <c r="M140" s="842"/>
      <c r="N140" s="842"/>
      <c r="O140" s="843"/>
      <c r="P140" s="842"/>
      <c r="Q140" s="844"/>
      <c r="R140" s="1076">
        <f t="shared" si="5"/>
        <v>0</v>
      </c>
      <c r="S140" s="825"/>
      <c r="T140" s="1062">
        <f t="shared" si="6"/>
        <v>0</v>
      </c>
      <c r="U140" s="842"/>
      <c r="V140" s="824"/>
    </row>
    <row r="141" spans="1:22" s="826" customFormat="1" ht="22.8" hidden="1">
      <c r="A141" s="836"/>
      <c r="B141" s="823" t="s">
        <v>976</v>
      </c>
      <c r="C141" s="1038" t="s">
        <v>973</v>
      </c>
      <c r="D141" s="946"/>
      <c r="E141" s="1072"/>
      <c r="F141" s="1069"/>
      <c r="G141" s="1060"/>
      <c r="H141" s="1060"/>
      <c r="I141" s="1060"/>
      <c r="J141" s="1060"/>
      <c r="K141" s="1060"/>
      <c r="L141" s="843"/>
      <c r="M141" s="842"/>
      <c r="N141" s="842"/>
      <c r="O141" s="843"/>
      <c r="P141" s="842"/>
      <c r="Q141" s="844"/>
      <c r="R141" s="1076">
        <f t="shared" si="5"/>
        <v>0</v>
      </c>
      <c r="S141" s="825"/>
      <c r="T141" s="1062">
        <f t="shared" si="6"/>
        <v>0</v>
      </c>
      <c r="U141" s="842"/>
      <c r="V141" s="824"/>
    </row>
    <row r="142" spans="1:22" s="826" customFormat="1" ht="22.8" hidden="1">
      <c r="A142" s="836"/>
      <c r="B142" s="823" t="s">
        <v>977</v>
      </c>
      <c r="C142" s="1038"/>
      <c r="D142" s="954"/>
      <c r="E142" s="1072"/>
      <c r="F142" s="1069"/>
      <c r="G142" s="1060"/>
      <c r="H142" s="1060"/>
      <c r="I142" s="1060"/>
      <c r="J142" s="1060"/>
      <c r="K142" s="1060"/>
      <c r="L142" s="843"/>
      <c r="M142" s="842"/>
      <c r="N142" s="842"/>
      <c r="O142" s="843"/>
      <c r="P142" s="842"/>
      <c r="Q142" s="844"/>
      <c r="R142" s="1076">
        <f t="shared" si="5"/>
        <v>0</v>
      </c>
      <c r="S142" s="825"/>
      <c r="T142" s="1062">
        <f t="shared" si="6"/>
        <v>0</v>
      </c>
      <c r="U142" s="842"/>
      <c r="V142" s="824"/>
    </row>
    <row r="143" spans="1:22" s="826" customFormat="1" ht="22.8" hidden="1">
      <c r="A143" s="836"/>
      <c r="B143" s="823"/>
      <c r="C143" s="1038"/>
      <c r="D143" s="954"/>
      <c r="E143" s="1072"/>
      <c r="F143" s="1069"/>
      <c r="G143" s="1060"/>
      <c r="H143" s="1060"/>
      <c r="I143" s="1060"/>
      <c r="J143" s="1060"/>
      <c r="K143" s="1060"/>
      <c r="L143" s="843"/>
      <c r="M143" s="842"/>
      <c r="N143" s="842"/>
      <c r="O143" s="843"/>
      <c r="P143" s="842"/>
      <c r="Q143" s="844"/>
      <c r="R143" s="1076"/>
      <c r="S143" s="825"/>
      <c r="T143" s="1062">
        <f t="shared" si="6"/>
        <v>0</v>
      </c>
      <c r="U143" s="842"/>
      <c r="V143" s="824"/>
    </row>
    <row r="144" spans="1:22" s="826" customFormat="1" ht="22.8" hidden="1">
      <c r="A144" s="836"/>
      <c r="B144" s="823"/>
      <c r="C144" s="1038"/>
      <c r="D144" s="954"/>
      <c r="E144" s="1072"/>
      <c r="F144" s="1069"/>
      <c r="G144" s="1060"/>
      <c r="H144" s="1060"/>
      <c r="I144" s="1060"/>
      <c r="J144" s="1060"/>
      <c r="K144" s="1060"/>
      <c r="L144" s="843"/>
      <c r="M144" s="842"/>
      <c r="N144" s="842"/>
      <c r="O144" s="843"/>
      <c r="P144" s="842"/>
      <c r="Q144" s="844"/>
      <c r="R144" s="1076"/>
      <c r="S144" s="825"/>
      <c r="T144" s="1062">
        <f t="shared" si="6"/>
        <v>0</v>
      </c>
      <c r="U144" s="842"/>
      <c r="V144" s="824"/>
    </row>
    <row r="145" spans="1:22" s="826" customFormat="1" ht="22.8">
      <c r="A145" s="836">
        <v>18</v>
      </c>
      <c r="B145" s="823" t="s">
        <v>769</v>
      </c>
      <c r="C145" s="1041" t="s">
        <v>767</v>
      </c>
      <c r="D145" s="946" t="s">
        <v>611</v>
      </c>
      <c r="E145" s="1072"/>
      <c r="F145" s="1069"/>
      <c r="G145" s="1060"/>
      <c r="H145" s="1060"/>
      <c r="I145" s="1060"/>
      <c r="J145" s="1060"/>
      <c r="K145" s="1060"/>
      <c r="L145" s="843"/>
      <c r="M145" s="842"/>
      <c r="N145" s="842"/>
      <c r="O145" s="843"/>
      <c r="P145" s="842"/>
      <c r="Q145" s="844"/>
      <c r="R145" s="1076">
        <f t="shared" si="5"/>
        <v>0</v>
      </c>
      <c r="S145" s="825"/>
      <c r="T145" s="1062">
        <f t="shared" si="6"/>
        <v>0</v>
      </c>
      <c r="U145" s="842"/>
      <c r="V145" s="824" t="s">
        <v>786</v>
      </c>
    </row>
    <row r="146" spans="1:22" s="826" customFormat="1" ht="22.8">
      <c r="A146" s="836"/>
      <c r="B146" s="1040" t="s">
        <v>912</v>
      </c>
      <c r="C146" s="1038"/>
      <c r="D146" s="954"/>
      <c r="E146" s="1072"/>
      <c r="F146" s="1069"/>
      <c r="G146" s="1060"/>
      <c r="H146" s="1060"/>
      <c r="I146" s="1060"/>
      <c r="J146" s="1060"/>
      <c r="K146" s="1060"/>
      <c r="L146" s="843"/>
      <c r="M146" s="842"/>
      <c r="N146" s="842"/>
      <c r="O146" s="843"/>
      <c r="P146" s="842"/>
      <c r="Q146" s="844"/>
      <c r="R146" s="1076">
        <f t="shared" si="5"/>
        <v>0</v>
      </c>
      <c r="S146" s="825"/>
      <c r="T146" s="1062">
        <f t="shared" si="6"/>
        <v>0</v>
      </c>
      <c r="U146" s="842"/>
      <c r="V146" s="824"/>
    </row>
    <row r="147" spans="1:22" s="826" customFormat="1" ht="22.8">
      <c r="A147" s="836"/>
      <c r="B147" s="1040"/>
      <c r="C147" s="1038"/>
      <c r="D147" s="954"/>
      <c r="E147" s="1072"/>
      <c r="F147" s="1069"/>
      <c r="G147" s="1060"/>
      <c r="H147" s="1060"/>
      <c r="I147" s="1060"/>
      <c r="J147" s="1060"/>
      <c r="K147" s="1060"/>
      <c r="L147" s="843"/>
      <c r="M147" s="842"/>
      <c r="N147" s="842"/>
      <c r="O147" s="843"/>
      <c r="P147" s="842"/>
      <c r="Q147" s="844"/>
      <c r="R147" s="1076">
        <f t="shared" si="5"/>
        <v>0</v>
      </c>
      <c r="S147" s="825"/>
      <c r="T147" s="1062">
        <f t="shared" si="6"/>
        <v>0</v>
      </c>
      <c r="U147" s="842"/>
      <c r="V147" s="824"/>
    </row>
    <row r="148" spans="1:22" s="826" customFormat="1" ht="22.8">
      <c r="A148" s="836"/>
      <c r="B148" s="1040" t="s">
        <v>783</v>
      </c>
      <c r="C148" s="1038"/>
      <c r="D148" s="954"/>
      <c r="E148" s="1072"/>
      <c r="F148" s="1069"/>
      <c r="G148" s="1060"/>
      <c r="H148" s="1060"/>
      <c r="I148" s="1060"/>
      <c r="J148" s="1060"/>
      <c r="K148" s="1060"/>
      <c r="L148" s="843"/>
      <c r="M148" s="842"/>
      <c r="N148" s="842"/>
      <c r="O148" s="843"/>
      <c r="P148" s="842"/>
      <c r="Q148" s="844"/>
      <c r="R148" s="1076">
        <f t="shared" si="5"/>
        <v>0</v>
      </c>
      <c r="S148" s="825"/>
      <c r="T148" s="1062">
        <f t="shared" si="6"/>
        <v>0</v>
      </c>
      <c r="U148" s="842"/>
      <c r="V148" s="824"/>
    </row>
    <row r="149" spans="1:22" s="826" customFormat="1" ht="22.8">
      <c r="A149" s="836"/>
      <c r="B149" s="1040" t="s">
        <v>768</v>
      </c>
      <c r="C149" s="1038"/>
      <c r="D149" s="954"/>
      <c r="E149" s="1072"/>
      <c r="F149" s="1069"/>
      <c r="G149" s="1060"/>
      <c r="H149" s="1060"/>
      <c r="I149" s="1060"/>
      <c r="J149" s="1060"/>
      <c r="K149" s="1060"/>
      <c r="L149" s="843"/>
      <c r="M149" s="842"/>
      <c r="N149" s="842"/>
      <c r="O149" s="843"/>
      <c r="P149" s="842"/>
      <c r="Q149" s="844"/>
      <c r="R149" s="1076">
        <f t="shared" si="5"/>
        <v>0</v>
      </c>
      <c r="S149" s="825"/>
      <c r="T149" s="1062">
        <f t="shared" si="6"/>
        <v>0</v>
      </c>
      <c r="U149" s="842"/>
      <c r="V149" s="824"/>
    </row>
    <row r="150" spans="1:22" s="826" customFormat="1" ht="22.8" hidden="1">
      <c r="A150" s="836">
        <v>29</v>
      </c>
      <c r="B150" s="823"/>
      <c r="C150" s="1041" t="s">
        <v>778</v>
      </c>
      <c r="D150" s="946" t="s">
        <v>717</v>
      </c>
      <c r="E150" s="1072"/>
      <c r="F150" s="1069"/>
      <c r="G150" s="1060"/>
      <c r="H150" s="1060"/>
      <c r="I150" s="1060"/>
      <c r="J150" s="1060"/>
      <c r="K150" s="1060"/>
      <c r="L150" s="843"/>
      <c r="M150" s="842"/>
      <c r="N150" s="842"/>
      <c r="O150" s="843"/>
      <c r="P150" s="842"/>
      <c r="Q150" s="844"/>
      <c r="R150" s="1076">
        <f t="shared" si="5"/>
        <v>0</v>
      </c>
      <c r="S150" s="825"/>
      <c r="T150" s="1062">
        <f t="shared" si="6"/>
        <v>0</v>
      </c>
      <c r="U150" s="842"/>
      <c r="V150" s="824"/>
    </row>
    <row r="151" spans="1:22" s="826" customFormat="1" ht="22.8" hidden="1">
      <c r="A151" s="836"/>
      <c r="B151" s="823" t="s">
        <v>780</v>
      </c>
      <c r="C151" s="1038"/>
      <c r="D151" s="954"/>
      <c r="E151" s="1072"/>
      <c r="F151" s="1069"/>
      <c r="G151" s="1060"/>
      <c r="H151" s="1060"/>
      <c r="I151" s="1060"/>
      <c r="J151" s="1060"/>
      <c r="K151" s="1060"/>
      <c r="L151" s="843"/>
      <c r="M151" s="842"/>
      <c r="N151" s="842"/>
      <c r="O151" s="843"/>
      <c r="P151" s="842"/>
      <c r="Q151" s="844"/>
      <c r="R151" s="1076">
        <f t="shared" si="5"/>
        <v>0</v>
      </c>
      <c r="S151" s="825"/>
      <c r="T151" s="1062">
        <f t="shared" si="6"/>
        <v>0</v>
      </c>
      <c r="U151" s="842"/>
      <c r="V151" s="824"/>
    </row>
    <row r="152" spans="1:22" s="826" customFormat="1" ht="22.8" hidden="1">
      <c r="A152" s="836"/>
      <c r="B152" s="823" t="s">
        <v>774</v>
      </c>
      <c r="C152" s="1038"/>
      <c r="D152" s="954"/>
      <c r="E152" s="1072"/>
      <c r="F152" s="1069"/>
      <c r="G152" s="1060"/>
      <c r="H152" s="1060"/>
      <c r="I152" s="1060"/>
      <c r="J152" s="1060"/>
      <c r="K152" s="1060"/>
      <c r="L152" s="843"/>
      <c r="M152" s="842"/>
      <c r="N152" s="842"/>
      <c r="O152" s="843"/>
      <c r="P152" s="842"/>
      <c r="Q152" s="844"/>
      <c r="R152" s="1076">
        <f t="shared" si="5"/>
        <v>0</v>
      </c>
      <c r="S152" s="825"/>
      <c r="T152" s="1062">
        <f t="shared" si="6"/>
        <v>0</v>
      </c>
      <c r="U152" s="842"/>
      <c r="V152" s="824"/>
    </row>
    <row r="153" spans="1:22" s="826" customFormat="1" ht="22.8" hidden="1">
      <c r="A153" s="836"/>
      <c r="B153" s="823" t="s">
        <v>781</v>
      </c>
      <c r="C153" s="1038"/>
      <c r="D153" s="954"/>
      <c r="E153" s="1072"/>
      <c r="F153" s="1069"/>
      <c r="G153" s="1060"/>
      <c r="H153" s="1060"/>
      <c r="I153" s="1060"/>
      <c r="J153" s="1060"/>
      <c r="K153" s="1060"/>
      <c r="L153" s="843"/>
      <c r="M153" s="842"/>
      <c r="N153" s="842"/>
      <c r="O153" s="843"/>
      <c r="P153" s="842"/>
      <c r="Q153" s="844"/>
      <c r="R153" s="1076">
        <f t="shared" si="5"/>
        <v>0</v>
      </c>
      <c r="S153" s="825"/>
      <c r="T153" s="1062">
        <f t="shared" si="6"/>
        <v>0</v>
      </c>
      <c r="U153" s="842"/>
      <c r="V153" s="824"/>
    </row>
    <row r="154" spans="1:22" s="826" customFormat="1" ht="22.8" hidden="1">
      <c r="A154" s="836"/>
      <c r="B154" s="1040" t="s">
        <v>779</v>
      </c>
      <c r="C154" s="1038"/>
      <c r="D154" s="954"/>
      <c r="E154" s="1072"/>
      <c r="F154" s="1069"/>
      <c r="G154" s="1060"/>
      <c r="H154" s="1060"/>
      <c r="I154" s="1060"/>
      <c r="J154" s="1060"/>
      <c r="K154" s="1060"/>
      <c r="L154" s="843"/>
      <c r="M154" s="842"/>
      <c r="N154" s="842"/>
      <c r="O154" s="843"/>
      <c r="P154" s="842"/>
      <c r="Q154" s="844"/>
      <c r="R154" s="1076">
        <f t="shared" si="5"/>
        <v>0</v>
      </c>
      <c r="S154" s="825"/>
      <c r="T154" s="1062">
        <f t="shared" si="6"/>
        <v>0</v>
      </c>
      <c r="U154" s="842"/>
      <c r="V154" s="824"/>
    </row>
    <row r="155" spans="1:22" s="826" customFormat="1" ht="22.8" hidden="1">
      <c r="A155" s="836"/>
      <c r="B155" s="1040" t="s">
        <v>782</v>
      </c>
      <c r="C155" s="1038"/>
      <c r="D155" s="954"/>
      <c r="E155" s="1072"/>
      <c r="F155" s="1069"/>
      <c r="G155" s="1060"/>
      <c r="H155" s="1060"/>
      <c r="I155" s="1060"/>
      <c r="J155" s="1060"/>
      <c r="K155" s="1060"/>
      <c r="L155" s="843"/>
      <c r="M155" s="842"/>
      <c r="N155" s="842"/>
      <c r="O155" s="843"/>
      <c r="P155" s="842"/>
      <c r="Q155" s="844"/>
      <c r="R155" s="1076">
        <f t="shared" si="5"/>
        <v>0</v>
      </c>
      <c r="S155" s="825"/>
      <c r="T155" s="1062">
        <f t="shared" si="6"/>
        <v>0</v>
      </c>
      <c r="U155" s="842"/>
      <c r="V155" s="824"/>
    </row>
    <row r="156" spans="1:22" s="826" customFormat="1" ht="22.8" hidden="1">
      <c r="A156" s="836">
        <v>31</v>
      </c>
      <c r="B156" s="823" t="s">
        <v>632</v>
      </c>
      <c r="C156" s="1041" t="s">
        <v>718</v>
      </c>
      <c r="D156" s="947" t="s">
        <v>619</v>
      </c>
      <c r="E156" s="1075">
        <v>2026</v>
      </c>
      <c r="F156" s="1069"/>
      <c r="G156" s="842"/>
      <c r="H156" s="842"/>
      <c r="I156" s="842"/>
      <c r="J156" s="842"/>
      <c r="K156" s="842"/>
      <c r="L156" s="843"/>
      <c r="M156" s="842"/>
      <c r="N156" s="842"/>
      <c r="O156" s="843"/>
      <c r="P156" s="842"/>
      <c r="Q156" s="844"/>
      <c r="R156" s="1076">
        <f t="shared" si="5"/>
        <v>0</v>
      </c>
      <c r="S156" s="825"/>
      <c r="T156" s="1062">
        <f t="shared" si="6"/>
        <v>0</v>
      </c>
      <c r="U156" s="842"/>
      <c r="V156" s="824"/>
    </row>
    <row r="157" spans="1:22" s="826" customFormat="1" ht="22.8" hidden="1">
      <c r="A157" s="836"/>
      <c r="B157" s="823"/>
      <c r="C157" s="1038" t="s">
        <v>615</v>
      </c>
      <c r="D157" s="954"/>
      <c r="E157" s="1075"/>
      <c r="F157" s="1069"/>
      <c r="G157" s="842"/>
      <c r="H157" s="842"/>
      <c r="I157" s="842"/>
      <c r="J157" s="842"/>
      <c r="K157" s="842"/>
      <c r="L157" s="843"/>
      <c r="M157" s="842"/>
      <c r="N157" s="842"/>
      <c r="O157" s="843"/>
      <c r="P157" s="842"/>
      <c r="Q157" s="844"/>
      <c r="R157" s="1076">
        <f t="shared" si="5"/>
        <v>0</v>
      </c>
      <c r="S157" s="825"/>
      <c r="T157" s="1062">
        <f t="shared" si="6"/>
        <v>0</v>
      </c>
      <c r="U157" s="842"/>
      <c r="V157" s="824"/>
    </row>
    <row r="158" spans="1:22" s="826" customFormat="1" ht="22.8" hidden="1">
      <c r="A158" s="836"/>
      <c r="B158" s="1080" t="s">
        <v>710</v>
      </c>
      <c r="C158" s="1038"/>
      <c r="D158" s="954"/>
      <c r="E158" s="1075"/>
      <c r="F158" s="1069"/>
      <c r="G158" s="842"/>
      <c r="H158" s="842"/>
      <c r="I158" s="842"/>
      <c r="J158" s="842"/>
      <c r="K158" s="842"/>
      <c r="L158" s="843"/>
      <c r="M158" s="842"/>
      <c r="N158" s="842"/>
      <c r="O158" s="843"/>
      <c r="P158" s="842"/>
      <c r="Q158" s="844"/>
      <c r="R158" s="1076">
        <f t="shared" si="5"/>
        <v>0</v>
      </c>
      <c r="S158" s="825"/>
      <c r="T158" s="1062">
        <f t="shared" si="6"/>
        <v>0</v>
      </c>
      <c r="U158" s="842"/>
      <c r="V158" s="824"/>
    </row>
    <row r="159" spans="1:22" s="826" customFormat="1" ht="22.8" hidden="1">
      <c r="A159" s="836">
        <v>32</v>
      </c>
      <c r="B159" s="823" t="s">
        <v>635</v>
      </c>
      <c r="C159" s="1041" t="s">
        <v>683</v>
      </c>
      <c r="D159" s="947" t="s">
        <v>619</v>
      </c>
      <c r="E159" s="1075">
        <v>2026</v>
      </c>
      <c r="F159" s="1069"/>
      <c r="G159" s="842"/>
      <c r="H159" s="842"/>
      <c r="I159" s="842"/>
      <c r="J159" s="842"/>
      <c r="K159" s="842"/>
      <c r="L159" s="843"/>
      <c r="M159" s="842"/>
      <c r="N159" s="842"/>
      <c r="O159" s="843"/>
      <c r="P159" s="842"/>
      <c r="Q159" s="844"/>
      <c r="R159" s="1076">
        <f t="shared" si="5"/>
        <v>0</v>
      </c>
      <c r="S159" s="825"/>
      <c r="T159" s="1062">
        <f t="shared" si="6"/>
        <v>0</v>
      </c>
      <c r="U159" s="960"/>
      <c r="V159" s="824"/>
    </row>
    <row r="160" spans="1:22" s="826" customFormat="1" ht="22.8" hidden="1">
      <c r="A160" s="836"/>
      <c r="B160" s="823" t="s">
        <v>682</v>
      </c>
      <c r="C160" s="1038" t="s">
        <v>615</v>
      </c>
      <c r="D160" s="947"/>
      <c r="E160" s="1072"/>
      <c r="F160" s="1069"/>
      <c r="G160" s="842"/>
      <c r="H160" s="842"/>
      <c r="I160" s="842"/>
      <c r="J160" s="842"/>
      <c r="K160" s="842"/>
      <c r="L160" s="843"/>
      <c r="M160" s="842"/>
      <c r="N160" s="842"/>
      <c r="O160" s="843"/>
      <c r="P160" s="842"/>
      <c r="Q160" s="844"/>
      <c r="R160" s="1076">
        <f t="shared" ref="R160:R186" si="7">SUM(F160:Q160)</f>
        <v>0</v>
      </c>
      <c r="S160" s="825"/>
      <c r="T160" s="1062">
        <f t="shared" si="6"/>
        <v>0</v>
      </c>
      <c r="U160" s="844">
        <v>1.2</v>
      </c>
      <c r="V160" s="824" t="s">
        <v>797</v>
      </c>
    </row>
    <row r="161" spans="1:22" s="826" customFormat="1" ht="22.8" hidden="1">
      <c r="A161" s="836"/>
      <c r="B161" s="1085" t="s">
        <v>681</v>
      </c>
      <c r="C161" s="1041"/>
      <c r="D161" s="954"/>
      <c r="E161" s="1072"/>
      <c r="F161" s="1069"/>
      <c r="G161" s="842"/>
      <c r="H161" s="842"/>
      <c r="I161" s="842"/>
      <c r="J161" s="842"/>
      <c r="K161" s="842"/>
      <c r="L161" s="843"/>
      <c r="M161" s="842"/>
      <c r="N161" s="842"/>
      <c r="O161" s="843"/>
      <c r="P161" s="842"/>
      <c r="Q161" s="844"/>
      <c r="R161" s="1076">
        <f t="shared" si="7"/>
        <v>0</v>
      </c>
      <c r="S161" s="825"/>
      <c r="T161" s="1062">
        <f t="shared" si="6"/>
        <v>0</v>
      </c>
      <c r="U161" s="960"/>
      <c r="V161" s="824"/>
    </row>
    <row r="162" spans="1:22" s="826" customFormat="1" ht="22.8" hidden="1">
      <c r="A162" s="836">
        <v>33</v>
      </c>
      <c r="B162" s="823" t="s">
        <v>635</v>
      </c>
      <c r="C162" s="1041" t="s">
        <v>636</v>
      </c>
      <c r="D162" s="947" t="s">
        <v>619</v>
      </c>
      <c r="E162" s="1072"/>
      <c r="F162" s="1069"/>
      <c r="G162" s="842"/>
      <c r="H162" s="842"/>
      <c r="I162" s="842"/>
      <c r="J162" s="842"/>
      <c r="K162" s="842"/>
      <c r="L162" s="843"/>
      <c r="M162" s="842"/>
      <c r="N162" s="842"/>
      <c r="O162" s="843"/>
      <c r="P162" s="842"/>
      <c r="Q162" s="844"/>
      <c r="R162" s="1076">
        <f t="shared" si="7"/>
        <v>0</v>
      </c>
      <c r="S162" s="825"/>
      <c r="T162" s="1062">
        <f t="shared" si="6"/>
        <v>0</v>
      </c>
      <c r="U162" s="1077"/>
      <c r="V162" s="824"/>
    </row>
    <row r="163" spans="1:22" s="826" customFormat="1" ht="22.8" hidden="1">
      <c r="A163" s="836"/>
      <c r="B163" s="823" t="s">
        <v>641</v>
      </c>
      <c r="C163" s="1038" t="s">
        <v>615</v>
      </c>
      <c r="D163" s="947"/>
      <c r="E163" s="1072"/>
      <c r="F163" s="1069"/>
      <c r="G163" s="842"/>
      <c r="H163" s="842"/>
      <c r="I163" s="842"/>
      <c r="J163" s="842"/>
      <c r="K163" s="842"/>
      <c r="L163" s="843"/>
      <c r="M163" s="842"/>
      <c r="N163" s="842"/>
      <c r="O163" s="843"/>
      <c r="P163" s="842"/>
      <c r="Q163" s="844"/>
      <c r="R163" s="1076">
        <f t="shared" si="7"/>
        <v>0</v>
      </c>
      <c r="S163" s="825"/>
      <c r="T163" s="1062">
        <f t="shared" si="6"/>
        <v>0</v>
      </c>
      <c r="U163" s="1077">
        <v>1.5</v>
      </c>
      <c r="V163" s="824" t="s">
        <v>678</v>
      </c>
    </row>
    <row r="164" spans="1:22" s="826" customFormat="1" ht="22.8" hidden="1">
      <c r="A164" s="836"/>
      <c r="B164" s="1085" t="s">
        <v>680</v>
      </c>
      <c r="C164" s="1041"/>
      <c r="D164" s="954"/>
      <c r="E164" s="1072"/>
      <c r="F164" s="1069"/>
      <c r="G164" s="842"/>
      <c r="H164" s="842"/>
      <c r="I164" s="842"/>
      <c r="J164" s="842"/>
      <c r="K164" s="842"/>
      <c r="L164" s="843"/>
      <c r="M164" s="842"/>
      <c r="N164" s="842"/>
      <c r="O164" s="843"/>
      <c r="P164" s="842"/>
      <c r="Q164" s="844"/>
      <c r="R164" s="1076">
        <f t="shared" si="7"/>
        <v>0</v>
      </c>
      <c r="S164" s="825"/>
      <c r="T164" s="1062">
        <f t="shared" si="6"/>
        <v>0</v>
      </c>
      <c r="U164" s="960"/>
      <c r="V164" s="824"/>
    </row>
    <row r="165" spans="1:22" s="826" customFormat="1" ht="22.8" hidden="1">
      <c r="A165" s="836"/>
      <c r="B165" s="1085"/>
      <c r="C165" s="1041"/>
      <c r="D165" s="954"/>
      <c r="E165" s="1072"/>
      <c r="F165" s="1069"/>
      <c r="G165" s="842"/>
      <c r="H165" s="842"/>
      <c r="I165" s="842"/>
      <c r="J165" s="842"/>
      <c r="K165" s="842"/>
      <c r="L165" s="843"/>
      <c r="M165" s="842"/>
      <c r="N165" s="842"/>
      <c r="O165" s="843"/>
      <c r="P165" s="842"/>
      <c r="Q165" s="844"/>
      <c r="R165" s="1076">
        <f t="shared" si="7"/>
        <v>0</v>
      </c>
      <c r="S165" s="825"/>
      <c r="T165" s="1062">
        <f t="shared" si="6"/>
        <v>0</v>
      </c>
      <c r="U165" s="960"/>
      <c r="V165" s="824"/>
    </row>
    <row r="166" spans="1:22" s="826" customFormat="1" ht="22.8" hidden="1">
      <c r="A166" s="836">
        <v>34</v>
      </c>
      <c r="B166" s="823" t="s">
        <v>627</v>
      </c>
      <c r="C166" s="1041" t="s">
        <v>628</v>
      </c>
      <c r="D166" s="947" t="s">
        <v>619</v>
      </c>
      <c r="E166" s="1072"/>
      <c r="F166" s="1069"/>
      <c r="G166" s="842"/>
      <c r="H166" s="842"/>
      <c r="I166" s="842"/>
      <c r="J166" s="842"/>
      <c r="K166" s="842"/>
      <c r="L166" s="843"/>
      <c r="M166" s="842"/>
      <c r="N166" s="842"/>
      <c r="O166" s="843"/>
      <c r="P166" s="842"/>
      <c r="Q166" s="844"/>
      <c r="R166" s="1076">
        <f t="shared" si="7"/>
        <v>0</v>
      </c>
      <c r="S166" s="825"/>
      <c r="T166" s="1062">
        <f t="shared" si="6"/>
        <v>0</v>
      </c>
      <c r="U166" s="960"/>
      <c r="V166" s="824"/>
    </row>
    <row r="167" spans="1:22" s="826" customFormat="1" ht="22.8" hidden="1">
      <c r="A167" s="836"/>
      <c r="B167" s="823"/>
      <c r="C167" s="1038" t="s">
        <v>615</v>
      </c>
      <c r="D167" s="954"/>
      <c r="E167" s="1072"/>
      <c r="F167" s="1069"/>
      <c r="G167" s="842"/>
      <c r="H167" s="842"/>
      <c r="I167" s="842"/>
      <c r="J167" s="842"/>
      <c r="K167" s="842"/>
      <c r="L167" s="843"/>
      <c r="M167" s="842"/>
      <c r="N167" s="842"/>
      <c r="O167" s="843"/>
      <c r="P167" s="842"/>
      <c r="Q167" s="844"/>
      <c r="R167" s="1076">
        <f t="shared" si="7"/>
        <v>0</v>
      </c>
      <c r="S167" s="825"/>
      <c r="T167" s="1062">
        <f t="shared" si="6"/>
        <v>0</v>
      </c>
      <c r="U167" s="960"/>
      <c r="V167" s="824"/>
    </row>
    <row r="168" spans="1:22" s="826" customFormat="1" ht="22.8" hidden="1">
      <c r="A168" s="836"/>
      <c r="B168" s="823"/>
      <c r="C168" s="1038"/>
      <c r="D168" s="954"/>
      <c r="E168" s="1072"/>
      <c r="F168" s="1069"/>
      <c r="G168" s="842"/>
      <c r="H168" s="842"/>
      <c r="I168" s="842"/>
      <c r="J168" s="842"/>
      <c r="K168" s="842"/>
      <c r="L168" s="843"/>
      <c r="M168" s="842"/>
      <c r="N168" s="842"/>
      <c r="O168" s="843"/>
      <c r="P168" s="842"/>
      <c r="Q168" s="844"/>
      <c r="R168" s="1076">
        <f t="shared" si="7"/>
        <v>0</v>
      </c>
      <c r="S168" s="825"/>
      <c r="T168" s="1062">
        <f t="shared" si="6"/>
        <v>0</v>
      </c>
      <c r="U168" s="960"/>
      <c r="V168" s="824"/>
    </row>
    <row r="169" spans="1:22" s="826" customFormat="1" ht="22.8" hidden="1">
      <c r="A169" s="836">
        <v>35</v>
      </c>
      <c r="B169" s="823" t="s">
        <v>629</v>
      </c>
      <c r="C169" s="1041" t="s">
        <v>630</v>
      </c>
      <c r="D169" s="947" t="s">
        <v>619</v>
      </c>
      <c r="E169" s="1072"/>
      <c r="F169" s="1069"/>
      <c r="G169" s="842"/>
      <c r="H169" s="842"/>
      <c r="I169" s="842"/>
      <c r="J169" s="842"/>
      <c r="K169" s="842"/>
      <c r="L169" s="843"/>
      <c r="M169" s="842"/>
      <c r="N169" s="842"/>
      <c r="O169" s="843"/>
      <c r="P169" s="842"/>
      <c r="Q169" s="844"/>
      <c r="R169" s="1076">
        <f t="shared" si="7"/>
        <v>0</v>
      </c>
      <c r="S169" s="825"/>
      <c r="T169" s="1062">
        <f t="shared" si="6"/>
        <v>0</v>
      </c>
      <c r="U169" s="960"/>
      <c r="V169" s="824"/>
    </row>
    <row r="170" spans="1:22" s="826" customFormat="1" ht="22.8" hidden="1">
      <c r="A170" s="836"/>
      <c r="B170" s="823" t="s">
        <v>631</v>
      </c>
      <c r="C170" s="1038" t="s">
        <v>615</v>
      </c>
      <c r="D170" s="954"/>
      <c r="E170" s="1072"/>
      <c r="F170" s="1069"/>
      <c r="G170" s="842"/>
      <c r="H170" s="842"/>
      <c r="I170" s="842"/>
      <c r="J170" s="842"/>
      <c r="K170" s="842"/>
      <c r="L170" s="843"/>
      <c r="M170" s="842"/>
      <c r="N170" s="842"/>
      <c r="O170" s="843"/>
      <c r="P170" s="842"/>
      <c r="Q170" s="844"/>
      <c r="R170" s="1076">
        <f t="shared" si="7"/>
        <v>0</v>
      </c>
      <c r="S170" s="825"/>
      <c r="T170" s="1062">
        <f t="shared" si="6"/>
        <v>0</v>
      </c>
      <c r="U170" s="960"/>
      <c r="V170" s="824"/>
    </row>
    <row r="171" spans="1:22" s="826" customFormat="1" ht="22.8" hidden="1">
      <c r="A171" s="836"/>
      <c r="B171" s="823"/>
      <c r="C171" s="1038"/>
      <c r="D171" s="954"/>
      <c r="E171" s="1072"/>
      <c r="F171" s="1069"/>
      <c r="G171" s="842"/>
      <c r="H171" s="842"/>
      <c r="I171" s="842"/>
      <c r="J171" s="842"/>
      <c r="K171" s="842"/>
      <c r="L171" s="843"/>
      <c r="M171" s="842"/>
      <c r="N171" s="842"/>
      <c r="O171" s="843"/>
      <c r="P171" s="842"/>
      <c r="Q171" s="844"/>
      <c r="R171" s="1076">
        <f t="shared" si="7"/>
        <v>0</v>
      </c>
      <c r="S171" s="825"/>
      <c r="T171" s="1062">
        <f t="shared" si="6"/>
        <v>0</v>
      </c>
      <c r="U171" s="960"/>
      <c r="V171" s="824"/>
    </row>
    <row r="172" spans="1:22" s="826" customFormat="1" ht="22.8" hidden="1">
      <c r="A172" s="836"/>
      <c r="B172" s="1040"/>
      <c r="C172" s="1038"/>
      <c r="D172" s="954"/>
      <c r="E172" s="1072"/>
      <c r="F172" s="1069"/>
      <c r="G172" s="1060"/>
      <c r="H172" s="1060"/>
      <c r="I172" s="1060"/>
      <c r="J172" s="1060"/>
      <c r="K172" s="1060"/>
      <c r="L172" s="843"/>
      <c r="M172" s="842"/>
      <c r="N172" s="842"/>
      <c r="O172" s="843"/>
      <c r="P172" s="842"/>
      <c r="Q172" s="844"/>
      <c r="R172" s="1076">
        <f t="shared" si="7"/>
        <v>0</v>
      </c>
      <c r="S172" s="825"/>
      <c r="T172" s="1062">
        <f t="shared" si="6"/>
        <v>0</v>
      </c>
      <c r="U172" s="842"/>
      <c r="V172" s="824"/>
    </row>
    <row r="173" spans="1:22" s="826" customFormat="1" ht="24" hidden="1" customHeight="1">
      <c r="A173" s="822">
        <v>36</v>
      </c>
      <c r="B173" s="823" t="s">
        <v>667</v>
      </c>
      <c r="C173" s="1086" t="s">
        <v>613</v>
      </c>
      <c r="D173" s="946" t="s">
        <v>717</v>
      </c>
      <c r="E173" s="1072"/>
      <c r="F173" s="1069"/>
      <c r="G173" s="842"/>
      <c r="H173" s="842"/>
      <c r="I173" s="842"/>
      <c r="J173" s="843"/>
      <c r="K173" s="842"/>
      <c r="L173" s="843"/>
      <c r="M173" s="842"/>
      <c r="N173" s="842"/>
      <c r="O173" s="843"/>
      <c r="P173" s="842"/>
      <c r="Q173" s="844"/>
      <c r="R173" s="1076">
        <f t="shared" si="7"/>
        <v>0</v>
      </c>
      <c r="S173" s="825"/>
      <c r="T173" s="1062">
        <f t="shared" si="6"/>
        <v>0</v>
      </c>
      <c r="U173" s="960"/>
      <c r="V173" s="824" t="s">
        <v>670</v>
      </c>
    </row>
    <row r="174" spans="1:22" s="826" customFormat="1" ht="24" hidden="1" customHeight="1">
      <c r="A174" s="836"/>
      <c r="B174" s="823" t="s">
        <v>614</v>
      </c>
      <c r="C174" s="1038" t="s">
        <v>615</v>
      </c>
      <c r="D174" s="952"/>
      <c r="E174" s="1072"/>
      <c r="F174" s="1069"/>
      <c r="G174" s="842"/>
      <c r="H174" s="842"/>
      <c r="I174" s="842"/>
      <c r="J174" s="843"/>
      <c r="K174" s="842"/>
      <c r="L174" s="843"/>
      <c r="M174" s="842"/>
      <c r="N174" s="842"/>
      <c r="O174" s="843"/>
      <c r="P174" s="842"/>
      <c r="Q174" s="844"/>
      <c r="R174" s="1076">
        <f t="shared" si="7"/>
        <v>0</v>
      </c>
      <c r="S174" s="825"/>
      <c r="T174" s="1062">
        <f t="shared" si="6"/>
        <v>0</v>
      </c>
      <c r="U174" s="960"/>
      <c r="V174" s="824"/>
    </row>
    <row r="175" spans="1:22" s="826" customFormat="1" ht="24" hidden="1" customHeight="1">
      <c r="A175" s="974"/>
      <c r="B175" s="1029" t="s">
        <v>545</v>
      </c>
      <c r="C175" s="1030" t="s">
        <v>612</v>
      </c>
      <c r="D175" s="947"/>
      <c r="E175" s="1072"/>
      <c r="F175" s="1069"/>
      <c r="G175" s="842"/>
      <c r="H175" s="842"/>
      <c r="I175" s="842"/>
      <c r="J175" s="842"/>
      <c r="K175" s="842"/>
      <c r="L175" s="843"/>
      <c r="M175" s="842"/>
      <c r="N175" s="842"/>
      <c r="O175" s="843"/>
      <c r="P175" s="842"/>
      <c r="Q175" s="844"/>
      <c r="R175" s="1076">
        <f t="shared" si="7"/>
        <v>0</v>
      </c>
      <c r="S175" s="825"/>
      <c r="T175" s="1062">
        <f t="shared" si="6"/>
        <v>0</v>
      </c>
      <c r="U175" s="960"/>
      <c r="V175" s="824"/>
    </row>
    <row r="176" spans="1:22" s="826" customFormat="1" ht="24" hidden="1" customHeight="1">
      <c r="A176" s="822"/>
      <c r="B176" s="1087"/>
      <c r="C176" s="1030" t="s">
        <v>905</v>
      </c>
      <c r="D176" s="947"/>
      <c r="E176" s="1072"/>
      <c r="F176" s="1069"/>
      <c r="G176" s="842"/>
      <c r="H176" s="842"/>
      <c r="I176" s="842"/>
      <c r="J176" s="1088"/>
      <c r="K176" s="1088"/>
      <c r="L176" s="843"/>
      <c r="M176" s="842"/>
      <c r="N176" s="842"/>
      <c r="O176" s="843"/>
      <c r="P176" s="842"/>
      <c r="Q176" s="844"/>
      <c r="R176" s="1076">
        <f t="shared" si="7"/>
        <v>0</v>
      </c>
      <c r="S176" s="825"/>
      <c r="T176" s="1062">
        <f t="shared" si="6"/>
        <v>0</v>
      </c>
      <c r="U176" s="960"/>
      <c r="V176" s="824"/>
    </row>
    <row r="177" spans="1:22" s="826" customFormat="1" ht="24" hidden="1" customHeight="1">
      <c r="A177" s="822"/>
      <c r="B177" s="1040" t="s">
        <v>662</v>
      </c>
      <c r="C177" s="1030" t="s">
        <v>795</v>
      </c>
      <c r="D177" s="947"/>
      <c r="E177" s="1072"/>
      <c r="F177" s="1069"/>
      <c r="G177" s="842"/>
      <c r="H177" s="842"/>
      <c r="I177" s="842"/>
      <c r="J177" s="1088"/>
      <c r="K177" s="1088"/>
      <c r="L177" s="843"/>
      <c r="M177" s="842"/>
      <c r="N177" s="842"/>
      <c r="O177" s="843"/>
      <c r="P177" s="842"/>
      <c r="Q177" s="844"/>
      <c r="R177" s="1076">
        <f t="shared" si="7"/>
        <v>0</v>
      </c>
      <c r="S177" s="825"/>
      <c r="T177" s="1062">
        <f t="shared" si="6"/>
        <v>0</v>
      </c>
      <c r="U177" s="960"/>
      <c r="V177" s="824"/>
    </row>
    <row r="178" spans="1:22" s="826" customFormat="1" ht="24" hidden="1" customHeight="1">
      <c r="A178" s="822">
        <v>37</v>
      </c>
      <c r="B178" s="823" t="s">
        <v>616</v>
      </c>
      <c r="C178" s="1086" t="s">
        <v>617</v>
      </c>
      <c r="D178" s="946" t="s">
        <v>717</v>
      </c>
      <c r="E178" s="1072"/>
      <c r="F178" s="1069"/>
      <c r="G178" s="842"/>
      <c r="H178" s="842"/>
      <c r="I178" s="842"/>
      <c r="J178" s="842"/>
      <c r="K178" s="842"/>
      <c r="L178" s="843"/>
      <c r="M178" s="842"/>
      <c r="N178" s="842"/>
      <c r="O178" s="843"/>
      <c r="P178" s="842"/>
      <c r="Q178" s="844"/>
      <c r="R178" s="1076">
        <f t="shared" si="7"/>
        <v>0</v>
      </c>
      <c r="S178" s="825"/>
      <c r="T178" s="1062">
        <f t="shared" si="6"/>
        <v>0</v>
      </c>
      <c r="U178" s="960"/>
      <c r="V178" s="824"/>
    </row>
    <row r="179" spans="1:22" s="826" customFormat="1" ht="24" hidden="1" customHeight="1">
      <c r="A179" s="822"/>
      <c r="B179" s="823" t="s">
        <v>938</v>
      </c>
      <c r="C179" s="1030" t="s">
        <v>904</v>
      </c>
      <c r="D179" s="947"/>
      <c r="E179" s="1072"/>
      <c r="F179" s="1069"/>
      <c r="G179" s="842"/>
      <c r="H179" s="842"/>
      <c r="I179" s="842"/>
      <c r="J179" s="842"/>
      <c r="K179" s="842"/>
      <c r="L179" s="843"/>
      <c r="M179" s="842"/>
      <c r="N179" s="842"/>
      <c r="O179" s="843"/>
      <c r="P179" s="842"/>
      <c r="Q179" s="844"/>
      <c r="R179" s="1076">
        <f t="shared" si="7"/>
        <v>0</v>
      </c>
      <c r="S179" s="825"/>
      <c r="T179" s="1062">
        <f t="shared" si="6"/>
        <v>0</v>
      </c>
      <c r="U179" s="960"/>
      <c r="V179" s="824"/>
    </row>
    <row r="180" spans="1:22" s="826" customFormat="1" ht="24" hidden="1" customHeight="1">
      <c r="A180" s="822"/>
      <c r="B180" s="823"/>
      <c r="C180" s="1038" t="s">
        <v>615</v>
      </c>
      <c r="D180" s="947"/>
      <c r="E180" s="1072"/>
      <c r="F180" s="1069"/>
      <c r="G180" s="842"/>
      <c r="H180" s="842"/>
      <c r="I180" s="842"/>
      <c r="J180" s="842"/>
      <c r="K180" s="842"/>
      <c r="L180" s="843"/>
      <c r="M180" s="842"/>
      <c r="N180" s="842"/>
      <c r="O180" s="843"/>
      <c r="P180" s="842"/>
      <c r="Q180" s="844"/>
      <c r="R180" s="1076">
        <f t="shared" si="7"/>
        <v>0</v>
      </c>
      <c r="S180" s="825"/>
      <c r="T180" s="1062">
        <f t="shared" si="6"/>
        <v>0</v>
      </c>
      <c r="U180" s="960"/>
      <c r="V180" s="824"/>
    </row>
    <row r="181" spans="1:22" s="826" customFormat="1" ht="24" hidden="1" customHeight="1">
      <c r="A181" s="822"/>
      <c r="B181" s="1087"/>
      <c r="C181" s="1038" t="s">
        <v>618</v>
      </c>
      <c r="D181" s="947"/>
      <c r="E181" s="1072"/>
      <c r="F181" s="1069"/>
      <c r="G181" s="842"/>
      <c r="H181" s="842"/>
      <c r="I181" s="842"/>
      <c r="J181" s="842"/>
      <c r="K181" s="842"/>
      <c r="L181" s="843"/>
      <c r="M181" s="842"/>
      <c r="N181" s="842"/>
      <c r="O181" s="843"/>
      <c r="P181" s="842"/>
      <c r="Q181" s="844"/>
      <c r="R181" s="1076">
        <f t="shared" si="7"/>
        <v>0</v>
      </c>
      <c r="S181" s="825"/>
      <c r="T181" s="1062">
        <f t="shared" si="6"/>
        <v>0</v>
      </c>
      <c r="U181" s="960"/>
      <c r="V181" s="824"/>
    </row>
    <row r="182" spans="1:22" s="826" customFormat="1" ht="22.8" hidden="1">
      <c r="A182" s="836">
        <v>7</v>
      </c>
      <c r="B182" s="823" t="s">
        <v>625</v>
      </c>
      <c r="C182" s="1041" t="s">
        <v>633</v>
      </c>
      <c r="D182" s="947" t="s">
        <v>717</v>
      </c>
      <c r="E182" s="1072"/>
      <c r="F182" s="1069"/>
      <c r="G182" s="842"/>
      <c r="H182" s="842"/>
      <c r="I182" s="842"/>
      <c r="J182" s="842"/>
      <c r="K182" s="842"/>
      <c r="L182" s="843"/>
      <c r="M182" s="842"/>
      <c r="N182" s="842"/>
      <c r="O182" s="843"/>
      <c r="P182" s="842"/>
      <c r="Q182" s="844"/>
      <c r="R182" s="1076">
        <f t="shared" si="7"/>
        <v>0</v>
      </c>
      <c r="S182" s="825"/>
      <c r="T182" s="1062">
        <f t="shared" si="6"/>
        <v>0</v>
      </c>
      <c r="U182" s="960"/>
      <c r="V182" s="824"/>
    </row>
    <row r="183" spans="1:22" s="826" customFormat="1" ht="22.8" hidden="1">
      <c r="A183" s="836"/>
      <c r="B183" s="823" t="s">
        <v>626</v>
      </c>
      <c r="C183" s="1038" t="s">
        <v>615</v>
      </c>
      <c r="D183" s="954"/>
      <c r="E183" s="1072"/>
      <c r="F183" s="1069"/>
      <c r="G183" s="842"/>
      <c r="H183" s="842"/>
      <c r="I183" s="842"/>
      <c r="J183" s="842"/>
      <c r="K183" s="842"/>
      <c r="L183" s="843"/>
      <c r="M183" s="842"/>
      <c r="N183" s="842"/>
      <c r="O183" s="843"/>
      <c r="P183" s="842"/>
      <c r="Q183" s="844"/>
      <c r="R183" s="1076">
        <f t="shared" si="7"/>
        <v>0</v>
      </c>
      <c r="S183" s="825"/>
      <c r="T183" s="1062">
        <f t="shared" si="6"/>
        <v>0</v>
      </c>
      <c r="U183" s="960"/>
      <c r="V183" s="824"/>
    </row>
    <row r="184" spans="1:22" s="826" customFormat="1" ht="22.8" hidden="1">
      <c r="A184" s="836"/>
      <c r="B184" s="823" t="s">
        <v>634</v>
      </c>
      <c r="C184" s="1038"/>
      <c r="D184" s="954"/>
      <c r="E184" s="1072"/>
      <c r="F184" s="1069"/>
      <c r="G184" s="842"/>
      <c r="H184" s="842"/>
      <c r="I184" s="842"/>
      <c r="J184" s="842"/>
      <c r="K184" s="842"/>
      <c r="L184" s="843"/>
      <c r="M184" s="842"/>
      <c r="N184" s="842"/>
      <c r="O184" s="843"/>
      <c r="P184" s="842"/>
      <c r="Q184" s="844"/>
      <c r="R184" s="1076">
        <f t="shared" si="7"/>
        <v>0</v>
      </c>
      <c r="S184" s="825"/>
      <c r="T184" s="1062">
        <f t="shared" si="6"/>
        <v>0</v>
      </c>
      <c r="U184" s="960"/>
      <c r="V184" s="824"/>
    </row>
    <row r="185" spans="1:22" s="826" customFormat="1" ht="22.8" hidden="1">
      <c r="A185" s="836"/>
      <c r="B185" s="1040" t="s">
        <v>662</v>
      </c>
      <c r="C185" s="1038"/>
      <c r="D185" s="954"/>
      <c r="E185" s="1072"/>
      <c r="F185" s="1069"/>
      <c r="G185" s="842"/>
      <c r="H185" s="842"/>
      <c r="I185" s="842"/>
      <c r="J185" s="842"/>
      <c r="K185" s="842"/>
      <c r="L185" s="843"/>
      <c r="M185" s="842"/>
      <c r="N185" s="842"/>
      <c r="O185" s="843"/>
      <c r="P185" s="842"/>
      <c r="Q185" s="844"/>
      <c r="R185" s="1076">
        <f t="shared" si="7"/>
        <v>0</v>
      </c>
      <c r="S185" s="825"/>
      <c r="T185" s="1062">
        <f t="shared" si="6"/>
        <v>0</v>
      </c>
      <c r="U185" s="960"/>
      <c r="V185" s="824"/>
    </row>
    <row r="186" spans="1:22" s="826" customFormat="1" ht="22.8">
      <c r="A186" s="1112">
        <v>19</v>
      </c>
      <c r="B186" s="823" t="s">
        <v>988</v>
      </c>
      <c r="C186" s="1041" t="s">
        <v>986</v>
      </c>
      <c r="D186" s="947" t="s">
        <v>663</v>
      </c>
      <c r="E186" s="1113" t="s">
        <v>951</v>
      </c>
      <c r="F186" s="1069"/>
      <c r="G186" s="842"/>
      <c r="H186" s="842"/>
      <c r="I186" s="842"/>
      <c r="J186" s="842"/>
      <c r="K186" s="842"/>
      <c r="L186" s="843"/>
      <c r="M186" s="842"/>
      <c r="N186" s="842"/>
      <c r="O186" s="843"/>
      <c r="P186" s="842"/>
      <c r="Q186" s="844"/>
      <c r="R186" s="1076">
        <f t="shared" si="7"/>
        <v>0</v>
      </c>
      <c r="S186" s="825"/>
      <c r="T186" s="1062">
        <f t="shared" si="6"/>
        <v>0</v>
      </c>
      <c r="U186" s="960"/>
      <c r="V186" s="824"/>
    </row>
    <row r="187" spans="1:22" s="826" customFormat="1" ht="22.8">
      <c r="A187" s="836"/>
      <c r="B187" s="1080" t="s">
        <v>989</v>
      </c>
      <c r="C187" s="1038" t="s">
        <v>960</v>
      </c>
      <c r="D187" s="954"/>
      <c r="E187" s="1072"/>
      <c r="F187" s="1069"/>
      <c r="G187" s="842"/>
      <c r="H187" s="842"/>
      <c r="I187" s="842"/>
      <c r="J187" s="842"/>
      <c r="K187" s="842"/>
      <c r="L187" s="843">
        <v>1</v>
      </c>
      <c r="M187" s="842">
        <v>0.7</v>
      </c>
      <c r="N187" s="842"/>
      <c r="O187" s="843"/>
      <c r="P187" s="842"/>
      <c r="Q187" s="844"/>
      <c r="R187" s="1076">
        <f>SUM(F187:Q187)</f>
        <v>1.7</v>
      </c>
      <c r="S187" s="825">
        <v>0.5</v>
      </c>
      <c r="T187" s="1062">
        <f t="shared" si="6"/>
        <v>0.85</v>
      </c>
      <c r="U187" s="960"/>
      <c r="V187" s="824" t="s">
        <v>990</v>
      </c>
    </row>
    <row r="188" spans="1:22" s="826" customFormat="1" ht="22.8">
      <c r="A188" s="836"/>
      <c r="B188" s="1040"/>
      <c r="C188" s="1038"/>
      <c r="D188" s="954"/>
      <c r="E188" s="1072"/>
      <c r="F188" s="1069"/>
      <c r="G188" s="842"/>
      <c r="H188" s="842"/>
      <c r="I188" s="842"/>
      <c r="J188" s="842"/>
      <c r="K188" s="842"/>
      <c r="L188" s="843"/>
      <c r="M188" s="842"/>
      <c r="N188" s="842"/>
      <c r="O188" s="843"/>
      <c r="P188" s="842"/>
      <c r="Q188" s="844"/>
      <c r="R188" s="1076">
        <f t="shared" ref="R188:R229" si="8">SUM(F188:Q188)</f>
        <v>0</v>
      </c>
      <c r="S188" s="825"/>
      <c r="T188" s="1062">
        <f t="shared" si="6"/>
        <v>0</v>
      </c>
      <c r="U188" s="960"/>
      <c r="V188" s="824"/>
    </row>
    <row r="189" spans="1:22" s="826" customFormat="1" ht="22.8">
      <c r="A189" s="1112">
        <v>20</v>
      </c>
      <c r="B189" s="823" t="s">
        <v>1003</v>
      </c>
      <c r="C189" s="1041" t="s">
        <v>991</v>
      </c>
      <c r="D189" s="946" t="s">
        <v>611</v>
      </c>
      <c r="E189" s="1113" t="s">
        <v>992</v>
      </c>
      <c r="F189" s="1069"/>
      <c r="G189" s="1060"/>
      <c r="H189" s="1060"/>
      <c r="I189" s="1060"/>
      <c r="J189" s="1060"/>
      <c r="K189" s="1060"/>
      <c r="L189" s="1069"/>
      <c r="M189" s="1060"/>
      <c r="N189" s="1060"/>
      <c r="O189" s="843"/>
      <c r="P189" s="842"/>
      <c r="Q189" s="844"/>
      <c r="R189" s="1076">
        <f t="shared" si="8"/>
        <v>0</v>
      </c>
      <c r="S189" s="825"/>
      <c r="T189" s="1062">
        <f t="shared" si="6"/>
        <v>0</v>
      </c>
      <c r="U189" s="960"/>
      <c r="V189" s="824" t="s">
        <v>998</v>
      </c>
    </row>
    <row r="190" spans="1:22" s="826" customFormat="1" ht="22.8">
      <c r="A190" s="836"/>
      <c r="B190" s="1080" t="s">
        <v>996</v>
      </c>
      <c r="C190" s="1038" t="s">
        <v>973</v>
      </c>
      <c r="D190" s="1114"/>
      <c r="E190" s="1115"/>
      <c r="F190" s="1069"/>
      <c r="G190" s="1060"/>
      <c r="H190" s="1060"/>
      <c r="I190" s="1060"/>
      <c r="J190" s="1060"/>
      <c r="K190" s="1060"/>
      <c r="L190" s="1069"/>
      <c r="M190" s="1060"/>
      <c r="N190" s="1060"/>
      <c r="O190" s="843"/>
      <c r="P190" s="842"/>
      <c r="Q190" s="844"/>
      <c r="R190" s="1076">
        <f t="shared" si="8"/>
        <v>0</v>
      </c>
      <c r="S190" s="825"/>
      <c r="T190" s="1062">
        <f t="shared" si="6"/>
        <v>0</v>
      </c>
      <c r="U190" s="960"/>
      <c r="V190" s="824"/>
    </row>
    <row r="191" spans="1:22" s="826" customFormat="1" ht="22.8">
      <c r="A191" s="836"/>
      <c r="B191" s="1080" t="s">
        <v>997</v>
      </c>
      <c r="C191" s="1038" t="s">
        <v>993</v>
      </c>
      <c r="D191" s="1114"/>
      <c r="E191" s="1115"/>
      <c r="F191" s="1069"/>
      <c r="G191" s="1060"/>
      <c r="H191" s="1060"/>
      <c r="I191" s="1060"/>
      <c r="J191" s="1060"/>
      <c r="K191" s="1060"/>
      <c r="L191" s="1069"/>
      <c r="M191" s="1060"/>
      <c r="N191" s="1060"/>
      <c r="O191" s="843"/>
      <c r="P191" s="842"/>
      <c r="Q191" s="844"/>
      <c r="R191" s="1076">
        <f t="shared" si="8"/>
        <v>0</v>
      </c>
      <c r="S191" s="825"/>
      <c r="T191" s="1062">
        <f t="shared" si="6"/>
        <v>0</v>
      </c>
      <c r="U191" s="960"/>
      <c r="V191" s="824"/>
    </row>
    <row r="192" spans="1:22" s="826" customFormat="1" ht="22.8">
      <c r="A192" s="836"/>
      <c r="B192" s="1080" t="s">
        <v>999</v>
      </c>
      <c r="C192" s="1038" t="s">
        <v>994</v>
      </c>
      <c r="D192" s="1114"/>
      <c r="E192" s="1115"/>
      <c r="F192" s="1069"/>
      <c r="G192" s="1060"/>
      <c r="H192" s="1060"/>
      <c r="I192" s="1060"/>
      <c r="J192" s="1060"/>
      <c r="K192" s="1060"/>
      <c r="L192" s="1069"/>
      <c r="M192" s="1060"/>
      <c r="N192" s="1060"/>
      <c r="O192" s="843"/>
      <c r="P192" s="842"/>
      <c r="Q192" s="844"/>
      <c r="R192" s="1076">
        <f t="shared" si="8"/>
        <v>0</v>
      </c>
      <c r="S192" s="825"/>
      <c r="T192" s="1062">
        <f t="shared" si="6"/>
        <v>0</v>
      </c>
      <c r="U192" s="960"/>
      <c r="V192" s="824"/>
    </row>
    <row r="193" spans="1:22" s="826" customFormat="1" ht="22.8">
      <c r="A193" s="836"/>
      <c r="B193" s="1080" t="s">
        <v>995</v>
      </c>
      <c r="C193" s="1038" t="s">
        <v>615</v>
      </c>
      <c r="D193" s="1114"/>
      <c r="E193" s="1115"/>
      <c r="F193" s="1069"/>
      <c r="G193" s="1060"/>
      <c r="H193" s="1060"/>
      <c r="I193" s="1060"/>
      <c r="J193" s="1060"/>
      <c r="K193" s="1060"/>
      <c r="L193" s="1069"/>
      <c r="M193" s="1060"/>
      <c r="N193" s="1060"/>
      <c r="O193" s="843"/>
      <c r="P193" s="842"/>
      <c r="Q193" s="844"/>
      <c r="R193" s="1076">
        <f t="shared" si="8"/>
        <v>0</v>
      </c>
      <c r="S193" s="825"/>
      <c r="T193" s="1062">
        <f t="shared" si="6"/>
        <v>0</v>
      </c>
      <c r="U193" s="960"/>
      <c r="V193" s="824"/>
    </row>
    <row r="194" spans="1:22" s="826" customFormat="1" ht="22.8">
      <c r="A194" s="836"/>
      <c r="B194" s="1040"/>
      <c r="C194" s="1038"/>
      <c r="D194" s="1114"/>
      <c r="E194" s="1115"/>
      <c r="F194" s="1069"/>
      <c r="G194" s="1060"/>
      <c r="H194" s="1060"/>
      <c r="I194" s="1060"/>
      <c r="J194" s="1060"/>
      <c r="K194" s="1060"/>
      <c r="L194" s="1069"/>
      <c r="M194" s="1060"/>
      <c r="N194" s="1060"/>
      <c r="O194" s="843"/>
      <c r="P194" s="842"/>
      <c r="Q194" s="844"/>
      <c r="R194" s="1076">
        <f t="shared" si="8"/>
        <v>0</v>
      </c>
      <c r="S194" s="825"/>
      <c r="T194" s="1062">
        <f t="shared" si="6"/>
        <v>0</v>
      </c>
      <c r="U194" s="960"/>
      <c r="V194" s="824"/>
    </row>
    <row r="195" spans="1:22" s="826" customFormat="1" ht="22.8">
      <c r="A195" s="1112">
        <v>21</v>
      </c>
      <c r="B195" s="1041" t="s">
        <v>1004</v>
      </c>
      <c r="C195" s="1041" t="s">
        <v>1000</v>
      </c>
      <c r="D195" s="946" t="s">
        <v>611</v>
      </c>
      <c r="E195" s="1116" t="s">
        <v>951</v>
      </c>
      <c r="F195" s="1069"/>
      <c r="G195" s="1060"/>
      <c r="H195" s="1060"/>
      <c r="I195" s="1060"/>
      <c r="J195" s="1060"/>
      <c r="K195" s="1060"/>
      <c r="L195" s="1069"/>
      <c r="M195" s="1060"/>
      <c r="N195" s="1060"/>
      <c r="O195" s="843"/>
      <c r="P195" s="842"/>
      <c r="Q195" s="844"/>
      <c r="R195" s="1076">
        <f t="shared" si="8"/>
        <v>0</v>
      </c>
      <c r="S195" s="825"/>
      <c r="T195" s="1062">
        <f t="shared" si="6"/>
        <v>0</v>
      </c>
      <c r="U195" s="960"/>
      <c r="V195" s="824"/>
    </row>
    <row r="196" spans="1:22" s="826" customFormat="1" ht="22.8">
      <c r="A196" s="836"/>
      <c r="B196" s="1080" t="s">
        <v>1001</v>
      </c>
      <c r="C196" s="1038" t="s">
        <v>973</v>
      </c>
      <c r="D196" s="1114"/>
      <c r="E196" s="1115"/>
      <c r="F196" s="1069"/>
      <c r="G196" s="1060"/>
      <c r="H196" s="1060"/>
      <c r="I196" s="1060"/>
      <c r="J196" s="1060"/>
      <c r="K196" s="1060"/>
      <c r="L196" s="1069"/>
      <c r="M196" s="1060"/>
      <c r="N196" s="1060"/>
      <c r="O196" s="843"/>
      <c r="P196" s="842"/>
      <c r="Q196" s="844">
        <v>0.09</v>
      </c>
      <c r="R196" s="1076">
        <f t="shared" si="8"/>
        <v>0.09</v>
      </c>
      <c r="S196" s="825">
        <v>0.1</v>
      </c>
      <c r="T196" s="1062">
        <f t="shared" si="6"/>
        <v>8.9999999999999993E-3</v>
      </c>
      <c r="U196" s="960"/>
      <c r="V196" s="824" t="s">
        <v>1002</v>
      </c>
    </row>
    <row r="197" spans="1:22" s="826" customFormat="1" ht="22.8">
      <c r="A197" s="836"/>
      <c r="B197" s="1040"/>
      <c r="C197" s="1038" t="s">
        <v>993</v>
      </c>
      <c r="D197" s="1114"/>
      <c r="E197" s="1115"/>
      <c r="F197" s="1069"/>
      <c r="G197" s="1060"/>
      <c r="H197" s="1060"/>
      <c r="I197" s="1060"/>
      <c r="J197" s="1060"/>
      <c r="K197" s="1060"/>
      <c r="L197" s="1069"/>
      <c r="M197" s="1060"/>
      <c r="N197" s="1060"/>
      <c r="O197" s="843"/>
      <c r="P197" s="842"/>
      <c r="Q197" s="844">
        <v>0.5</v>
      </c>
      <c r="R197" s="1076">
        <f t="shared" si="8"/>
        <v>0.5</v>
      </c>
      <c r="S197" s="825">
        <v>0.1</v>
      </c>
      <c r="T197" s="1062">
        <f t="shared" si="6"/>
        <v>0.05</v>
      </c>
      <c r="U197" s="960"/>
      <c r="V197" s="824" t="s">
        <v>1002</v>
      </c>
    </row>
    <row r="198" spans="1:22" s="826" customFormat="1" ht="22.8">
      <c r="A198" s="836"/>
      <c r="B198" s="1040"/>
      <c r="C198" s="1038"/>
      <c r="D198" s="1114"/>
      <c r="E198" s="1115"/>
      <c r="F198" s="1069"/>
      <c r="G198" s="1060"/>
      <c r="H198" s="1060"/>
      <c r="I198" s="1060"/>
      <c r="J198" s="1060"/>
      <c r="K198" s="1060"/>
      <c r="L198" s="1069"/>
      <c r="M198" s="1060"/>
      <c r="N198" s="1060"/>
      <c r="O198" s="843"/>
      <c r="P198" s="842"/>
      <c r="Q198" s="844"/>
      <c r="R198" s="1076">
        <f t="shared" si="8"/>
        <v>0</v>
      </c>
      <c r="S198" s="825"/>
      <c r="T198" s="1062">
        <f t="shared" si="6"/>
        <v>0</v>
      </c>
      <c r="U198" s="960"/>
      <c r="V198" s="824"/>
    </row>
    <row r="199" spans="1:22" s="826" customFormat="1" ht="22.8">
      <c r="A199" s="1112">
        <v>22</v>
      </c>
      <c r="B199" s="1041" t="s">
        <v>1006</v>
      </c>
      <c r="C199" s="1041" t="s">
        <v>1009</v>
      </c>
      <c r="D199" s="946" t="s">
        <v>611</v>
      </c>
      <c r="E199" s="1116" t="s">
        <v>949</v>
      </c>
      <c r="F199" s="1069"/>
      <c r="G199" s="1060"/>
      <c r="H199" s="1060"/>
      <c r="I199" s="1060"/>
      <c r="J199" s="1060"/>
      <c r="K199" s="1060"/>
      <c r="L199" s="1069"/>
      <c r="M199" s="1060"/>
      <c r="N199" s="1060"/>
      <c r="O199" s="843"/>
      <c r="P199" s="842"/>
      <c r="Q199" s="844"/>
      <c r="R199" s="1076">
        <f t="shared" si="8"/>
        <v>0</v>
      </c>
      <c r="S199" s="825"/>
      <c r="T199" s="1062">
        <f t="shared" ref="T199:T228" si="9">R199*S199</f>
        <v>0</v>
      </c>
      <c r="U199" s="960"/>
      <c r="V199" s="824"/>
    </row>
    <row r="200" spans="1:22" s="826" customFormat="1" ht="22.8">
      <c r="A200" s="836"/>
      <c r="B200" s="1080" t="s">
        <v>1005</v>
      </c>
      <c r="C200" s="1038"/>
      <c r="D200" s="1114"/>
      <c r="E200" s="1115"/>
      <c r="F200" s="1069"/>
      <c r="G200" s="1060"/>
      <c r="H200" s="1060"/>
      <c r="I200" s="1060"/>
      <c r="J200" s="1060"/>
      <c r="K200" s="1060"/>
      <c r="L200" s="1069"/>
      <c r="M200" s="1060"/>
      <c r="N200" s="1060"/>
      <c r="O200" s="843"/>
      <c r="P200" s="842"/>
      <c r="Q200" s="844"/>
      <c r="R200" s="1076">
        <f t="shared" si="8"/>
        <v>0</v>
      </c>
      <c r="S200" s="825"/>
      <c r="T200" s="1062">
        <f t="shared" si="9"/>
        <v>0</v>
      </c>
      <c r="U200" s="960"/>
      <c r="V200" s="824"/>
    </row>
    <row r="201" spans="1:22" s="826" customFormat="1" ht="22.8">
      <c r="A201" s="836"/>
      <c r="B201" s="1080" t="s">
        <v>1007</v>
      </c>
      <c r="C201" s="1038"/>
      <c r="D201" s="1114"/>
      <c r="E201" s="1115"/>
      <c r="F201" s="1069"/>
      <c r="G201" s="1060"/>
      <c r="H201" s="1060"/>
      <c r="I201" s="1060"/>
      <c r="J201" s="1060"/>
      <c r="K201" s="1060"/>
      <c r="L201" s="1069"/>
      <c r="M201" s="1060"/>
      <c r="N201" s="1060"/>
      <c r="O201" s="843"/>
      <c r="P201" s="842"/>
      <c r="Q201" s="844"/>
      <c r="R201" s="1076">
        <f t="shared" si="8"/>
        <v>0</v>
      </c>
      <c r="S201" s="825"/>
      <c r="T201" s="1062">
        <f t="shared" si="9"/>
        <v>0</v>
      </c>
      <c r="U201" s="960"/>
      <c r="V201" s="824"/>
    </row>
    <row r="202" spans="1:22" s="826" customFormat="1" ht="22.8">
      <c r="A202" s="836"/>
      <c r="B202" s="1080" t="s">
        <v>1008</v>
      </c>
      <c r="C202" s="1038"/>
      <c r="D202" s="1114"/>
      <c r="E202" s="1115"/>
      <c r="F202" s="1069"/>
      <c r="G202" s="1060"/>
      <c r="H202" s="1060"/>
      <c r="I202" s="1060"/>
      <c r="J202" s="1060"/>
      <c r="K202" s="1060"/>
      <c r="L202" s="1069"/>
      <c r="M202" s="1060"/>
      <c r="N202" s="1060"/>
      <c r="O202" s="843"/>
      <c r="P202" s="842"/>
      <c r="Q202" s="844"/>
      <c r="R202" s="1076">
        <f t="shared" si="8"/>
        <v>0</v>
      </c>
      <c r="S202" s="825"/>
      <c r="T202" s="1062">
        <f t="shared" si="9"/>
        <v>0</v>
      </c>
      <c r="U202" s="960"/>
      <c r="V202" s="824"/>
    </row>
    <row r="203" spans="1:22" s="826" customFormat="1" ht="22.8">
      <c r="A203" s="836"/>
      <c r="B203" s="1080"/>
      <c r="C203" s="1038"/>
      <c r="D203" s="1114"/>
      <c r="E203" s="1115"/>
      <c r="F203" s="1069"/>
      <c r="G203" s="1060"/>
      <c r="H203" s="1060"/>
      <c r="I203" s="1060"/>
      <c r="J203" s="1060"/>
      <c r="K203" s="1060"/>
      <c r="L203" s="1069"/>
      <c r="M203" s="1060"/>
      <c r="N203" s="1060"/>
      <c r="O203" s="843"/>
      <c r="P203" s="842"/>
      <c r="Q203" s="844"/>
      <c r="R203" s="1076">
        <f t="shared" si="8"/>
        <v>0</v>
      </c>
      <c r="S203" s="825"/>
      <c r="T203" s="1062">
        <f t="shared" si="9"/>
        <v>0</v>
      </c>
      <c r="U203" s="960"/>
      <c r="V203" s="824"/>
    </row>
    <row r="204" spans="1:22" s="826" customFormat="1" ht="22.8">
      <c r="A204" s="1112">
        <v>23</v>
      </c>
      <c r="B204" s="823" t="s">
        <v>1011</v>
      </c>
      <c r="C204" s="1041" t="s">
        <v>1012</v>
      </c>
      <c r="D204" s="1117" t="s">
        <v>663</v>
      </c>
      <c r="E204" s="1116" t="s">
        <v>1013</v>
      </c>
      <c r="F204" s="1069"/>
      <c r="G204" s="1060"/>
      <c r="H204" s="1060"/>
      <c r="I204" s="1060"/>
      <c r="J204" s="1060"/>
      <c r="K204" s="1060"/>
      <c r="L204" s="1069"/>
      <c r="M204" s="1060"/>
      <c r="N204" s="1060"/>
      <c r="O204" s="843"/>
      <c r="P204" s="842"/>
      <c r="Q204" s="844"/>
      <c r="R204" s="1076">
        <f t="shared" si="8"/>
        <v>0</v>
      </c>
      <c r="S204" s="825"/>
      <c r="T204" s="1062">
        <f t="shared" si="9"/>
        <v>0</v>
      </c>
      <c r="U204" s="960"/>
      <c r="V204" s="824"/>
    </row>
    <row r="205" spans="1:22" s="826" customFormat="1" ht="22.8">
      <c r="A205" s="836"/>
      <c r="B205" s="1080"/>
      <c r="C205" s="1038" t="s">
        <v>1014</v>
      </c>
      <c r="D205" s="1114"/>
      <c r="E205" s="1115"/>
      <c r="F205" s="1069"/>
      <c r="G205" s="1060"/>
      <c r="H205" s="1060"/>
      <c r="I205" s="1060"/>
      <c r="J205" s="1060"/>
      <c r="K205" s="1060"/>
      <c r="L205" s="1069"/>
      <c r="M205" s="1060"/>
      <c r="N205" s="1060"/>
      <c r="O205" s="843"/>
      <c r="P205" s="842"/>
      <c r="Q205" s="844"/>
      <c r="R205" s="1076">
        <f t="shared" si="8"/>
        <v>0</v>
      </c>
      <c r="S205" s="825"/>
      <c r="T205" s="1062">
        <f t="shared" si="9"/>
        <v>0</v>
      </c>
      <c r="U205" s="960"/>
      <c r="V205" s="824"/>
    </row>
    <row r="206" spans="1:22" s="826" customFormat="1" ht="22.8">
      <c r="A206" s="836"/>
      <c r="B206" s="1080"/>
      <c r="C206" s="1038" t="s">
        <v>1015</v>
      </c>
      <c r="D206" s="1114"/>
      <c r="E206" s="1115"/>
      <c r="F206" s="1069"/>
      <c r="G206" s="1060"/>
      <c r="H206" s="1060"/>
      <c r="I206" s="1060"/>
      <c r="J206" s="1060"/>
      <c r="K206" s="1060"/>
      <c r="L206" s="1069"/>
      <c r="M206" s="1060"/>
      <c r="N206" s="1060"/>
      <c r="O206" s="843"/>
      <c r="P206" s="842"/>
      <c r="Q206" s="844"/>
      <c r="R206" s="1076">
        <f t="shared" si="8"/>
        <v>0</v>
      </c>
      <c r="S206" s="825"/>
      <c r="T206" s="1062">
        <f t="shared" si="9"/>
        <v>0</v>
      </c>
      <c r="U206" s="960"/>
      <c r="V206" s="824"/>
    </row>
    <row r="207" spans="1:22" s="826" customFormat="1" ht="22.8">
      <c r="A207" s="836"/>
      <c r="B207" s="1080"/>
      <c r="C207" s="1038"/>
      <c r="D207" s="1114"/>
      <c r="E207" s="1115"/>
      <c r="F207" s="1069"/>
      <c r="G207" s="1060"/>
      <c r="H207" s="1060"/>
      <c r="I207" s="1060"/>
      <c r="J207" s="1060"/>
      <c r="K207" s="1060"/>
      <c r="L207" s="1069"/>
      <c r="M207" s="1060"/>
      <c r="N207" s="1060"/>
      <c r="O207" s="843"/>
      <c r="P207" s="842"/>
      <c r="Q207" s="844"/>
      <c r="R207" s="1076">
        <f t="shared" si="8"/>
        <v>0</v>
      </c>
      <c r="S207" s="825"/>
      <c r="T207" s="1062">
        <f t="shared" si="9"/>
        <v>0</v>
      </c>
      <c r="U207" s="960"/>
      <c r="V207" s="824"/>
    </row>
    <row r="208" spans="1:22" s="826" customFormat="1" ht="22.8">
      <c r="A208" s="1112">
        <v>24</v>
      </c>
      <c r="B208" s="823" t="s">
        <v>1016</v>
      </c>
      <c r="C208" s="1041" t="s">
        <v>1017</v>
      </c>
      <c r="D208" s="946" t="s">
        <v>611</v>
      </c>
      <c r="E208" s="1116" t="s">
        <v>951</v>
      </c>
      <c r="F208" s="1069"/>
      <c r="G208" s="1060"/>
      <c r="H208" s="1060"/>
      <c r="I208" s="1060"/>
      <c r="J208" s="1060"/>
      <c r="K208" s="1060"/>
      <c r="L208" s="1069"/>
      <c r="M208" s="1060"/>
      <c r="N208" s="1060"/>
      <c r="O208" s="843"/>
      <c r="P208" s="842"/>
      <c r="Q208" s="844"/>
      <c r="R208" s="1076">
        <f t="shared" si="8"/>
        <v>0</v>
      </c>
      <c r="S208" s="825"/>
      <c r="T208" s="1062">
        <f t="shared" si="9"/>
        <v>0</v>
      </c>
      <c r="U208" s="960"/>
      <c r="V208" s="824"/>
    </row>
    <row r="209" spans="1:22" s="826" customFormat="1" ht="22.8">
      <c r="A209" s="836"/>
      <c r="B209" s="1080"/>
      <c r="C209" s="1038" t="s">
        <v>973</v>
      </c>
      <c r="D209" s="1114"/>
      <c r="E209" s="1115"/>
      <c r="F209" s="1069"/>
      <c r="G209" s="1060"/>
      <c r="H209" s="1060"/>
      <c r="I209" s="1060"/>
      <c r="J209" s="1060"/>
      <c r="K209" s="1060"/>
      <c r="L209" s="1069"/>
      <c r="M209" s="1060"/>
      <c r="N209" s="1060"/>
      <c r="O209" s="843"/>
      <c r="P209" s="842"/>
      <c r="Q209" s="844"/>
      <c r="R209" s="1076">
        <f t="shared" si="8"/>
        <v>0</v>
      </c>
      <c r="S209" s="825"/>
      <c r="T209" s="1062">
        <f t="shared" si="9"/>
        <v>0</v>
      </c>
      <c r="U209" s="960"/>
      <c r="V209" s="824"/>
    </row>
    <row r="210" spans="1:22" s="826" customFormat="1" ht="22.8">
      <c r="A210" s="836"/>
      <c r="B210" s="1080"/>
      <c r="C210" s="1038"/>
      <c r="D210" s="1114"/>
      <c r="E210" s="1115"/>
      <c r="F210" s="1069"/>
      <c r="G210" s="1060"/>
      <c r="H210" s="1060"/>
      <c r="I210" s="1060"/>
      <c r="J210" s="1060"/>
      <c r="K210" s="1060"/>
      <c r="L210" s="1069"/>
      <c r="M210" s="1060"/>
      <c r="N210" s="1060"/>
      <c r="O210" s="843"/>
      <c r="P210" s="842"/>
      <c r="Q210" s="844"/>
      <c r="R210" s="1076">
        <f t="shared" si="8"/>
        <v>0</v>
      </c>
      <c r="S210" s="825"/>
      <c r="T210" s="1062">
        <f t="shared" si="9"/>
        <v>0</v>
      </c>
      <c r="U210" s="960"/>
      <c r="V210" s="824"/>
    </row>
    <row r="211" spans="1:22" s="826" customFormat="1" ht="22.8">
      <c r="A211" s="836"/>
      <c r="B211" s="1080"/>
      <c r="C211" s="1038"/>
      <c r="D211" s="1114"/>
      <c r="E211" s="1115"/>
      <c r="F211" s="1069"/>
      <c r="G211" s="1060"/>
      <c r="H211" s="1060"/>
      <c r="I211" s="1060"/>
      <c r="J211" s="1060"/>
      <c r="K211" s="1060"/>
      <c r="L211" s="1069"/>
      <c r="M211" s="1060"/>
      <c r="N211" s="1060"/>
      <c r="O211" s="843"/>
      <c r="P211" s="842"/>
      <c r="Q211" s="844"/>
      <c r="R211" s="1076">
        <f t="shared" si="8"/>
        <v>0</v>
      </c>
      <c r="S211" s="825"/>
      <c r="T211" s="1062">
        <f t="shared" si="9"/>
        <v>0</v>
      </c>
      <c r="U211" s="960"/>
      <c r="V211" s="824"/>
    </row>
    <row r="212" spans="1:22" s="826" customFormat="1" ht="22.8">
      <c r="A212" s="836"/>
      <c r="B212" s="1080"/>
      <c r="C212" s="1038"/>
      <c r="D212" s="1114"/>
      <c r="E212" s="1115"/>
      <c r="F212" s="1069"/>
      <c r="G212" s="1060"/>
      <c r="H212" s="1060"/>
      <c r="I212" s="1060"/>
      <c r="J212" s="1060"/>
      <c r="K212" s="1060"/>
      <c r="L212" s="1069"/>
      <c r="M212" s="1060"/>
      <c r="N212" s="1060"/>
      <c r="O212" s="843"/>
      <c r="P212" s="842"/>
      <c r="Q212" s="844"/>
      <c r="R212" s="1076">
        <f t="shared" si="8"/>
        <v>0</v>
      </c>
      <c r="S212" s="825"/>
      <c r="T212" s="1062">
        <f t="shared" si="9"/>
        <v>0</v>
      </c>
      <c r="U212" s="960"/>
      <c r="V212" s="824"/>
    </row>
    <row r="213" spans="1:22" s="826" customFormat="1" ht="22.8">
      <c r="A213" s="836"/>
      <c r="B213" s="1080"/>
      <c r="C213" s="1038"/>
      <c r="D213" s="1114"/>
      <c r="E213" s="1115"/>
      <c r="F213" s="1069"/>
      <c r="G213" s="1060"/>
      <c r="H213" s="1060"/>
      <c r="I213" s="1060"/>
      <c r="J213" s="1060"/>
      <c r="K213" s="1060"/>
      <c r="L213" s="1069"/>
      <c r="M213" s="1060"/>
      <c r="N213" s="1060"/>
      <c r="O213" s="843"/>
      <c r="P213" s="842"/>
      <c r="Q213" s="844"/>
      <c r="R213" s="1076">
        <f t="shared" si="8"/>
        <v>0</v>
      </c>
      <c r="S213" s="825"/>
      <c r="T213" s="1062">
        <f t="shared" si="9"/>
        <v>0</v>
      </c>
      <c r="U213" s="960"/>
      <c r="V213" s="824"/>
    </row>
    <row r="214" spans="1:22" s="826" customFormat="1" ht="22.8">
      <c r="A214" s="836"/>
      <c r="B214" s="1080"/>
      <c r="C214" s="1038"/>
      <c r="D214" s="1114"/>
      <c r="E214" s="1115"/>
      <c r="F214" s="1069"/>
      <c r="G214" s="1060"/>
      <c r="H214" s="1060"/>
      <c r="I214" s="1060"/>
      <c r="J214" s="1060"/>
      <c r="K214" s="1060"/>
      <c r="L214" s="1069"/>
      <c r="M214" s="1060"/>
      <c r="N214" s="1060"/>
      <c r="O214" s="843"/>
      <c r="P214" s="842"/>
      <c r="Q214" s="844"/>
      <c r="R214" s="1076">
        <f t="shared" si="8"/>
        <v>0</v>
      </c>
      <c r="S214" s="825"/>
      <c r="T214" s="1062">
        <f t="shared" si="9"/>
        <v>0</v>
      </c>
      <c r="U214" s="960"/>
      <c r="V214" s="824"/>
    </row>
    <row r="215" spans="1:22" s="826" customFormat="1" ht="22.8">
      <c r="A215" s="836"/>
      <c r="B215" s="1080"/>
      <c r="C215" s="1038"/>
      <c r="D215" s="1114"/>
      <c r="E215" s="1115"/>
      <c r="F215" s="1069"/>
      <c r="G215" s="1060"/>
      <c r="H215" s="1060"/>
      <c r="I215" s="1060"/>
      <c r="J215" s="1060"/>
      <c r="K215" s="1060"/>
      <c r="L215" s="1069"/>
      <c r="M215" s="1060"/>
      <c r="N215" s="1060"/>
      <c r="O215" s="843"/>
      <c r="P215" s="842"/>
      <c r="Q215" s="844"/>
      <c r="R215" s="1076">
        <f t="shared" si="8"/>
        <v>0</v>
      </c>
      <c r="S215" s="825"/>
      <c r="T215" s="1062">
        <f t="shared" si="9"/>
        <v>0</v>
      </c>
      <c r="U215" s="960"/>
      <c r="V215" s="824"/>
    </row>
    <row r="216" spans="1:22" s="826" customFormat="1" ht="22.8">
      <c r="A216" s="836"/>
      <c r="B216" s="1080"/>
      <c r="C216" s="1038"/>
      <c r="D216" s="1114"/>
      <c r="E216" s="1115"/>
      <c r="F216" s="1069"/>
      <c r="G216" s="1060"/>
      <c r="H216" s="1060"/>
      <c r="I216" s="1060"/>
      <c r="J216" s="1060"/>
      <c r="K216" s="1060"/>
      <c r="L216" s="1069"/>
      <c r="M216" s="1060"/>
      <c r="N216" s="1060"/>
      <c r="O216" s="843"/>
      <c r="P216" s="842"/>
      <c r="Q216" s="844"/>
      <c r="R216" s="1076">
        <f t="shared" si="8"/>
        <v>0</v>
      </c>
      <c r="S216" s="825"/>
      <c r="T216" s="1062">
        <f t="shared" si="9"/>
        <v>0</v>
      </c>
      <c r="U216" s="960"/>
      <c r="V216" s="824"/>
    </row>
    <row r="217" spans="1:22" s="826" customFormat="1" ht="22.8">
      <c r="A217" s="836"/>
      <c r="B217" s="1080"/>
      <c r="C217" s="1038"/>
      <c r="D217" s="1114"/>
      <c r="E217" s="1115"/>
      <c r="F217" s="1069"/>
      <c r="G217" s="1060"/>
      <c r="H217" s="1060"/>
      <c r="I217" s="1060"/>
      <c r="J217" s="1060"/>
      <c r="K217" s="1060"/>
      <c r="L217" s="1069"/>
      <c r="M217" s="1060"/>
      <c r="N217" s="1060"/>
      <c r="O217" s="843"/>
      <c r="P217" s="842"/>
      <c r="Q217" s="844"/>
      <c r="R217" s="1076">
        <f t="shared" si="8"/>
        <v>0</v>
      </c>
      <c r="S217" s="825"/>
      <c r="T217" s="1062">
        <f t="shared" si="9"/>
        <v>0</v>
      </c>
      <c r="U217" s="960"/>
      <c r="V217" s="824"/>
    </row>
    <row r="218" spans="1:22" s="826" customFormat="1" ht="22.8">
      <c r="A218" s="836"/>
      <c r="B218" s="1080"/>
      <c r="C218" s="1038"/>
      <c r="D218" s="1114"/>
      <c r="E218" s="1115"/>
      <c r="F218" s="1069"/>
      <c r="G218" s="1060"/>
      <c r="H218" s="1060"/>
      <c r="I218" s="1060"/>
      <c r="J218" s="1060"/>
      <c r="K218" s="1060"/>
      <c r="L218" s="1069"/>
      <c r="M218" s="1060"/>
      <c r="N218" s="1060"/>
      <c r="O218" s="843"/>
      <c r="P218" s="842"/>
      <c r="Q218" s="844"/>
      <c r="R218" s="1076">
        <f t="shared" si="8"/>
        <v>0</v>
      </c>
      <c r="S218" s="825"/>
      <c r="T218" s="1062">
        <f t="shared" si="9"/>
        <v>0</v>
      </c>
      <c r="U218" s="960"/>
      <c r="V218" s="824"/>
    </row>
    <row r="219" spans="1:22" s="826" customFormat="1" ht="22.8">
      <c r="A219" s="836"/>
      <c r="B219" s="1080"/>
      <c r="C219" s="1038"/>
      <c r="D219" s="1114"/>
      <c r="E219" s="1115"/>
      <c r="F219" s="1069"/>
      <c r="G219" s="1060"/>
      <c r="H219" s="1060"/>
      <c r="I219" s="1060"/>
      <c r="J219" s="1060"/>
      <c r="K219" s="1060"/>
      <c r="L219" s="1069"/>
      <c r="M219" s="1060"/>
      <c r="N219" s="1060"/>
      <c r="O219" s="843"/>
      <c r="P219" s="842"/>
      <c r="Q219" s="844"/>
      <c r="R219" s="1076">
        <f t="shared" si="8"/>
        <v>0</v>
      </c>
      <c r="S219" s="825"/>
      <c r="T219" s="1062">
        <f t="shared" si="9"/>
        <v>0</v>
      </c>
      <c r="U219" s="960"/>
      <c r="V219" s="824"/>
    </row>
    <row r="220" spans="1:22" s="826" customFormat="1" ht="22.8">
      <c r="A220" s="836"/>
      <c r="B220" s="1080"/>
      <c r="C220" s="1038"/>
      <c r="D220" s="1114"/>
      <c r="E220" s="1115"/>
      <c r="F220" s="1069"/>
      <c r="G220" s="1060"/>
      <c r="H220" s="1060"/>
      <c r="I220" s="1060"/>
      <c r="J220" s="1060"/>
      <c r="K220" s="1060"/>
      <c r="L220" s="1069"/>
      <c r="M220" s="1060"/>
      <c r="N220" s="1060"/>
      <c r="O220" s="843"/>
      <c r="P220" s="842"/>
      <c r="Q220" s="844"/>
      <c r="R220" s="1076">
        <f t="shared" si="8"/>
        <v>0</v>
      </c>
      <c r="S220" s="825"/>
      <c r="T220" s="1062">
        <f t="shared" si="9"/>
        <v>0</v>
      </c>
      <c r="U220" s="960"/>
      <c r="V220" s="824"/>
    </row>
    <row r="221" spans="1:22" s="826" customFormat="1" ht="22.8">
      <c r="A221" s="836"/>
      <c r="B221" s="1080"/>
      <c r="C221" s="1038"/>
      <c r="D221" s="1114"/>
      <c r="E221" s="1115"/>
      <c r="F221" s="1069"/>
      <c r="G221" s="1060"/>
      <c r="H221" s="1060"/>
      <c r="I221" s="1060"/>
      <c r="J221" s="1060"/>
      <c r="K221" s="1060"/>
      <c r="L221" s="1069"/>
      <c r="M221" s="1060"/>
      <c r="N221" s="1060"/>
      <c r="O221" s="843"/>
      <c r="P221" s="842"/>
      <c r="Q221" s="844"/>
      <c r="R221" s="1076">
        <f t="shared" si="8"/>
        <v>0</v>
      </c>
      <c r="S221" s="825"/>
      <c r="T221" s="1062">
        <f t="shared" si="9"/>
        <v>0</v>
      </c>
      <c r="U221" s="960"/>
      <c r="V221" s="824"/>
    </row>
    <row r="222" spans="1:22" s="826" customFormat="1" ht="22.8">
      <c r="A222" s="836"/>
      <c r="B222" s="1080"/>
      <c r="C222" s="1038"/>
      <c r="D222" s="1114"/>
      <c r="E222" s="1115"/>
      <c r="F222" s="1069"/>
      <c r="G222" s="1060"/>
      <c r="H222" s="1060"/>
      <c r="I222" s="1060"/>
      <c r="J222" s="1060"/>
      <c r="K222" s="1060"/>
      <c r="L222" s="1069"/>
      <c r="M222" s="1060"/>
      <c r="N222" s="1060"/>
      <c r="O222" s="843"/>
      <c r="P222" s="842"/>
      <c r="Q222" s="844"/>
      <c r="R222" s="1076">
        <f t="shared" si="8"/>
        <v>0</v>
      </c>
      <c r="S222" s="825"/>
      <c r="T222" s="1062">
        <f t="shared" si="9"/>
        <v>0</v>
      </c>
      <c r="U222" s="960"/>
      <c r="V222" s="824"/>
    </row>
    <row r="223" spans="1:22" s="826" customFormat="1" ht="22.8">
      <c r="A223" s="836"/>
      <c r="B223" s="1080"/>
      <c r="C223" s="1038"/>
      <c r="D223" s="1114"/>
      <c r="E223" s="1115"/>
      <c r="F223" s="1069"/>
      <c r="G223" s="1060"/>
      <c r="H223" s="1060"/>
      <c r="I223" s="1060"/>
      <c r="J223" s="1060"/>
      <c r="K223" s="1060"/>
      <c r="L223" s="1069"/>
      <c r="M223" s="1060"/>
      <c r="N223" s="1060"/>
      <c r="O223" s="843"/>
      <c r="P223" s="842"/>
      <c r="Q223" s="844"/>
      <c r="R223" s="1076">
        <f t="shared" si="8"/>
        <v>0</v>
      </c>
      <c r="S223" s="825"/>
      <c r="T223" s="1062">
        <f t="shared" si="9"/>
        <v>0</v>
      </c>
      <c r="U223" s="960"/>
      <c r="V223" s="824"/>
    </row>
    <row r="224" spans="1:22" s="826" customFormat="1" ht="22.8">
      <c r="A224" s="836"/>
      <c r="B224" s="1080"/>
      <c r="C224" s="1038"/>
      <c r="D224" s="1114"/>
      <c r="E224" s="1115"/>
      <c r="F224" s="1069"/>
      <c r="G224" s="1060"/>
      <c r="H224" s="1060"/>
      <c r="I224" s="1060"/>
      <c r="J224" s="1060"/>
      <c r="K224" s="1060"/>
      <c r="L224" s="1069"/>
      <c r="M224" s="1060"/>
      <c r="N224" s="1060"/>
      <c r="O224" s="843"/>
      <c r="P224" s="842"/>
      <c r="Q224" s="844"/>
      <c r="R224" s="1076">
        <f t="shared" si="8"/>
        <v>0</v>
      </c>
      <c r="S224" s="825"/>
      <c r="T224" s="1062">
        <f t="shared" si="9"/>
        <v>0</v>
      </c>
      <c r="U224" s="960"/>
      <c r="V224" s="824"/>
    </row>
    <row r="225" spans="1:22" s="826" customFormat="1" ht="22.8">
      <c r="A225" s="836"/>
      <c r="B225" s="1080"/>
      <c r="C225" s="1038"/>
      <c r="D225" s="1114"/>
      <c r="E225" s="1115"/>
      <c r="F225" s="1069"/>
      <c r="G225" s="1060"/>
      <c r="H225" s="1060"/>
      <c r="I225" s="1060"/>
      <c r="J225" s="1060"/>
      <c r="K225" s="1060"/>
      <c r="L225" s="1069"/>
      <c r="M225" s="1060"/>
      <c r="N225" s="1060"/>
      <c r="O225" s="843"/>
      <c r="P225" s="842"/>
      <c r="Q225" s="844"/>
      <c r="R225" s="1076">
        <f t="shared" si="8"/>
        <v>0</v>
      </c>
      <c r="S225" s="825"/>
      <c r="T225" s="1062">
        <f t="shared" si="9"/>
        <v>0</v>
      </c>
      <c r="U225" s="960"/>
      <c r="V225" s="824"/>
    </row>
    <row r="226" spans="1:22" s="826" customFormat="1" ht="22.8">
      <c r="A226" s="836"/>
      <c r="B226" s="1080"/>
      <c r="C226" s="1038"/>
      <c r="D226" s="1114"/>
      <c r="E226" s="1115"/>
      <c r="F226" s="1069"/>
      <c r="G226" s="1060"/>
      <c r="H226" s="1060"/>
      <c r="I226" s="1060"/>
      <c r="J226" s="1060"/>
      <c r="K226" s="1060"/>
      <c r="L226" s="1069"/>
      <c r="M226" s="1060"/>
      <c r="N226" s="1060"/>
      <c r="O226" s="843"/>
      <c r="P226" s="842"/>
      <c r="Q226" s="844"/>
      <c r="R226" s="1076">
        <f t="shared" si="8"/>
        <v>0</v>
      </c>
      <c r="S226" s="825"/>
      <c r="T226" s="1062">
        <f t="shared" si="9"/>
        <v>0</v>
      </c>
      <c r="U226" s="960"/>
      <c r="V226" s="824"/>
    </row>
    <row r="227" spans="1:22" s="826" customFormat="1" ht="22.8">
      <c r="A227" s="836"/>
      <c r="B227" s="1040"/>
      <c r="C227" s="1038"/>
      <c r="D227" s="1114"/>
      <c r="E227" s="1115"/>
      <c r="F227" s="1069"/>
      <c r="G227" s="1060"/>
      <c r="H227" s="1060"/>
      <c r="I227" s="1060"/>
      <c r="J227" s="1060"/>
      <c r="K227" s="1060"/>
      <c r="L227" s="1069"/>
      <c r="M227" s="1060"/>
      <c r="N227" s="1060"/>
      <c r="O227" s="843"/>
      <c r="P227" s="842"/>
      <c r="Q227" s="844"/>
      <c r="R227" s="1076">
        <f t="shared" si="8"/>
        <v>0</v>
      </c>
      <c r="S227" s="825"/>
      <c r="T227" s="1062">
        <f t="shared" si="9"/>
        <v>0</v>
      </c>
      <c r="U227" s="960"/>
      <c r="V227" s="824"/>
    </row>
    <row r="228" spans="1:22" s="826" customFormat="1" ht="22.8">
      <c r="A228" s="836"/>
      <c r="B228" s="1040"/>
      <c r="C228" s="1038"/>
      <c r="D228" s="1114"/>
      <c r="E228" s="1115"/>
      <c r="F228" s="1069"/>
      <c r="G228" s="1060"/>
      <c r="H228" s="1060"/>
      <c r="I228" s="1060"/>
      <c r="J228" s="1060"/>
      <c r="K228" s="1060"/>
      <c r="L228" s="1069"/>
      <c r="M228" s="1060"/>
      <c r="N228" s="1060"/>
      <c r="O228" s="843"/>
      <c r="P228" s="842"/>
      <c r="Q228" s="844"/>
      <c r="R228" s="1076">
        <f t="shared" si="8"/>
        <v>0</v>
      </c>
      <c r="S228" s="825"/>
      <c r="T228" s="1062">
        <f t="shared" si="9"/>
        <v>0</v>
      </c>
      <c r="U228" s="960"/>
      <c r="V228" s="824"/>
    </row>
    <row r="229" spans="1:22" s="826" customFormat="1" ht="22.8" thickBot="1">
      <c r="A229" s="836"/>
      <c r="B229" s="1040"/>
      <c r="C229" s="1038"/>
      <c r="D229" s="1038"/>
      <c r="E229" s="1089"/>
      <c r="F229" s="1090"/>
      <c r="G229" s="1091"/>
      <c r="H229" s="1091"/>
      <c r="I229" s="1091"/>
      <c r="J229" s="1091"/>
      <c r="K229" s="1091"/>
      <c r="L229" s="1091"/>
      <c r="M229" s="1091"/>
      <c r="N229" s="1091"/>
      <c r="O229" s="843"/>
      <c r="P229" s="842"/>
      <c r="Q229" s="844"/>
      <c r="R229" s="1076">
        <f t="shared" si="8"/>
        <v>0</v>
      </c>
      <c r="S229" s="825"/>
      <c r="T229" s="1084">
        <f>R229*S229</f>
        <v>0</v>
      </c>
      <c r="U229" s="842"/>
      <c r="V229" s="824"/>
    </row>
    <row r="230" spans="1:22" s="826" customFormat="1" ht="24" customHeight="1" thickTop="1" thickBot="1">
      <c r="A230" s="850"/>
      <c r="B230" s="1255" t="s">
        <v>608</v>
      </c>
      <c r="C230" s="1256"/>
      <c r="D230" s="955"/>
      <c r="E230" s="1092"/>
      <c r="F230" s="1093"/>
      <c r="G230" s="1093">
        <f>SUM(G5:G229)</f>
        <v>0</v>
      </c>
      <c r="H230" s="1093">
        <f>SUM(H5:H229)</f>
        <v>0.01</v>
      </c>
      <c r="I230" s="1093">
        <v>0.04</v>
      </c>
      <c r="J230" s="1093" t="s">
        <v>927</v>
      </c>
      <c r="K230" s="1093">
        <f>SUM(K5:K229)</f>
        <v>0</v>
      </c>
      <c r="L230" s="1093" t="s">
        <v>927</v>
      </c>
      <c r="M230" s="1093" t="s">
        <v>927</v>
      </c>
      <c r="N230" s="1094">
        <f>SUM(N5:N229)</f>
        <v>0</v>
      </c>
      <c r="O230" s="1095">
        <f>SUM(O5:O229)</f>
        <v>0</v>
      </c>
      <c r="P230" s="1094">
        <f>SUM(P5:P229)</f>
        <v>0</v>
      </c>
      <c r="Q230" s="1094">
        <f>SUM(Q5:Q229)</f>
        <v>1.82</v>
      </c>
      <c r="R230" s="1096">
        <f>SUM(R5:R229)</f>
        <v>3.6069999999999998</v>
      </c>
      <c r="S230" s="1097">
        <f>AVERAGE(S5:S229)</f>
        <v>0.29000000000000004</v>
      </c>
      <c r="T230" s="1095">
        <f>SUM(T5:T229)</f>
        <v>1.1513</v>
      </c>
      <c r="U230" s="1098">
        <f>SUM(U5:U229)</f>
        <v>50.250000000000007</v>
      </c>
      <c r="V230" s="1099"/>
    </row>
    <row r="231" spans="1:22" s="826" customFormat="1" ht="24" customHeight="1" thickBot="1">
      <c r="A231" s="980"/>
      <c r="B231" s="956"/>
      <c r="S231" s="1100"/>
      <c r="U231" s="980"/>
    </row>
    <row r="232" spans="1:22" s="826" customFormat="1" ht="24" customHeight="1">
      <c r="A232" s="980"/>
      <c r="B232" s="956"/>
      <c r="C232" s="956"/>
      <c r="D232" s="956"/>
      <c r="E232" s="956"/>
      <c r="F232" s="956"/>
      <c r="G232" s="956"/>
      <c r="Q232" s="1101"/>
      <c r="R232" s="1102" t="s">
        <v>637</v>
      </c>
      <c r="S232" s="1103">
        <v>25</v>
      </c>
      <c r="U232" s="980"/>
    </row>
    <row r="233" spans="1:22" s="826" customFormat="1" ht="24" customHeight="1">
      <c r="A233" s="980"/>
      <c r="B233" s="956"/>
      <c r="Q233" s="1101"/>
      <c r="R233" s="1104" t="s">
        <v>638</v>
      </c>
      <c r="S233" s="1105">
        <f>T230</f>
        <v>1.1513</v>
      </c>
      <c r="U233" s="980"/>
    </row>
    <row r="234" spans="1:22" s="826" customFormat="1" ht="24" customHeight="1">
      <c r="A234" s="980"/>
      <c r="B234" s="956"/>
      <c r="Q234" s="1101"/>
      <c r="R234" s="1104" t="s">
        <v>639</v>
      </c>
      <c r="S234" s="1106">
        <v>0.01</v>
      </c>
      <c r="U234" s="980"/>
    </row>
    <row r="235" spans="1:22" s="826" customFormat="1" ht="24" customHeight="1" thickBot="1">
      <c r="A235" s="980"/>
      <c r="B235" s="1107"/>
      <c r="Q235" s="1108"/>
      <c r="R235" s="1109" t="s">
        <v>640</v>
      </c>
      <c r="S235" s="1110">
        <f>S234/S232</f>
        <v>4.0000000000000002E-4</v>
      </c>
      <c r="U235" s="980"/>
    </row>
    <row r="236" spans="1:22" s="826" customFormat="1" ht="24" customHeight="1">
      <c r="A236" s="980"/>
      <c r="B236" s="956"/>
      <c r="S236" s="1100"/>
      <c r="U236" s="980"/>
    </row>
    <row r="237" spans="1:22" s="826" customFormat="1" ht="24" customHeight="1">
      <c r="A237" s="980"/>
      <c r="B237" s="956"/>
      <c r="C237" s="1111"/>
      <c r="S237" s="1100"/>
      <c r="U237" s="980"/>
    </row>
    <row r="238" spans="1:22" s="826" customFormat="1" ht="24" customHeight="1">
      <c r="A238" s="980"/>
      <c r="B238" s="956"/>
      <c r="C238" s="1111"/>
      <c r="S238" s="1100"/>
      <c r="U238" s="980"/>
    </row>
    <row r="239" spans="1:22" s="826" customFormat="1" ht="24" customHeight="1">
      <c r="A239" s="980"/>
      <c r="B239" s="956"/>
      <c r="C239" s="1111"/>
      <c r="S239" s="1100"/>
      <c r="U239" s="980"/>
    </row>
    <row r="240" spans="1:22" s="826" customFormat="1" ht="24" customHeight="1">
      <c r="A240" s="980"/>
      <c r="B240" s="956"/>
      <c r="C240" s="1111"/>
      <c r="S240" s="1100"/>
      <c r="U240" s="980"/>
    </row>
    <row r="241" spans="1:21" s="826" customFormat="1">
      <c r="A241" s="980"/>
      <c r="B241" s="956"/>
      <c r="S241" s="1100"/>
      <c r="U241" s="980"/>
    </row>
    <row r="242" spans="1:21" s="826" customFormat="1">
      <c r="A242" s="980"/>
      <c r="B242" s="956"/>
      <c r="S242" s="1100"/>
      <c r="U242" s="980"/>
    </row>
    <row r="243" spans="1:21" s="826" customFormat="1">
      <c r="A243" s="980"/>
      <c r="B243" s="956"/>
      <c r="S243" s="1100"/>
      <c r="U243" s="980"/>
    </row>
    <row r="244" spans="1:21" s="826" customFormat="1">
      <c r="A244" s="980"/>
      <c r="B244" s="956"/>
      <c r="S244" s="1100"/>
      <c r="U244" s="980"/>
    </row>
    <row r="245" spans="1:21" s="826" customFormat="1">
      <c r="A245" s="980"/>
      <c r="B245" s="956"/>
      <c r="S245" s="1100"/>
      <c r="U245" s="980"/>
    </row>
    <row r="246" spans="1:21" s="826" customFormat="1">
      <c r="A246" s="980"/>
      <c r="B246" s="956"/>
      <c r="S246" s="1100"/>
      <c r="U246" s="980"/>
    </row>
    <row r="247" spans="1:21" s="826" customFormat="1">
      <c r="A247" s="980"/>
      <c r="B247" s="956"/>
      <c r="S247" s="1100"/>
      <c r="U247" s="980"/>
    </row>
    <row r="248" spans="1:21" s="826" customFormat="1">
      <c r="A248" s="980"/>
      <c r="B248" s="956"/>
      <c r="S248" s="1100"/>
      <c r="U248" s="980"/>
    </row>
    <row r="249" spans="1:21" s="826" customFormat="1">
      <c r="A249" s="980"/>
      <c r="B249" s="956"/>
      <c r="S249" s="1100"/>
      <c r="U249" s="980"/>
    </row>
    <row r="250" spans="1:21" s="826" customFormat="1">
      <c r="A250" s="980"/>
      <c r="B250" s="956"/>
      <c r="S250" s="1100"/>
      <c r="U250" s="980"/>
    </row>
    <row r="251" spans="1:21" s="826" customFormat="1">
      <c r="A251" s="980"/>
      <c r="B251" s="956"/>
      <c r="S251" s="1100"/>
      <c r="U251" s="980"/>
    </row>
    <row r="252" spans="1:21" s="826" customFormat="1">
      <c r="A252" s="980"/>
      <c r="B252" s="956"/>
      <c r="S252" s="1100"/>
      <c r="U252" s="980"/>
    </row>
    <row r="253" spans="1:21" s="826" customFormat="1">
      <c r="A253" s="980"/>
      <c r="B253" s="956"/>
      <c r="S253" s="1100"/>
      <c r="U253" s="980"/>
    </row>
    <row r="254" spans="1:21" s="826" customFormat="1">
      <c r="A254" s="980"/>
      <c r="B254" s="956"/>
      <c r="S254" s="1100"/>
      <c r="U254" s="980"/>
    </row>
    <row r="255" spans="1:21" s="826" customFormat="1">
      <c r="A255" s="980"/>
      <c r="B255" s="956"/>
      <c r="S255" s="1100"/>
      <c r="U255" s="980"/>
    </row>
    <row r="256" spans="1:21" s="826" customFormat="1">
      <c r="A256" s="980"/>
      <c r="B256" s="956"/>
      <c r="S256" s="1100"/>
      <c r="U256" s="980"/>
    </row>
    <row r="257" spans="1:21" s="826" customFormat="1">
      <c r="A257" s="980"/>
      <c r="B257" s="956"/>
      <c r="S257" s="1100"/>
      <c r="U257" s="980"/>
    </row>
    <row r="258" spans="1:21" s="826" customFormat="1">
      <c r="A258" s="980"/>
      <c r="B258" s="956"/>
      <c r="S258" s="1100"/>
      <c r="U258" s="980"/>
    </row>
    <row r="259" spans="1:21" s="826" customFormat="1">
      <c r="A259" s="980"/>
      <c r="B259" s="956"/>
      <c r="S259" s="1100"/>
      <c r="U259" s="980"/>
    </row>
    <row r="260" spans="1:21" s="826" customFormat="1">
      <c r="A260" s="980"/>
      <c r="B260" s="956"/>
      <c r="S260" s="1100"/>
      <c r="U260" s="980"/>
    </row>
    <row r="261" spans="1:21" s="826" customFormat="1">
      <c r="A261" s="980"/>
      <c r="B261" s="956"/>
      <c r="S261" s="1100"/>
      <c r="U261" s="980"/>
    </row>
    <row r="262" spans="1:21" s="826" customFormat="1">
      <c r="A262" s="980"/>
      <c r="B262" s="956"/>
      <c r="S262" s="1100"/>
      <c r="U262" s="980"/>
    </row>
    <row r="263" spans="1:21" s="826" customFormat="1">
      <c r="A263" s="980"/>
      <c r="B263" s="956"/>
      <c r="S263" s="1100"/>
      <c r="U263" s="980"/>
    </row>
    <row r="264" spans="1:21" s="826" customFormat="1">
      <c r="A264" s="980"/>
      <c r="B264" s="956"/>
      <c r="S264" s="1100"/>
      <c r="U264" s="980"/>
    </row>
    <row r="265" spans="1:21" s="826" customFormat="1">
      <c r="A265" s="980"/>
      <c r="B265" s="956"/>
      <c r="S265" s="1100"/>
      <c r="U265" s="980"/>
    </row>
    <row r="266" spans="1:21" s="826" customFormat="1">
      <c r="A266" s="980"/>
      <c r="B266" s="956"/>
      <c r="S266" s="1100"/>
      <c r="U266" s="980"/>
    </row>
    <row r="267" spans="1:21" s="826" customFormat="1">
      <c r="A267" s="980"/>
      <c r="B267" s="956"/>
      <c r="S267" s="1100"/>
      <c r="U267" s="980"/>
    </row>
    <row r="268" spans="1:21">
      <c r="D268" s="835"/>
    </row>
    <row r="269" spans="1:21">
      <c r="D269" s="835"/>
    </row>
    <row r="270" spans="1:21">
      <c r="D270" s="835"/>
    </row>
    <row r="271" spans="1:21">
      <c r="D271" s="835"/>
    </row>
    <row r="272" spans="1:21">
      <c r="D272" s="835"/>
    </row>
    <row r="273" spans="4:4">
      <c r="D273" s="835"/>
    </row>
    <row r="274" spans="4:4">
      <c r="D274" s="835"/>
    </row>
    <row r="275" spans="4:4">
      <c r="D275" s="835"/>
    </row>
    <row r="276" spans="4:4">
      <c r="D276" s="835"/>
    </row>
    <row r="277" spans="4:4">
      <c r="D277" s="835"/>
    </row>
    <row r="278" spans="4:4">
      <c r="D278" s="835"/>
    </row>
    <row r="279" spans="4:4">
      <c r="D279" s="835"/>
    </row>
    <row r="280" spans="4:4">
      <c r="D280" s="835"/>
    </row>
    <row r="281" spans="4:4">
      <c r="D281" s="835"/>
    </row>
    <row r="282" spans="4:4">
      <c r="D282" s="835"/>
    </row>
    <row r="283" spans="4:4">
      <c r="D283" s="835"/>
    </row>
  </sheetData>
  <mergeCells count="10">
    <mergeCell ref="F3:T3"/>
    <mergeCell ref="U3:U4"/>
    <mergeCell ref="V3:V4"/>
    <mergeCell ref="B230:C230"/>
    <mergeCell ref="A1:C1"/>
    <mergeCell ref="A3:A4"/>
    <mergeCell ref="B3:B4"/>
    <mergeCell ref="C3:C4"/>
    <mergeCell ref="D3:D4"/>
    <mergeCell ref="E3:E4"/>
  </mergeCells>
  <phoneticPr fontId="105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57CE1-E009-4926-917F-2CE4597D36A7}">
  <dimension ref="A1:N41"/>
  <sheetViews>
    <sheetView workbookViewId="0">
      <selection activeCell="B10" sqref="B10"/>
    </sheetView>
  </sheetViews>
  <sheetFormatPr defaultColWidth="9.88671875" defaultRowHeight="13.8"/>
  <cols>
    <col min="1" max="1" width="9.88671875" style="994"/>
    <col min="2" max="2" width="34.33203125" style="991" customWidth="1"/>
    <col min="3" max="3" width="33.5546875" style="1020" customWidth="1"/>
    <col min="4" max="7" width="11.5546875" style="994" customWidth="1"/>
    <col min="8" max="8" width="11.5546875" style="1021" customWidth="1"/>
    <col min="9" max="11" width="11.5546875" style="994" customWidth="1"/>
    <col min="12" max="12" width="12" style="1022" customWidth="1"/>
    <col min="13" max="13" width="36.6640625" style="991" customWidth="1"/>
    <col min="14" max="14" width="33.6640625" style="991" customWidth="1"/>
    <col min="15" max="259" width="9.88671875" style="991"/>
    <col min="260" max="260" width="34.33203125" style="991" customWidth="1"/>
    <col min="261" max="261" width="33.5546875" style="991" customWidth="1"/>
    <col min="262" max="267" width="11.5546875" style="991" customWidth="1"/>
    <col min="268" max="268" width="12" style="991" customWidth="1"/>
    <col min="269" max="269" width="36.6640625" style="991" customWidth="1"/>
    <col min="270" max="270" width="33.6640625" style="991" customWidth="1"/>
    <col min="271" max="515" width="9.88671875" style="991"/>
    <col min="516" max="516" width="34.33203125" style="991" customWidth="1"/>
    <col min="517" max="517" width="33.5546875" style="991" customWidth="1"/>
    <col min="518" max="523" width="11.5546875" style="991" customWidth="1"/>
    <col min="524" max="524" width="12" style="991" customWidth="1"/>
    <col min="525" max="525" width="36.6640625" style="991" customWidth="1"/>
    <col min="526" max="526" width="33.6640625" style="991" customWidth="1"/>
    <col min="527" max="771" width="9.88671875" style="991"/>
    <col min="772" max="772" width="34.33203125" style="991" customWidth="1"/>
    <col min="773" max="773" width="33.5546875" style="991" customWidth="1"/>
    <col min="774" max="779" width="11.5546875" style="991" customWidth="1"/>
    <col min="780" max="780" width="12" style="991" customWidth="1"/>
    <col min="781" max="781" width="36.6640625" style="991" customWidth="1"/>
    <col min="782" max="782" width="33.6640625" style="991" customWidth="1"/>
    <col min="783" max="1027" width="9.88671875" style="991"/>
    <col min="1028" max="1028" width="34.33203125" style="991" customWidth="1"/>
    <col min="1029" max="1029" width="33.5546875" style="991" customWidth="1"/>
    <col min="1030" max="1035" width="11.5546875" style="991" customWidth="1"/>
    <col min="1036" max="1036" width="12" style="991" customWidth="1"/>
    <col min="1037" max="1037" width="36.6640625" style="991" customWidth="1"/>
    <col min="1038" max="1038" width="33.6640625" style="991" customWidth="1"/>
    <col min="1039" max="1283" width="9.88671875" style="991"/>
    <col min="1284" max="1284" width="34.33203125" style="991" customWidth="1"/>
    <col min="1285" max="1285" width="33.5546875" style="991" customWidth="1"/>
    <col min="1286" max="1291" width="11.5546875" style="991" customWidth="1"/>
    <col min="1292" max="1292" width="12" style="991" customWidth="1"/>
    <col min="1293" max="1293" width="36.6640625" style="991" customWidth="1"/>
    <col min="1294" max="1294" width="33.6640625" style="991" customWidth="1"/>
    <col min="1295" max="1539" width="9.88671875" style="991"/>
    <col min="1540" max="1540" width="34.33203125" style="991" customWidth="1"/>
    <col min="1541" max="1541" width="33.5546875" style="991" customWidth="1"/>
    <col min="1542" max="1547" width="11.5546875" style="991" customWidth="1"/>
    <col min="1548" max="1548" width="12" style="991" customWidth="1"/>
    <col min="1549" max="1549" width="36.6640625" style="991" customWidth="1"/>
    <col min="1550" max="1550" width="33.6640625" style="991" customWidth="1"/>
    <col min="1551" max="1795" width="9.88671875" style="991"/>
    <col min="1796" max="1796" width="34.33203125" style="991" customWidth="1"/>
    <col min="1797" max="1797" width="33.5546875" style="991" customWidth="1"/>
    <col min="1798" max="1803" width="11.5546875" style="991" customWidth="1"/>
    <col min="1804" max="1804" width="12" style="991" customWidth="1"/>
    <col min="1805" max="1805" width="36.6640625" style="991" customWidth="1"/>
    <col min="1806" max="1806" width="33.6640625" style="991" customWidth="1"/>
    <col min="1807" max="2051" width="9.88671875" style="991"/>
    <col min="2052" max="2052" width="34.33203125" style="991" customWidth="1"/>
    <col min="2053" max="2053" width="33.5546875" style="991" customWidth="1"/>
    <col min="2054" max="2059" width="11.5546875" style="991" customWidth="1"/>
    <col min="2060" max="2060" width="12" style="991" customWidth="1"/>
    <col min="2061" max="2061" width="36.6640625" style="991" customWidth="1"/>
    <col min="2062" max="2062" width="33.6640625" style="991" customWidth="1"/>
    <col min="2063" max="2307" width="9.88671875" style="991"/>
    <col min="2308" max="2308" width="34.33203125" style="991" customWidth="1"/>
    <col min="2309" max="2309" width="33.5546875" style="991" customWidth="1"/>
    <col min="2310" max="2315" width="11.5546875" style="991" customWidth="1"/>
    <col min="2316" max="2316" width="12" style="991" customWidth="1"/>
    <col min="2317" max="2317" width="36.6640625" style="991" customWidth="1"/>
    <col min="2318" max="2318" width="33.6640625" style="991" customWidth="1"/>
    <col min="2319" max="2563" width="9.88671875" style="991"/>
    <col min="2564" max="2564" width="34.33203125" style="991" customWidth="1"/>
    <col min="2565" max="2565" width="33.5546875" style="991" customWidth="1"/>
    <col min="2566" max="2571" width="11.5546875" style="991" customWidth="1"/>
    <col min="2572" max="2572" width="12" style="991" customWidth="1"/>
    <col min="2573" max="2573" width="36.6640625" style="991" customWidth="1"/>
    <col min="2574" max="2574" width="33.6640625" style="991" customWidth="1"/>
    <col min="2575" max="2819" width="9.88671875" style="991"/>
    <col min="2820" max="2820" width="34.33203125" style="991" customWidth="1"/>
    <col min="2821" max="2821" width="33.5546875" style="991" customWidth="1"/>
    <col min="2822" max="2827" width="11.5546875" style="991" customWidth="1"/>
    <col min="2828" max="2828" width="12" style="991" customWidth="1"/>
    <col min="2829" max="2829" width="36.6640625" style="991" customWidth="1"/>
    <col min="2830" max="2830" width="33.6640625" style="991" customWidth="1"/>
    <col min="2831" max="3075" width="9.88671875" style="991"/>
    <col min="3076" max="3076" width="34.33203125" style="991" customWidth="1"/>
    <col min="3077" max="3077" width="33.5546875" style="991" customWidth="1"/>
    <col min="3078" max="3083" width="11.5546875" style="991" customWidth="1"/>
    <col min="3084" max="3084" width="12" style="991" customWidth="1"/>
    <col min="3085" max="3085" width="36.6640625" style="991" customWidth="1"/>
    <col min="3086" max="3086" width="33.6640625" style="991" customWidth="1"/>
    <col min="3087" max="3331" width="9.88671875" style="991"/>
    <col min="3332" max="3332" width="34.33203125" style="991" customWidth="1"/>
    <col min="3333" max="3333" width="33.5546875" style="991" customWidth="1"/>
    <col min="3334" max="3339" width="11.5546875" style="991" customWidth="1"/>
    <col min="3340" max="3340" width="12" style="991" customWidth="1"/>
    <col min="3341" max="3341" width="36.6640625" style="991" customWidth="1"/>
    <col min="3342" max="3342" width="33.6640625" style="991" customWidth="1"/>
    <col min="3343" max="3587" width="9.88671875" style="991"/>
    <col min="3588" max="3588" width="34.33203125" style="991" customWidth="1"/>
    <col min="3589" max="3589" width="33.5546875" style="991" customWidth="1"/>
    <col min="3590" max="3595" width="11.5546875" style="991" customWidth="1"/>
    <col min="3596" max="3596" width="12" style="991" customWidth="1"/>
    <col min="3597" max="3597" width="36.6640625" style="991" customWidth="1"/>
    <col min="3598" max="3598" width="33.6640625" style="991" customWidth="1"/>
    <col min="3599" max="3843" width="9.88671875" style="991"/>
    <col min="3844" max="3844" width="34.33203125" style="991" customWidth="1"/>
    <col min="3845" max="3845" width="33.5546875" style="991" customWidth="1"/>
    <col min="3846" max="3851" width="11.5546875" style="991" customWidth="1"/>
    <col min="3852" max="3852" width="12" style="991" customWidth="1"/>
    <col min="3853" max="3853" width="36.6640625" style="991" customWidth="1"/>
    <col min="3854" max="3854" width="33.6640625" style="991" customWidth="1"/>
    <col min="3855" max="4099" width="9.88671875" style="991"/>
    <col min="4100" max="4100" width="34.33203125" style="991" customWidth="1"/>
    <col min="4101" max="4101" width="33.5546875" style="991" customWidth="1"/>
    <col min="4102" max="4107" width="11.5546875" style="991" customWidth="1"/>
    <col min="4108" max="4108" width="12" style="991" customWidth="1"/>
    <col min="4109" max="4109" width="36.6640625" style="991" customWidth="1"/>
    <col min="4110" max="4110" width="33.6640625" style="991" customWidth="1"/>
    <col min="4111" max="4355" width="9.88671875" style="991"/>
    <col min="4356" max="4356" width="34.33203125" style="991" customWidth="1"/>
    <col min="4357" max="4357" width="33.5546875" style="991" customWidth="1"/>
    <col min="4358" max="4363" width="11.5546875" style="991" customWidth="1"/>
    <col min="4364" max="4364" width="12" style="991" customWidth="1"/>
    <col min="4365" max="4365" width="36.6640625" style="991" customWidth="1"/>
    <col min="4366" max="4366" width="33.6640625" style="991" customWidth="1"/>
    <col min="4367" max="4611" width="9.88671875" style="991"/>
    <col min="4612" max="4612" width="34.33203125" style="991" customWidth="1"/>
    <col min="4613" max="4613" width="33.5546875" style="991" customWidth="1"/>
    <col min="4614" max="4619" width="11.5546875" style="991" customWidth="1"/>
    <col min="4620" max="4620" width="12" style="991" customWidth="1"/>
    <col min="4621" max="4621" width="36.6640625" style="991" customWidth="1"/>
    <col min="4622" max="4622" width="33.6640625" style="991" customWidth="1"/>
    <col min="4623" max="4867" width="9.88671875" style="991"/>
    <col min="4868" max="4868" width="34.33203125" style="991" customWidth="1"/>
    <col min="4869" max="4869" width="33.5546875" style="991" customWidth="1"/>
    <col min="4870" max="4875" width="11.5546875" style="991" customWidth="1"/>
    <col min="4876" max="4876" width="12" style="991" customWidth="1"/>
    <col min="4877" max="4877" width="36.6640625" style="991" customWidth="1"/>
    <col min="4878" max="4878" width="33.6640625" style="991" customWidth="1"/>
    <col min="4879" max="5123" width="9.88671875" style="991"/>
    <col min="5124" max="5124" width="34.33203125" style="991" customWidth="1"/>
    <col min="5125" max="5125" width="33.5546875" style="991" customWidth="1"/>
    <col min="5126" max="5131" width="11.5546875" style="991" customWidth="1"/>
    <col min="5132" max="5132" width="12" style="991" customWidth="1"/>
    <col min="5133" max="5133" width="36.6640625" style="991" customWidth="1"/>
    <col min="5134" max="5134" width="33.6640625" style="991" customWidth="1"/>
    <col min="5135" max="5379" width="9.88671875" style="991"/>
    <col min="5380" max="5380" width="34.33203125" style="991" customWidth="1"/>
    <col min="5381" max="5381" width="33.5546875" style="991" customWidth="1"/>
    <col min="5382" max="5387" width="11.5546875" style="991" customWidth="1"/>
    <col min="5388" max="5388" width="12" style="991" customWidth="1"/>
    <col min="5389" max="5389" width="36.6640625" style="991" customWidth="1"/>
    <col min="5390" max="5390" width="33.6640625" style="991" customWidth="1"/>
    <col min="5391" max="5635" width="9.88671875" style="991"/>
    <col min="5636" max="5636" width="34.33203125" style="991" customWidth="1"/>
    <col min="5637" max="5637" width="33.5546875" style="991" customWidth="1"/>
    <col min="5638" max="5643" width="11.5546875" style="991" customWidth="1"/>
    <col min="5644" max="5644" width="12" style="991" customWidth="1"/>
    <col min="5645" max="5645" width="36.6640625" style="991" customWidth="1"/>
    <col min="5646" max="5646" width="33.6640625" style="991" customWidth="1"/>
    <col min="5647" max="5891" width="9.88671875" style="991"/>
    <col min="5892" max="5892" width="34.33203125" style="991" customWidth="1"/>
    <col min="5893" max="5893" width="33.5546875" style="991" customWidth="1"/>
    <col min="5894" max="5899" width="11.5546875" style="991" customWidth="1"/>
    <col min="5900" max="5900" width="12" style="991" customWidth="1"/>
    <col min="5901" max="5901" width="36.6640625" style="991" customWidth="1"/>
    <col min="5902" max="5902" width="33.6640625" style="991" customWidth="1"/>
    <col min="5903" max="6147" width="9.88671875" style="991"/>
    <col min="6148" max="6148" width="34.33203125" style="991" customWidth="1"/>
    <col min="6149" max="6149" width="33.5546875" style="991" customWidth="1"/>
    <col min="6150" max="6155" width="11.5546875" style="991" customWidth="1"/>
    <col min="6156" max="6156" width="12" style="991" customWidth="1"/>
    <col min="6157" max="6157" width="36.6640625" style="991" customWidth="1"/>
    <col min="6158" max="6158" width="33.6640625" style="991" customWidth="1"/>
    <col min="6159" max="6403" width="9.88671875" style="991"/>
    <col min="6404" max="6404" width="34.33203125" style="991" customWidth="1"/>
    <col min="6405" max="6405" width="33.5546875" style="991" customWidth="1"/>
    <col min="6406" max="6411" width="11.5546875" style="991" customWidth="1"/>
    <col min="6412" max="6412" width="12" style="991" customWidth="1"/>
    <col min="6413" max="6413" width="36.6640625" style="991" customWidth="1"/>
    <col min="6414" max="6414" width="33.6640625" style="991" customWidth="1"/>
    <col min="6415" max="6659" width="9.88671875" style="991"/>
    <col min="6660" max="6660" width="34.33203125" style="991" customWidth="1"/>
    <col min="6661" max="6661" width="33.5546875" style="991" customWidth="1"/>
    <col min="6662" max="6667" width="11.5546875" style="991" customWidth="1"/>
    <col min="6668" max="6668" width="12" style="991" customWidth="1"/>
    <col min="6669" max="6669" width="36.6640625" style="991" customWidth="1"/>
    <col min="6670" max="6670" width="33.6640625" style="991" customWidth="1"/>
    <col min="6671" max="6915" width="9.88671875" style="991"/>
    <col min="6916" max="6916" width="34.33203125" style="991" customWidth="1"/>
    <col min="6917" max="6917" width="33.5546875" style="991" customWidth="1"/>
    <col min="6918" max="6923" width="11.5546875" style="991" customWidth="1"/>
    <col min="6924" max="6924" width="12" style="991" customWidth="1"/>
    <col min="6925" max="6925" width="36.6640625" style="991" customWidth="1"/>
    <col min="6926" max="6926" width="33.6640625" style="991" customWidth="1"/>
    <col min="6927" max="7171" width="9.88671875" style="991"/>
    <col min="7172" max="7172" width="34.33203125" style="991" customWidth="1"/>
    <col min="7173" max="7173" width="33.5546875" style="991" customWidth="1"/>
    <col min="7174" max="7179" width="11.5546875" style="991" customWidth="1"/>
    <col min="7180" max="7180" width="12" style="991" customWidth="1"/>
    <col min="7181" max="7181" width="36.6640625" style="991" customWidth="1"/>
    <col min="7182" max="7182" width="33.6640625" style="991" customWidth="1"/>
    <col min="7183" max="7427" width="9.88671875" style="991"/>
    <col min="7428" max="7428" width="34.33203125" style="991" customWidth="1"/>
    <col min="7429" max="7429" width="33.5546875" style="991" customWidth="1"/>
    <col min="7430" max="7435" width="11.5546875" style="991" customWidth="1"/>
    <col min="7436" max="7436" width="12" style="991" customWidth="1"/>
    <col min="7437" max="7437" width="36.6640625" style="991" customWidth="1"/>
    <col min="7438" max="7438" width="33.6640625" style="991" customWidth="1"/>
    <col min="7439" max="7683" width="9.88671875" style="991"/>
    <col min="7684" max="7684" width="34.33203125" style="991" customWidth="1"/>
    <col min="7685" max="7685" width="33.5546875" style="991" customWidth="1"/>
    <col min="7686" max="7691" width="11.5546875" style="991" customWidth="1"/>
    <col min="7692" max="7692" width="12" style="991" customWidth="1"/>
    <col min="7693" max="7693" width="36.6640625" style="991" customWidth="1"/>
    <col min="7694" max="7694" width="33.6640625" style="991" customWidth="1"/>
    <col min="7695" max="7939" width="9.88671875" style="991"/>
    <col min="7940" max="7940" width="34.33203125" style="991" customWidth="1"/>
    <col min="7941" max="7941" width="33.5546875" style="991" customWidth="1"/>
    <col min="7942" max="7947" width="11.5546875" style="991" customWidth="1"/>
    <col min="7948" max="7948" width="12" style="991" customWidth="1"/>
    <col min="7949" max="7949" width="36.6640625" style="991" customWidth="1"/>
    <col min="7950" max="7950" width="33.6640625" style="991" customWidth="1"/>
    <col min="7951" max="8195" width="9.88671875" style="991"/>
    <col min="8196" max="8196" width="34.33203125" style="991" customWidth="1"/>
    <col min="8197" max="8197" width="33.5546875" style="991" customWidth="1"/>
    <col min="8198" max="8203" width="11.5546875" style="991" customWidth="1"/>
    <col min="8204" max="8204" width="12" style="991" customWidth="1"/>
    <col min="8205" max="8205" width="36.6640625" style="991" customWidth="1"/>
    <col min="8206" max="8206" width="33.6640625" style="991" customWidth="1"/>
    <col min="8207" max="8451" width="9.88671875" style="991"/>
    <col min="8452" max="8452" width="34.33203125" style="991" customWidth="1"/>
    <col min="8453" max="8453" width="33.5546875" style="991" customWidth="1"/>
    <col min="8454" max="8459" width="11.5546875" style="991" customWidth="1"/>
    <col min="8460" max="8460" width="12" style="991" customWidth="1"/>
    <col min="8461" max="8461" width="36.6640625" style="991" customWidth="1"/>
    <col min="8462" max="8462" width="33.6640625" style="991" customWidth="1"/>
    <col min="8463" max="8707" width="9.88671875" style="991"/>
    <col min="8708" max="8708" width="34.33203125" style="991" customWidth="1"/>
    <col min="8709" max="8709" width="33.5546875" style="991" customWidth="1"/>
    <col min="8710" max="8715" width="11.5546875" style="991" customWidth="1"/>
    <col min="8716" max="8716" width="12" style="991" customWidth="1"/>
    <col min="8717" max="8717" width="36.6640625" style="991" customWidth="1"/>
    <col min="8718" max="8718" width="33.6640625" style="991" customWidth="1"/>
    <col min="8719" max="8963" width="9.88671875" style="991"/>
    <col min="8964" max="8964" width="34.33203125" style="991" customWidth="1"/>
    <col min="8965" max="8965" width="33.5546875" style="991" customWidth="1"/>
    <col min="8966" max="8971" width="11.5546875" style="991" customWidth="1"/>
    <col min="8972" max="8972" width="12" style="991" customWidth="1"/>
    <col min="8973" max="8973" width="36.6640625" style="991" customWidth="1"/>
    <col min="8974" max="8974" width="33.6640625" style="991" customWidth="1"/>
    <col min="8975" max="9219" width="9.88671875" style="991"/>
    <col min="9220" max="9220" width="34.33203125" style="991" customWidth="1"/>
    <col min="9221" max="9221" width="33.5546875" style="991" customWidth="1"/>
    <col min="9222" max="9227" width="11.5546875" style="991" customWidth="1"/>
    <col min="9228" max="9228" width="12" style="991" customWidth="1"/>
    <col min="9229" max="9229" width="36.6640625" style="991" customWidth="1"/>
    <col min="9230" max="9230" width="33.6640625" style="991" customWidth="1"/>
    <col min="9231" max="9475" width="9.88671875" style="991"/>
    <col min="9476" max="9476" width="34.33203125" style="991" customWidth="1"/>
    <col min="9477" max="9477" width="33.5546875" style="991" customWidth="1"/>
    <col min="9478" max="9483" width="11.5546875" style="991" customWidth="1"/>
    <col min="9484" max="9484" width="12" style="991" customWidth="1"/>
    <col min="9485" max="9485" width="36.6640625" style="991" customWidth="1"/>
    <col min="9486" max="9486" width="33.6640625" style="991" customWidth="1"/>
    <col min="9487" max="9731" width="9.88671875" style="991"/>
    <col min="9732" max="9732" width="34.33203125" style="991" customWidth="1"/>
    <col min="9733" max="9733" width="33.5546875" style="991" customWidth="1"/>
    <col min="9734" max="9739" width="11.5546875" style="991" customWidth="1"/>
    <col min="9740" max="9740" width="12" style="991" customWidth="1"/>
    <col min="9741" max="9741" width="36.6640625" style="991" customWidth="1"/>
    <col min="9742" max="9742" width="33.6640625" style="991" customWidth="1"/>
    <col min="9743" max="9987" width="9.88671875" style="991"/>
    <col min="9988" max="9988" width="34.33203125" style="991" customWidth="1"/>
    <col min="9989" max="9989" width="33.5546875" style="991" customWidth="1"/>
    <col min="9990" max="9995" width="11.5546875" style="991" customWidth="1"/>
    <col min="9996" max="9996" width="12" style="991" customWidth="1"/>
    <col min="9997" max="9997" width="36.6640625" style="991" customWidth="1"/>
    <col min="9998" max="9998" width="33.6640625" style="991" customWidth="1"/>
    <col min="9999" max="10243" width="9.88671875" style="991"/>
    <col min="10244" max="10244" width="34.33203125" style="991" customWidth="1"/>
    <col min="10245" max="10245" width="33.5546875" style="991" customWidth="1"/>
    <col min="10246" max="10251" width="11.5546875" style="991" customWidth="1"/>
    <col min="10252" max="10252" width="12" style="991" customWidth="1"/>
    <col min="10253" max="10253" width="36.6640625" style="991" customWidth="1"/>
    <col min="10254" max="10254" width="33.6640625" style="991" customWidth="1"/>
    <col min="10255" max="10499" width="9.88671875" style="991"/>
    <col min="10500" max="10500" width="34.33203125" style="991" customWidth="1"/>
    <col min="10501" max="10501" width="33.5546875" style="991" customWidth="1"/>
    <col min="10502" max="10507" width="11.5546875" style="991" customWidth="1"/>
    <col min="10508" max="10508" width="12" style="991" customWidth="1"/>
    <col min="10509" max="10509" width="36.6640625" style="991" customWidth="1"/>
    <col min="10510" max="10510" width="33.6640625" style="991" customWidth="1"/>
    <col min="10511" max="10755" width="9.88671875" style="991"/>
    <col min="10756" max="10756" width="34.33203125" style="991" customWidth="1"/>
    <col min="10757" max="10757" width="33.5546875" style="991" customWidth="1"/>
    <col min="10758" max="10763" width="11.5546875" style="991" customWidth="1"/>
    <col min="10764" max="10764" width="12" style="991" customWidth="1"/>
    <col min="10765" max="10765" width="36.6640625" style="991" customWidth="1"/>
    <col min="10766" max="10766" width="33.6640625" style="991" customWidth="1"/>
    <col min="10767" max="11011" width="9.88671875" style="991"/>
    <col min="11012" max="11012" width="34.33203125" style="991" customWidth="1"/>
    <col min="11013" max="11013" width="33.5546875" style="991" customWidth="1"/>
    <col min="11014" max="11019" width="11.5546875" style="991" customWidth="1"/>
    <col min="11020" max="11020" width="12" style="991" customWidth="1"/>
    <col min="11021" max="11021" width="36.6640625" style="991" customWidth="1"/>
    <col min="11022" max="11022" width="33.6640625" style="991" customWidth="1"/>
    <col min="11023" max="11267" width="9.88671875" style="991"/>
    <col min="11268" max="11268" width="34.33203125" style="991" customWidth="1"/>
    <col min="11269" max="11269" width="33.5546875" style="991" customWidth="1"/>
    <col min="11270" max="11275" width="11.5546875" style="991" customWidth="1"/>
    <col min="11276" max="11276" width="12" style="991" customWidth="1"/>
    <col min="11277" max="11277" width="36.6640625" style="991" customWidth="1"/>
    <col min="11278" max="11278" width="33.6640625" style="991" customWidth="1"/>
    <col min="11279" max="11523" width="9.88671875" style="991"/>
    <col min="11524" max="11524" width="34.33203125" style="991" customWidth="1"/>
    <col min="11525" max="11525" width="33.5546875" style="991" customWidth="1"/>
    <col min="11526" max="11531" width="11.5546875" style="991" customWidth="1"/>
    <col min="11532" max="11532" width="12" style="991" customWidth="1"/>
    <col min="11533" max="11533" width="36.6640625" style="991" customWidth="1"/>
    <col min="11534" max="11534" width="33.6640625" style="991" customWidth="1"/>
    <col min="11535" max="11779" width="9.88671875" style="991"/>
    <col min="11780" max="11780" width="34.33203125" style="991" customWidth="1"/>
    <col min="11781" max="11781" width="33.5546875" style="991" customWidth="1"/>
    <col min="11782" max="11787" width="11.5546875" style="991" customWidth="1"/>
    <col min="11788" max="11788" width="12" style="991" customWidth="1"/>
    <col min="11789" max="11789" width="36.6640625" style="991" customWidth="1"/>
    <col min="11790" max="11790" width="33.6640625" style="991" customWidth="1"/>
    <col min="11791" max="12035" width="9.88671875" style="991"/>
    <col min="12036" max="12036" width="34.33203125" style="991" customWidth="1"/>
    <col min="12037" max="12037" width="33.5546875" style="991" customWidth="1"/>
    <col min="12038" max="12043" width="11.5546875" style="991" customWidth="1"/>
    <col min="12044" max="12044" width="12" style="991" customWidth="1"/>
    <col min="12045" max="12045" width="36.6640625" style="991" customWidth="1"/>
    <col min="12046" max="12046" width="33.6640625" style="991" customWidth="1"/>
    <col min="12047" max="12291" width="9.88671875" style="991"/>
    <col min="12292" max="12292" width="34.33203125" style="991" customWidth="1"/>
    <col min="12293" max="12293" width="33.5546875" style="991" customWidth="1"/>
    <col min="12294" max="12299" width="11.5546875" style="991" customWidth="1"/>
    <col min="12300" max="12300" width="12" style="991" customWidth="1"/>
    <col min="12301" max="12301" width="36.6640625" style="991" customWidth="1"/>
    <col min="12302" max="12302" width="33.6640625" style="991" customWidth="1"/>
    <col min="12303" max="12547" width="9.88671875" style="991"/>
    <col min="12548" max="12548" width="34.33203125" style="991" customWidth="1"/>
    <col min="12549" max="12549" width="33.5546875" style="991" customWidth="1"/>
    <col min="12550" max="12555" width="11.5546875" style="991" customWidth="1"/>
    <col min="12556" max="12556" width="12" style="991" customWidth="1"/>
    <col min="12557" max="12557" width="36.6640625" style="991" customWidth="1"/>
    <col min="12558" max="12558" width="33.6640625" style="991" customWidth="1"/>
    <col min="12559" max="12803" width="9.88671875" style="991"/>
    <col min="12804" max="12804" width="34.33203125" style="991" customWidth="1"/>
    <col min="12805" max="12805" width="33.5546875" style="991" customWidth="1"/>
    <col min="12806" max="12811" width="11.5546875" style="991" customWidth="1"/>
    <col min="12812" max="12812" width="12" style="991" customWidth="1"/>
    <col min="12813" max="12813" width="36.6640625" style="991" customWidth="1"/>
    <col min="12814" max="12814" width="33.6640625" style="991" customWidth="1"/>
    <col min="12815" max="13059" width="9.88671875" style="991"/>
    <col min="13060" max="13060" width="34.33203125" style="991" customWidth="1"/>
    <col min="13061" max="13061" width="33.5546875" style="991" customWidth="1"/>
    <col min="13062" max="13067" width="11.5546875" style="991" customWidth="1"/>
    <col min="13068" max="13068" width="12" style="991" customWidth="1"/>
    <col min="13069" max="13069" width="36.6640625" style="991" customWidth="1"/>
    <col min="13070" max="13070" width="33.6640625" style="991" customWidth="1"/>
    <col min="13071" max="13315" width="9.88671875" style="991"/>
    <col min="13316" max="13316" width="34.33203125" style="991" customWidth="1"/>
    <col min="13317" max="13317" width="33.5546875" style="991" customWidth="1"/>
    <col min="13318" max="13323" width="11.5546875" style="991" customWidth="1"/>
    <col min="13324" max="13324" width="12" style="991" customWidth="1"/>
    <col min="13325" max="13325" width="36.6640625" style="991" customWidth="1"/>
    <col min="13326" max="13326" width="33.6640625" style="991" customWidth="1"/>
    <col min="13327" max="13571" width="9.88671875" style="991"/>
    <col min="13572" max="13572" width="34.33203125" style="991" customWidth="1"/>
    <col min="13573" max="13573" width="33.5546875" style="991" customWidth="1"/>
    <col min="13574" max="13579" width="11.5546875" style="991" customWidth="1"/>
    <col min="13580" max="13580" width="12" style="991" customWidth="1"/>
    <col min="13581" max="13581" width="36.6640625" style="991" customWidth="1"/>
    <col min="13582" max="13582" width="33.6640625" style="991" customWidth="1"/>
    <col min="13583" max="13827" width="9.88671875" style="991"/>
    <col min="13828" max="13828" width="34.33203125" style="991" customWidth="1"/>
    <col min="13829" max="13829" width="33.5546875" style="991" customWidth="1"/>
    <col min="13830" max="13835" width="11.5546875" style="991" customWidth="1"/>
    <col min="13836" max="13836" width="12" style="991" customWidth="1"/>
    <col min="13837" max="13837" width="36.6640625" style="991" customWidth="1"/>
    <col min="13838" max="13838" width="33.6640625" style="991" customWidth="1"/>
    <col min="13839" max="14083" width="9.88671875" style="991"/>
    <col min="14084" max="14084" width="34.33203125" style="991" customWidth="1"/>
    <col min="14085" max="14085" width="33.5546875" style="991" customWidth="1"/>
    <col min="14086" max="14091" width="11.5546875" style="991" customWidth="1"/>
    <col min="14092" max="14092" width="12" style="991" customWidth="1"/>
    <col min="14093" max="14093" width="36.6640625" style="991" customWidth="1"/>
    <col min="14094" max="14094" width="33.6640625" style="991" customWidth="1"/>
    <col min="14095" max="14339" width="9.88671875" style="991"/>
    <col min="14340" max="14340" width="34.33203125" style="991" customWidth="1"/>
    <col min="14341" max="14341" width="33.5546875" style="991" customWidth="1"/>
    <col min="14342" max="14347" width="11.5546875" style="991" customWidth="1"/>
    <col min="14348" max="14348" width="12" style="991" customWidth="1"/>
    <col min="14349" max="14349" width="36.6640625" style="991" customWidth="1"/>
    <col min="14350" max="14350" width="33.6640625" style="991" customWidth="1"/>
    <col min="14351" max="14595" width="9.88671875" style="991"/>
    <col min="14596" max="14596" width="34.33203125" style="991" customWidth="1"/>
    <col min="14597" max="14597" width="33.5546875" style="991" customWidth="1"/>
    <col min="14598" max="14603" width="11.5546875" style="991" customWidth="1"/>
    <col min="14604" max="14604" width="12" style="991" customWidth="1"/>
    <col min="14605" max="14605" width="36.6640625" style="991" customWidth="1"/>
    <col min="14606" max="14606" width="33.6640625" style="991" customWidth="1"/>
    <col min="14607" max="14851" width="9.88671875" style="991"/>
    <col min="14852" max="14852" width="34.33203125" style="991" customWidth="1"/>
    <col min="14853" max="14853" width="33.5546875" style="991" customWidth="1"/>
    <col min="14854" max="14859" width="11.5546875" style="991" customWidth="1"/>
    <col min="14860" max="14860" width="12" style="991" customWidth="1"/>
    <col min="14861" max="14861" width="36.6640625" style="991" customWidth="1"/>
    <col min="14862" max="14862" width="33.6640625" style="991" customWidth="1"/>
    <col min="14863" max="15107" width="9.88671875" style="991"/>
    <col min="15108" max="15108" width="34.33203125" style="991" customWidth="1"/>
    <col min="15109" max="15109" width="33.5546875" style="991" customWidth="1"/>
    <col min="15110" max="15115" width="11.5546875" style="991" customWidth="1"/>
    <col min="15116" max="15116" width="12" style="991" customWidth="1"/>
    <col min="15117" max="15117" width="36.6640625" style="991" customWidth="1"/>
    <col min="15118" max="15118" width="33.6640625" style="991" customWidth="1"/>
    <col min="15119" max="15363" width="9.88671875" style="991"/>
    <col min="15364" max="15364" width="34.33203125" style="991" customWidth="1"/>
    <col min="15365" max="15365" width="33.5546875" style="991" customWidth="1"/>
    <col min="15366" max="15371" width="11.5546875" style="991" customWidth="1"/>
    <col min="15372" max="15372" width="12" style="991" customWidth="1"/>
    <col min="15373" max="15373" width="36.6640625" style="991" customWidth="1"/>
    <col min="15374" max="15374" width="33.6640625" style="991" customWidth="1"/>
    <col min="15375" max="15619" width="9.88671875" style="991"/>
    <col min="15620" max="15620" width="34.33203125" style="991" customWidth="1"/>
    <col min="15621" max="15621" width="33.5546875" style="991" customWidth="1"/>
    <col min="15622" max="15627" width="11.5546875" style="991" customWidth="1"/>
    <col min="15628" max="15628" width="12" style="991" customWidth="1"/>
    <col min="15629" max="15629" width="36.6640625" style="991" customWidth="1"/>
    <col min="15630" max="15630" width="33.6640625" style="991" customWidth="1"/>
    <col min="15631" max="15875" width="9.88671875" style="991"/>
    <col min="15876" max="15876" width="34.33203125" style="991" customWidth="1"/>
    <col min="15877" max="15877" width="33.5546875" style="991" customWidth="1"/>
    <col min="15878" max="15883" width="11.5546875" style="991" customWidth="1"/>
    <col min="15884" max="15884" width="12" style="991" customWidth="1"/>
    <col min="15885" max="15885" width="36.6640625" style="991" customWidth="1"/>
    <col min="15886" max="15886" width="33.6640625" style="991" customWidth="1"/>
    <col min="15887" max="16131" width="9.88671875" style="991"/>
    <col min="16132" max="16132" width="34.33203125" style="991" customWidth="1"/>
    <col min="16133" max="16133" width="33.5546875" style="991" customWidth="1"/>
    <col min="16134" max="16139" width="11.5546875" style="991" customWidth="1"/>
    <col min="16140" max="16140" width="12" style="991" customWidth="1"/>
    <col min="16141" max="16141" width="36.6640625" style="991" customWidth="1"/>
    <col min="16142" max="16142" width="33.6640625" style="991" customWidth="1"/>
    <col min="16143" max="16384" width="9.88671875" style="991"/>
  </cols>
  <sheetData>
    <row r="1" spans="1:14" s="985" customFormat="1" ht="20.399999999999999">
      <c r="A1" s="985" t="s">
        <v>800</v>
      </c>
      <c r="C1" s="986"/>
      <c r="L1" s="987"/>
      <c r="M1" s="988" t="s">
        <v>801</v>
      </c>
      <c r="N1" s="989" t="s">
        <v>802</v>
      </c>
    </row>
    <row r="3" spans="1:14">
      <c r="A3" s="1281" t="s">
        <v>37</v>
      </c>
      <c r="B3" s="1281" t="s">
        <v>803</v>
      </c>
      <c r="C3" s="1284" t="s">
        <v>523</v>
      </c>
      <c r="D3" s="1281" t="s">
        <v>804</v>
      </c>
      <c r="E3" s="1281"/>
      <c r="F3" s="1281"/>
      <c r="G3" s="1281"/>
      <c r="H3" s="1281"/>
      <c r="I3" s="1281"/>
      <c r="J3" s="1281"/>
      <c r="K3" s="1281"/>
      <c r="L3" s="1281"/>
      <c r="M3" s="1279" t="s">
        <v>805</v>
      </c>
      <c r="N3" s="1281" t="s">
        <v>595</v>
      </c>
    </row>
    <row r="4" spans="1:14" s="994" customFormat="1">
      <c r="A4" s="1281"/>
      <c r="B4" s="1281"/>
      <c r="C4" s="1284"/>
      <c r="D4" s="990" t="s">
        <v>806</v>
      </c>
      <c r="E4" s="990" t="s">
        <v>807</v>
      </c>
      <c r="F4" s="990" t="s">
        <v>808</v>
      </c>
      <c r="G4" s="990" t="s">
        <v>809</v>
      </c>
      <c r="H4" s="992" t="s">
        <v>810</v>
      </c>
      <c r="I4" s="990" t="s">
        <v>811</v>
      </c>
      <c r="J4" s="990" t="s">
        <v>812</v>
      </c>
      <c r="K4" s="990" t="s">
        <v>813</v>
      </c>
      <c r="L4" s="993" t="s">
        <v>814</v>
      </c>
      <c r="M4" s="1280"/>
      <c r="N4" s="1281"/>
    </row>
    <row r="5" spans="1:14" s="1002" customFormat="1" ht="13.2">
      <c r="A5" s="995" t="s">
        <v>815</v>
      </c>
      <c r="B5" s="996" t="s">
        <v>816</v>
      </c>
      <c r="C5" s="997" t="s">
        <v>572</v>
      </c>
      <c r="D5" s="998"/>
      <c r="E5" s="998"/>
      <c r="F5" s="998"/>
      <c r="G5" s="998"/>
      <c r="H5" s="999">
        <v>0</v>
      </c>
      <c r="I5" s="998"/>
      <c r="J5" s="998"/>
      <c r="K5" s="998"/>
      <c r="L5" s="1000"/>
      <c r="M5" s="996" t="s">
        <v>817</v>
      </c>
      <c r="N5" s="1001" t="s">
        <v>818</v>
      </c>
    </row>
    <row r="6" spans="1:14" s="1002" customFormat="1" ht="16.8">
      <c r="A6" s="995">
        <v>2</v>
      </c>
      <c r="B6" s="996" t="s">
        <v>819</v>
      </c>
      <c r="C6" s="1003" t="s">
        <v>633</v>
      </c>
      <c r="D6" s="998"/>
      <c r="E6" s="998"/>
      <c r="F6" s="998"/>
      <c r="G6" s="998"/>
      <c r="H6" s="999">
        <v>0</v>
      </c>
      <c r="I6" s="998"/>
      <c r="J6" s="998"/>
      <c r="K6" s="998"/>
      <c r="L6" s="1000"/>
      <c r="M6" s="996" t="s">
        <v>820</v>
      </c>
      <c r="N6" s="1001"/>
    </row>
    <row r="7" spans="1:14" s="1002" customFormat="1" ht="16.8">
      <c r="A7" s="995">
        <v>3</v>
      </c>
      <c r="B7" s="996" t="s">
        <v>821</v>
      </c>
      <c r="C7" s="1003" t="s">
        <v>822</v>
      </c>
      <c r="D7" s="998"/>
      <c r="E7" s="998"/>
      <c r="F7" s="998"/>
      <c r="G7" s="998"/>
      <c r="H7" s="999">
        <v>0</v>
      </c>
      <c r="I7" s="998"/>
      <c r="J7" s="998"/>
      <c r="K7" s="998"/>
      <c r="L7" s="1000"/>
      <c r="M7" s="1004"/>
      <c r="N7" s="1001"/>
    </row>
    <row r="8" spans="1:14" s="1002" customFormat="1" ht="13.2">
      <c r="A8" s="995">
        <v>4</v>
      </c>
      <c r="B8" s="996" t="s">
        <v>664</v>
      </c>
      <c r="C8" s="1005" t="s">
        <v>665</v>
      </c>
      <c r="D8" s="998"/>
      <c r="E8" s="1006">
        <v>0.04</v>
      </c>
      <c r="F8" s="998"/>
      <c r="G8" s="998"/>
      <c r="H8" s="1006">
        <v>0.02</v>
      </c>
      <c r="I8" s="998"/>
      <c r="J8" s="998"/>
      <c r="K8" s="998"/>
      <c r="L8" s="1000">
        <f>SUM(D8:K8)</f>
        <v>0.06</v>
      </c>
      <c r="M8" s="996"/>
      <c r="N8" s="1001"/>
    </row>
    <row r="9" spans="1:14" s="1002" customFormat="1" ht="13.2">
      <c r="A9" s="995">
        <v>5</v>
      </c>
      <c r="B9" s="996" t="s">
        <v>823</v>
      </c>
      <c r="C9" s="1005" t="s">
        <v>676</v>
      </c>
      <c r="D9" s="1007"/>
      <c r="E9" s="1007"/>
      <c r="F9" s="1007"/>
      <c r="G9" s="1007"/>
      <c r="H9" s="1006"/>
      <c r="I9" s="1007"/>
      <c r="J9" s="1007"/>
      <c r="K9" s="1007"/>
      <c r="L9" s="1000"/>
      <c r="M9" s="1008"/>
      <c r="N9" s="1009"/>
    </row>
    <row r="10" spans="1:14" s="1002" customFormat="1" ht="13.2">
      <c r="A10" s="995">
        <v>6</v>
      </c>
      <c r="B10" s="996" t="s">
        <v>824</v>
      </c>
      <c r="C10" s="1005" t="s">
        <v>741</v>
      </c>
      <c r="D10" s="1007"/>
      <c r="E10" s="1007"/>
      <c r="F10" s="1007"/>
      <c r="G10" s="1007"/>
      <c r="H10" s="1006"/>
      <c r="I10" s="1007"/>
      <c r="J10" s="1007"/>
      <c r="K10" s="1007"/>
      <c r="L10" s="1000"/>
      <c r="M10" s="1004"/>
      <c r="N10" s="1009"/>
    </row>
    <row r="11" spans="1:14" s="1002" customFormat="1" ht="13.2">
      <c r="A11" s="995">
        <v>7</v>
      </c>
      <c r="B11" s="996" t="s">
        <v>825</v>
      </c>
      <c r="C11" s="997" t="s">
        <v>685</v>
      </c>
      <c r="D11" s="1007"/>
      <c r="E11" s="1007"/>
      <c r="F11" s="1007"/>
      <c r="G11" s="1007"/>
      <c r="H11" s="1006">
        <v>3.52</v>
      </c>
      <c r="I11" s="1007"/>
      <c r="J11" s="1007"/>
      <c r="K11" s="1007"/>
      <c r="L11" s="1000">
        <f>SUM(D11:K11)</f>
        <v>3.52</v>
      </c>
      <c r="M11" s="1008"/>
      <c r="N11" s="1009"/>
    </row>
    <row r="12" spans="1:14" s="1002" customFormat="1" ht="13.2">
      <c r="A12" s="995">
        <v>8</v>
      </c>
      <c r="B12" s="996" t="s">
        <v>826</v>
      </c>
      <c r="C12" s="997" t="s">
        <v>827</v>
      </c>
      <c r="D12" s="1007"/>
      <c r="E12" s="1007"/>
      <c r="F12" s="1007"/>
      <c r="G12" s="1007"/>
      <c r="H12" s="1006"/>
      <c r="I12" s="1007"/>
      <c r="J12" s="1007"/>
      <c r="K12" s="1007"/>
      <c r="L12" s="1000"/>
      <c r="M12" s="1008"/>
      <c r="N12" s="1009"/>
    </row>
    <row r="13" spans="1:14" s="1002" customFormat="1" ht="13.2">
      <c r="A13" s="995">
        <v>9</v>
      </c>
      <c r="B13" s="996" t="s">
        <v>826</v>
      </c>
      <c r="C13" s="997" t="s">
        <v>695</v>
      </c>
      <c r="D13" s="1007"/>
      <c r="E13" s="1007"/>
      <c r="F13" s="1007"/>
      <c r="G13" s="1007"/>
      <c r="H13" s="1006"/>
      <c r="I13" s="1007"/>
      <c r="J13" s="1007"/>
      <c r="K13" s="1007"/>
      <c r="L13" s="1000"/>
      <c r="M13" s="1008" t="s">
        <v>828</v>
      </c>
      <c r="N13" s="1009"/>
    </row>
    <row r="14" spans="1:14" s="1002" customFormat="1" ht="16.8">
      <c r="A14" s="995">
        <v>10</v>
      </c>
      <c r="B14" s="996" t="s">
        <v>829</v>
      </c>
      <c r="C14" s="1003" t="s">
        <v>701</v>
      </c>
      <c r="D14" s="1007"/>
      <c r="E14" s="1007"/>
      <c r="F14" s="1007"/>
      <c r="G14" s="1007"/>
      <c r="H14" s="1006"/>
      <c r="I14" s="1007"/>
      <c r="J14" s="1007"/>
      <c r="K14" s="1007"/>
      <c r="L14" s="1000"/>
      <c r="M14" s="996" t="s">
        <v>830</v>
      </c>
      <c r="N14" s="1009"/>
    </row>
    <row r="15" spans="1:14" s="1002" customFormat="1" ht="13.2">
      <c r="A15" s="995">
        <v>11</v>
      </c>
      <c r="B15" s="996" t="s">
        <v>831</v>
      </c>
      <c r="C15" s="997" t="s">
        <v>832</v>
      </c>
      <c r="D15" s="1007"/>
      <c r="E15" s="1007"/>
      <c r="F15" s="1007"/>
      <c r="G15" s="1007"/>
      <c r="H15" s="1006">
        <v>9</v>
      </c>
      <c r="I15" s="1007"/>
      <c r="J15" s="1007"/>
      <c r="K15" s="1007"/>
      <c r="L15" s="1000">
        <f>SUM(D15:K15)</f>
        <v>9</v>
      </c>
      <c r="M15" s="1008"/>
      <c r="N15" s="1009"/>
    </row>
    <row r="16" spans="1:14" s="1002" customFormat="1" ht="15">
      <c r="A16" s="995">
        <v>12</v>
      </c>
      <c r="B16" s="996" t="s">
        <v>833</v>
      </c>
      <c r="C16" s="1010" t="s">
        <v>706</v>
      </c>
      <c r="D16" s="1007"/>
      <c r="E16" s="1007"/>
      <c r="F16" s="1007"/>
      <c r="G16" s="1007"/>
      <c r="H16" s="1006"/>
      <c r="I16" s="1007"/>
      <c r="J16" s="1007"/>
      <c r="K16" s="1007"/>
      <c r="L16" s="1000"/>
      <c r="M16" s="1008"/>
      <c r="N16" s="1009"/>
    </row>
    <row r="17" spans="1:14" s="1002" customFormat="1" ht="15">
      <c r="A17" s="995">
        <v>13</v>
      </c>
      <c r="B17" s="996" t="s">
        <v>833</v>
      </c>
      <c r="C17" s="1010" t="s">
        <v>707</v>
      </c>
      <c r="D17" s="1007"/>
      <c r="E17" s="1007"/>
      <c r="F17" s="1007"/>
      <c r="G17" s="1007"/>
      <c r="H17" s="1006"/>
      <c r="I17" s="1007"/>
      <c r="J17" s="1007"/>
      <c r="K17" s="1007"/>
      <c r="L17" s="1000"/>
      <c r="M17" s="1008"/>
      <c r="N17" s="1009"/>
    </row>
    <row r="18" spans="1:14" s="1002" customFormat="1" ht="15">
      <c r="A18" s="995">
        <v>14</v>
      </c>
      <c r="B18" s="996" t="s">
        <v>834</v>
      </c>
      <c r="C18" s="1010" t="s">
        <v>699</v>
      </c>
      <c r="D18" s="1007"/>
      <c r="E18" s="1007"/>
      <c r="F18" s="1007"/>
      <c r="G18" s="1007"/>
      <c r="H18" s="1006"/>
      <c r="I18" s="1007"/>
      <c r="J18" s="1007"/>
      <c r="K18" s="1007"/>
      <c r="L18" s="1000"/>
      <c r="M18" s="1008" t="s">
        <v>835</v>
      </c>
      <c r="N18" s="1009"/>
    </row>
    <row r="19" spans="1:14" s="1002" customFormat="1" ht="15">
      <c r="A19" s="995">
        <v>15</v>
      </c>
      <c r="B19" s="1011" t="s">
        <v>836</v>
      </c>
      <c r="C19" s="1010" t="s">
        <v>763</v>
      </c>
      <c r="D19" s="1007"/>
      <c r="E19" s="1007"/>
      <c r="F19" s="1007"/>
      <c r="G19" s="1007"/>
      <c r="H19" s="1006"/>
      <c r="I19" s="1007"/>
      <c r="J19" s="1007"/>
      <c r="K19" s="1007"/>
      <c r="L19" s="1000"/>
      <c r="M19" s="1008" t="s">
        <v>835</v>
      </c>
      <c r="N19" s="1009"/>
    </row>
    <row r="20" spans="1:14" s="1002" customFormat="1" ht="15">
      <c r="A20" s="995">
        <v>16</v>
      </c>
      <c r="B20" s="1011" t="s">
        <v>776</v>
      </c>
      <c r="C20" s="997" t="s">
        <v>771</v>
      </c>
      <c r="D20" s="1007"/>
      <c r="E20" s="1007"/>
      <c r="F20" s="1007"/>
      <c r="G20" s="1007"/>
      <c r="H20" s="1006"/>
      <c r="I20" s="1007"/>
      <c r="J20" s="1007"/>
      <c r="K20" s="1007"/>
      <c r="L20" s="1000"/>
      <c r="M20" s="1008"/>
      <c r="N20" s="1009"/>
    </row>
    <row r="21" spans="1:14" s="1002" customFormat="1" ht="15">
      <c r="A21" s="995">
        <v>17</v>
      </c>
      <c r="B21" s="1011" t="s">
        <v>837</v>
      </c>
      <c r="C21" s="997" t="s">
        <v>694</v>
      </c>
      <c r="D21" s="1007"/>
      <c r="E21" s="1007"/>
      <c r="F21" s="1007"/>
      <c r="G21" s="1007"/>
      <c r="H21" s="1006"/>
      <c r="I21" s="1007"/>
      <c r="J21" s="1007"/>
      <c r="K21" s="1007"/>
      <c r="L21" s="1000"/>
      <c r="M21" s="1008"/>
      <c r="N21" s="1009"/>
    </row>
    <row r="22" spans="1:14" s="1002" customFormat="1" ht="13.2">
      <c r="A22" s="995">
        <v>18</v>
      </c>
      <c r="B22" s="996" t="s">
        <v>751</v>
      </c>
      <c r="C22" s="997" t="s">
        <v>752</v>
      </c>
      <c r="D22" s="1007"/>
      <c r="E22" s="1007"/>
      <c r="F22" s="1007"/>
      <c r="G22" s="1007"/>
      <c r="H22" s="1006"/>
      <c r="I22" s="1007"/>
      <c r="J22" s="1007"/>
      <c r="K22" s="1007"/>
      <c r="L22" s="1000"/>
      <c r="M22" s="1008"/>
      <c r="N22" s="1009"/>
    </row>
    <row r="23" spans="1:14" s="1002" customFormat="1" ht="15">
      <c r="A23" s="995">
        <v>19</v>
      </c>
      <c r="B23" s="996" t="s">
        <v>838</v>
      </c>
      <c r="C23" s="1010" t="s">
        <v>729</v>
      </c>
      <c r="D23" s="1007"/>
      <c r="E23" s="1007"/>
      <c r="F23" s="1007"/>
      <c r="G23" s="1007"/>
      <c r="H23" s="1006"/>
      <c r="I23" s="1007"/>
      <c r="J23" s="1007"/>
      <c r="K23" s="1007"/>
      <c r="L23" s="1000"/>
      <c r="M23" s="1008"/>
      <c r="N23" s="1009"/>
    </row>
    <row r="24" spans="1:14" s="1002" customFormat="1" ht="15">
      <c r="A24" s="995">
        <v>20</v>
      </c>
      <c r="B24" s="996" t="s">
        <v>839</v>
      </c>
      <c r="C24" s="1010" t="s">
        <v>719</v>
      </c>
      <c r="D24" s="1007"/>
      <c r="E24" s="1007"/>
      <c r="F24" s="1007"/>
      <c r="G24" s="1007"/>
      <c r="H24" s="1006"/>
      <c r="I24" s="1007"/>
      <c r="J24" s="1007"/>
      <c r="K24" s="1007"/>
      <c r="L24" s="1000"/>
      <c r="M24" s="1008"/>
      <c r="N24" s="1009"/>
    </row>
    <row r="25" spans="1:14" s="1002" customFormat="1" ht="13.2">
      <c r="A25" s="995">
        <v>21</v>
      </c>
      <c r="B25" s="996" t="s">
        <v>839</v>
      </c>
      <c r="C25" s="997" t="s">
        <v>726</v>
      </c>
      <c r="D25" s="1007"/>
      <c r="E25" s="1007"/>
      <c r="F25" s="1007"/>
      <c r="G25" s="1007"/>
      <c r="H25" s="1006"/>
      <c r="I25" s="1007"/>
      <c r="J25" s="1007"/>
      <c r="K25" s="1007"/>
      <c r="L25" s="1000"/>
      <c r="M25" s="1008"/>
      <c r="N25" s="1009"/>
    </row>
    <row r="26" spans="1:14" s="1002" customFormat="1" ht="13.2">
      <c r="A26" s="995">
        <v>22</v>
      </c>
      <c r="B26" s="996" t="s">
        <v>735</v>
      </c>
      <c r="C26" s="997" t="s">
        <v>738</v>
      </c>
      <c r="D26" s="1007"/>
      <c r="E26" s="1007"/>
      <c r="F26" s="1007"/>
      <c r="G26" s="1007"/>
      <c r="H26" s="1006"/>
      <c r="I26" s="1007"/>
      <c r="J26" s="1007"/>
      <c r="K26" s="1007"/>
      <c r="L26" s="1000"/>
      <c r="M26" s="1008"/>
      <c r="N26" s="1009"/>
    </row>
    <row r="27" spans="1:14" s="1002" customFormat="1" ht="15">
      <c r="A27" s="995">
        <v>23</v>
      </c>
      <c r="B27" s="996"/>
      <c r="C27" s="1010"/>
      <c r="D27" s="1007"/>
      <c r="E27" s="1007"/>
      <c r="F27" s="1007"/>
      <c r="G27" s="1007"/>
      <c r="H27" s="1006"/>
      <c r="I27" s="1007"/>
      <c r="J27" s="1007"/>
      <c r="K27" s="1007"/>
      <c r="L27" s="1012"/>
      <c r="M27" s="1008"/>
      <c r="N27" s="1009"/>
    </row>
    <row r="28" spans="1:14" s="1002" customFormat="1" ht="15">
      <c r="A28" s="995">
        <v>24</v>
      </c>
      <c r="B28" s="996"/>
      <c r="C28" s="1010"/>
      <c r="D28" s="1007"/>
      <c r="E28" s="1007"/>
      <c r="F28" s="1007"/>
      <c r="G28" s="1007"/>
      <c r="H28" s="1006"/>
      <c r="I28" s="1007"/>
      <c r="J28" s="1007"/>
      <c r="K28" s="1007"/>
      <c r="L28" s="1012"/>
      <c r="M28" s="1008"/>
      <c r="N28" s="1009"/>
    </row>
    <row r="29" spans="1:14" s="1002" customFormat="1" ht="13.2">
      <c r="A29" s="995">
        <v>25</v>
      </c>
      <c r="B29" s="996"/>
      <c r="C29" s="997"/>
      <c r="D29" s="1007"/>
      <c r="E29" s="1007"/>
      <c r="F29" s="1007"/>
      <c r="G29" s="1007"/>
      <c r="H29" s="1006"/>
      <c r="I29" s="1007"/>
      <c r="J29" s="1007"/>
      <c r="K29" s="1007"/>
      <c r="L29" s="1012"/>
      <c r="M29" s="1008"/>
      <c r="N29" s="1009"/>
    </row>
    <row r="30" spans="1:14" s="1002" customFormat="1" ht="13.2">
      <c r="A30" s="995"/>
      <c r="B30" s="996"/>
      <c r="C30" s="997"/>
      <c r="D30" s="1007"/>
      <c r="E30" s="1007"/>
      <c r="F30" s="1007"/>
      <c r="G30" s="1007"/>
      <c r="H30" s="1006"/>
      <c r="I30" s="1007"/>
      <c r="J30" s="1007"/>
      <c r="K30" s="1007"/>
      <c r="L30" s="1012"/>
      <c r="M30" s="1008"/>
      <c r="N30" s="1009"/>
    </row>
    <row r="31" spans="1:14" s="1002" customFormat="1" ht="13.2">
      <c r="A31" s="995"/>
      <c r="B31" s="996"/>
      <c r="C31" s="997"/>
      <c r="D31" s="1007"/>
      <c r="E31" s="1007"/>
      <c r="F31" s="1007"/>
      <c r="G31" s="1007"/>
      <c r="H31" s="1006"/>
      <c r="I31" s="1007"/>
      <c r="J31" s="1007"/>
      <c r="K31" s="1007"/>
      <c r="L31" s="1012"/>
      <c r="M31" s="1008"/>
      <c r="N31" s="1009"/>
    </row>
    <row r="32" spans="1:14" s="1002" customFormat="1" ht="13.2">
      <c r="A32" s="995"/>
      <c r="B32" s="996"/>
      <c r="C32" s="997"/>
      <c r="D32" s="1007"/>
      <c r="E32" s="1007"/>
      <c r="F32" s="1007"/>
      <c r="G32" s="1007"/>
      <c r="H32" s="1006"/>
      <c r="I32" s="1007"/>
      <c r="J32" s="1007"/>
      <c r="K32" s="1007"/>
      <c r="L32" s="1012"/>
      <c r="M32" s="1008"/>
      <c r="N32" s="1009"/>
    </row>
    <row r="33" spans="1:14" s="1002" customFormat="1" ht="13.2">
      <c r="A33" s="995"/>
      <c r="B33" s="996"/>
      <c r="C33" s="997"/>
      <c r="D33" s="1007"/>
      <c r="E33" s="1007"/>
      <c r="F33" s="1007"/>
      <c r="G33" s="1007"/>
      <c r="H33" s="1006"/>
      <c r="I33" s="1007"/>
      <c r="J33" s="1007"/>
      <c r="K33" s="1007"/>
      <c r="L33" s="1012"/>
      <c r="M33" s="1008"/>
      <c r="N33" s="1009"/>
    </row>
    <row r="34" spans="1:14" s="1002" customFormat="1" ht="13.2">
      <c r="A34" s="995"/>
      <c r="B34" s="996"/>
      <c r="C34" s="997"/>
      <c r="D34" s="1007"/>
      <c r="E34" s="1007"/>
      <c r="F34" s="1007"/>
      <c r="G34" s="1007"/>
      <c r="H34" s="1006"/>
      <c r="I34" s="1007"/>
      <c r="J34" s="1007"/>
      <c r="K34" s="1007"/>
      <c r="L34" s="1012"/>
      <c r="M34" s="1008"/>
      <c r="N34" s="1009"/>
    </row>
    <row r="35" spans="1:14" s="1002" customFormat="1" ht="13.2">
      <c r="A35" s="995"/>
      <c r="B35" s="996"/>
      <c r="C35" s="997"/>
      <c r="D35" s="1007"/>
      <c r="E35" s="1007"/>
      <c r="F35" s="1007"/>
      <c r="G35" s="1007"/>
      <c r="H35" s="1006"/>
      <c r="I35" s="1007"/>
      <c r="J35" s="1007"/>
      <c r="K35" s="1007"/>
      <c r="L35" s="1012"/>
      <c r="M35" s="1008"/>
      <c r="N35" s="1009"/>
    </row>
    <row r="36" spans="1:14" s="1002" customFormat="1" ht="13.2">
      <c r="A36" s="995"/>
      <c r="B36" s="996"/>
      <c r="C36" s="997"/>
      <c r="D36" s="1007"/>
      <c r="E36" s="1007"/>
      <c r="F36" s="1007"/>
      <c r="G36" s="1007"/>
      <c r="H36" s="1006"/>
      <c r="I36" s="1007"/>
      <c r="J36" s="1007"/>
      <c r="K36" s="1007"/>
      <c r="L36" s="1012"/>
      <c r="M36" s="1008"/>
      <c r="N36" s="1009"/>
    </row>
    <row r="37" spans="1:14" s="1002" customFormat="1" ht="13.2">
      <c r="A37" s="995"/>
      <c r="B37" s="996"/>
      <c r="C37" s="997"/>
      <c r="D37" s="1007"/>
      <c r="E37" s="1007"/>
      <c r="F37" s="1007"/>
      <c r="G37" s="1007"/>
      <c r="H37" s="1006"/>
      <c r="I37" s="1007"/>
      <c r="J37" s="1007"/>
      <c r="K37" s="1007"/>
      <c r="L37" s="1012"/>
      <c r="M37" s="1008"/>
      <c r="N37" s="1009"/>
    </row>
    <row r="38" spans="1:14" s="1002" customFormat="1" ht="12.6">
      <c r="A38" s="1013"/>
      <c r="B38" s="1008"/>
      <c r="C38" s="1014"/>
      <c r="D38" s="1007"/>
      <c r="E38" s="1007"/>
      <c r="F38" s="1007"/>
      <c r="G38" s="1007"/>
      <c r="H38" s="1006"/>
      <c r="I38" s="1007"/>
      <c r="J38" s="1007"/>
      <c r="K38" s="1007"/>
      <c r="L38" s="1012"/>
      <c r="M38" s="1008"/>
      <c r="N38" s="1009"/>
    </row>
    <row r="39" spans="1:14" s="1002" customFormat="1" ht="12.6">
      <c r="A39" s="1013"/>
      <c r="B39" s="1008"/>
      <c r="C39" s="1014"/>
      <c r="D39" s="1007"/>
      <c r="E39" s="1007"/>
      <c r="F39" s="1007"/>
      <c r="G39" s="1007"/>
      <c r="H39" s="1006"/>
      <c r="I39" s="1007"/>
      <c r="J39" s="1007"/>
      <c r="K39" s="1007"/>
      <c r="L39" s="1012"/>
      <c r="M39" s="1008"/>
      <c r="N39" s="1009"/>
    </row>
    <row r="40" spans="1:14" s="1002" customFormat="1" ht="12.6">
      <c r="A40" s="1013"/>
      <c r="B40" s="1008"/>
      <c r="C40" s="1014"/>
      <c r="D40" s="1007"/>
      <c r="E40" s="1007"/>
      <c r="F40" s="1007"/>
      <c r="G40" s="1007"/>
      <c r="H40" s="1006"/>
      <c r="I40" s="1007"/>
      <c r="J40" s="1007"/>
      <c r="K40" s="1007"/>
      <c r="L40" s="1012"/>
      <c r="M40" s="1008"/>
      <c r="N40" s="1009"/>
    </row>
    <row r="41" spans="1:14">
      <c r="A41" s="1015"/>
      <c r="B41" s="1282" t="s">
        <v>608</v>
      </c>
      <c r="C41" s="1283"/>
      <c r="D41" s="1016">
        <f t="shared" ref="D41:L41" si="0">SUM(D5:D40)</f>
        <v>0</v>
      </c>
      <c r="E41" s="1016">
        <f t="shared" si="0"/>
        <v>0.04</v>
      </c>
      <c r="F41" s="1016">
        <f t="shared" si="0"/>
        <v>0</v>
      </c>
      <c r="G41" s="1016">
        <f t="shared" si="0"/>
        <v>0</v>
      </c>
      <c r="H41" s="1016">
        <f t="shared" si="0"/>
        <v>12.54</v>
      </c>
      <c r="I41" s="1016">
        <f t="shared" si="0"/>
        <v>0</v>
      </c>
      <c r="J41" s="1016"/>
      <c r="K41" s="1016"/>
      <c r="L41" s="1017">
        <f t="shared" si="0"/>
        <v>12.58</v>
      </c>
      <c r="M41" s="1018"/>
      <c r="N41" s="1019"/>
    </row>
  </sheetData>
  <mergeCells count="7">
    <mergeCell ref="M3:M4"/>
    <mergeCell ref="N3:N4"/>
    <mergeCell ref="B41:C41"/>
    <mergeCell ref="A3:A4"/>
    <mergeCell ref="B3:B4"/>
    <mergeCell ref="C3:C4"/>
    <mergeCell ref="D3:L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CE3B1-33DF-4B48-96A2-A600C2C01682}">
  <dimension ref="A1:AJ637"/>
  <sheetViews>
    <sheetView topLeftCell="A34" workbookViewId="0">
      <selection activeCell="C50" sqref="C50"/>
    </sheetView>
  </sheetViews>
  <sheetFormatPr defaultColWidth="9.109375" defaultRowHeight="21"/>
  <cols>
    <col min="1" max="1" width="5.109375" style="857" customWidth="1"/>
    <col min="2" max="2" width="36" style="803" customWidth="1"/>
    <col min="3" max="3" width="53.5546875" style="835" customWidth="1"/>
    <col min="4" max="4" width="10.21875" style="956" customWidth="1"/>
    <col min="5" max="10" width="8.6640625" style="835" hidden="1" customWidth="1"/>
    <col min="11" max="16" width="8.6640625" style="835" customWidth="1"/>
    <col min="17" max="17" width="11" style="835" customWidth="1"/>
    <col min="18" max="18" width="8.6640625" style="858" customWidth="1"/>
    <col min="19" max="31" width="8.6640625" style="835" customWidth="1"/>
    <col min="32" max="32" width="11" style="835" customWidth="1"/>
    <col min="33" max="33" width="8.6640625" style="858" customWidth="1"/>
    <col min="34" max="34" width="8.6640625" style="835" customWidth="1"/>
    <col min="35" max="35" width="21" style="857" customWidth="1"/>
    <col min="36" max="36" width="31.88671875" style="835" customWidth="1"/>
    <col min="37" max="271" width="9.109375" style="835"/>
    <col min="272" max="272" width="8.5546875" style="835" customWidth="1"/>
    <col min="273" max="273" width="45.21875" style="835" customWidth="1"/>
    <col min="274" max="274" width="61.6640625" style="835" customWidth="1"/>
    <col min="275" max="275" width="10.33203125" style="835" customWidth="1"/>
    <col min="276" max="287" width="8.6640625" style="835" customWidth="1"/>
    <col min="288" max="288" width="11" style="835" customWidth="1"/>
    <col min="289" max="290" width="8.6640625" style="835" customWidth="1"/>
    <col min="291" max="291" width="21" style="835" customWidth="1"/>
    <col min="292" max="292" width="31.88671875" style="835" customWidth="1"/>
    <col min="293" max="527" width="9.109375" style="835"/>
    <col min="528" max="528" width="8.5546875" style="835" customWidth="1"/>
    <col min="529" max="529" width="45.21875" style="835" customWidth="1"/>
    <col min="530" max="530" width="61.6640625" style="835" customWidth="1"/>
    <col min="531" max="531" width="10.33203125" style="835" customWidth="1"/>
    <col min="532" max="543" width="8.6640625" style="835" customWidth="1"/>
    <col min="544" max="544" width="11" style="835" customWidth="1"/>
    <col min="545" max="546" width="8.6640625" style="835" customWidth="1"/>
    <col min="547" max="547" width="21" style="835" customWidth="1"/>
    <col min="548" max="548" width="31.88671875" style="835" customWidth="1"/>
    <col min="549" max="783" width="9.109375" style="835"/>
    <col min="784" max="784" width="8.5546875" style="835" customWidth="1"/>
    <col min="785" max="785" width="45.21875" style="835" customWidth="1"/>
    <col min="786" max="786" width="61.6640625" style="835" customWidth="1"/>
    <col min="787" max="787" width="10.33203125" style="835" customWidth="1"/>
    <col min="788" max="799" width="8.6640625" style="835" customWidth="1"/>
    <col min="800" max="800" width="11" style="835" customWidth="1"/>
    <col min="801" max="802" width="8.6640625" style="835" customWidth="1"/>
    <col min="803" max="803" width="21" style="835" customWidth="1"/>
    <col min="804" max="804" width="31.88671875" style="835" customWidth="1"/>
    <col min="805" max="1039" width="9.109375" style="835"/>
    <col min="1040" max="1040" width="8.5546875" style="835" customWidth="1"/>
    <col min="1041" max="1041" width="45.21875" style="835" customWidth="1"/>
    <col min="1042" max="1042" width="61.6640625" style="835" customWidth="1"/>
    <col min="1043" max="1043" width="10.33203125" style="835" customWidth="1"/>
    <col min="1044" max="1055" width="8.6640625" style="835" customWidth="1"/>
    <col min="1056" max="1056" width="11" style="835" customWidth="1"/>
    <col min="1057" max="1058" width="8.6640625" style="835" customWidth="1"/>
    <col min="1059" max="1059" width="21" style="835" customWidth="1"/>
    <col min="1060" max="1060" width="31.88671875" style="835" customWidth="1"/>
    <col min="1061" max="1295" width="9.109375" style="835"/>
    <col min="1296" max="1296" width="8.5546875" style="835" customWidth="1"/>
    <col min="1297" max="1297" width="45.21875" style="835" customWidth="1"/>
    <col min="1298" max="1298" width="61.6640625" style="835" customWidth="1"/>
    <col min="1299" max="1299" width="10.33203125" style="835" customWidth="1"/>
    <col min="1300" max="1311" width="8.6640625" style="835" customWidth="1"/>
    <col min="1312" max="1312" width="11" style="835" customWidth="1"/>
    <col min="1313" max="1314" width="8.6640625" style="835" customWidth="1"/>
    <col min="1315" max="1315" width="21" style="835" customWidth="1"/>
    <col min="1316" max="1316" width="31.88671875" style="835" customWidth="1"/>
    <col min="1317" max="1551" width="9.109375" style="835"/>
    <col min="1552" max="1552" width="8.5546875" style="835" customWidth="1"/>
    <col min="1553" max="1553" width="45.21875" style="835" customWidth="1"/>
    <col min="1554" max="1554" width="61.6640625" style="835" customWidth="1"/>
    <col min="1555" max="1555" width="10.33203125" style="835" customWidth="1"/>
    <col min="1556" max="1567" width="8.6640625" style="835" customWidth="1"/>
    <col min="1568" max="1568" width="11" style="835" customWidth="1"/>
    <col min="1569" max="1570" width="8.6640625" style="835" customWidth="1"/>
    <col min="1571" max="1571" width="21" style="835" customWidth="1"/>
    <col min="1572" max="1572" width="31.88671875" style="835" customWidth="1"/>
    <col min="1573" max="1807" width="9.109375" style="835"/>
    <col min="1808" max="1808" width="8.5546875" style="835" customWidth="1"/>
    <col min="1809" max="1809" width="45.21875" style="835" customWidth="1"/>
    <col min="1810" max="1810" width="61.6640625" style="835" customWidth="1"/>
    <col min="1811" max="1811" width="10.33203125" style="835" customWidth="1"/>
    <col min="1812" max="1823" width="8.6640625" style="835" customWidth="1"/>
    <col min="1824" max="1824" width="11" style="835" customWidth="1"/>
    <col min="1825" max="1826" width="8.6640625" style="835" customWidth="1"/>
    <col min="1827" max="1827" width="21" style="835" customWidth="1"/>
    <col min="1828" max="1828" width="31.88671875" style="835" customWidth="1"/>
    <col min="1829" max="2063" width="9.109375" style="835"/>
    <col min="2064" max="2064" width="8.5546875" style="835" customWidth="1"/>
    <col min="2065" max="2065" width="45.21875" style="835" customWidth="1"/>
    <col min="2066" max="2066" width="61.6640625" style="835" customWidth="1"/>
    <col min="2067" max="2067" width="10.33203125" style="835" customWidth="1"/>
    <col min="2068" max="2079" width="8.6640625" style="835" customWidth="1"/>
    <col min="2080" max="2080" width="11" style="835" customWidth="1"/>
    <col min="2081" max="2082" width="8.6640625" style="835" customWidth="1"/>
    <col min="2083" max="2083" width="21" style="835" customWidth="1"/>
    <col min="2084" max="2084" width="31.88671875" style="835" customWidth="1"/>
    <col min="2085" max="2319" width="9.109375" style="835"/>
    <col min="2320" max="2320" width="8.5546875" style="835" customWidth="1"/>
    <col min="2321" max="2321" width="45.21875" style="835" customWidth="1"/>
    <col min="2322" max="2322" width="61.6640625" style="835" customWidth="1"/>
    <col min="2323" max="2323" width="10.33203125" style="835" customWidth="1"/>
    <col min="2324" max="2335" width="8.6640625" style="835" customWidth="1"/>
    <col min="2336" max="2336" width="11" style="835" customWidth="1"/>
    <col min="2337" max="2338" width="8.6640625" style="835" customWidth="1"/>
    <col min="2339" max="2339" width="21" style="835" customWidth="1"/>
    <col min="2340" max="2340" width="31.88671875" style="835" customWidth="1"/>
    <col min="2341" max="2575" width="9.109375" style="835"/>
    <col min="2576" max="2576" width="8.5546875" style="835" customWidth="1"/>
    <col min="2577" max="2577" width="45.21875" style="835" customWidth="1"/>
    <col min="2578" max="2578" width="61.6640625" style="835" customWidth="1"/>
    <col min="2579" max="2579" width="10.33203125" style="835" customWidth="1"/>
    <col min="2580" max="2591" width="8.6640625" style="835" customWidth="1"/>
    <col min="2592" max="2592" width="11" style="835" customWidth="1"/>
    <col min="2593" max="2594" width="8.6640625" style="835" customWidth="1"/>
    <col min="2595" max="2595" width="21" style="835" customWidth="1"/>
    <col min="2596" max="2596" width="31.88671875" style="835" customWidth="1"/>
    <col min="2597" max="2831" width="9.109375" style="835"/>
    <col min="2832" max="2832" width="8.5546875" style="835" customWidth="1"/>
    <col min="2833" max="2833" width="45.21875" style="835" customWidth="1"/>
    <col min="2834" max="2834" width="61.6640625" style="835" customWidth="1"/>
    <col min="2835" max="2835" width="10.33203125" style="835" customWidth="1"/>
    <col min="2836" max="2847" width="8.6640625" style="835" customWidth="1"/>
    <col min="2848" max="2848" width="11" style="835" customWidth="1"/>
    <col min="2849" max="2850" width="8.6640625" style="835" customWidth="1"/>
    <col min="2851" max="2851" width="21" style="835" customWidth="1"/>
    <col min="2852" max="2852" width="31.88671875" style="835" customWidth="1"/>
    <col min="2853" max="3087" width="9.109375" style="835"/>
    <col min="3088" max="3088" width="8.5546875" style="835" customWidth="1"/>
    <col min="3089" max="3089" width="45.21875" style="835" customWidth="1"/>
    <col min="3090" max="3090" width="61.6640625" style="835" customWidth="1"/>
    <col min="3091" max="3091" width="10.33203125" style="835" customWidth="1"/>
    <col min="3092" max="3103" width="8.6640625" style="835" customWidth="1"/>
    <col min="3104" max="3104" width="11" style="835" customWidth="1"/>
    <col min="3105" max="3106" width="8.6640625" style="835" customWidth="1"/>
    <col min="3107" max="3107" width="21" style="835" customWidth="1"/>
    <col min="3108" max="3108" width="31.88671875" style="835" customWidth="1"/>
    <col min="3109" max="3343" width="9.109375" style="835"/>
    <col min="3344" max="3344" width="8.5546875" style="835" customWidth="1"/>
    <col min="3345" max="3345" width="45.21875" style="835" customWidth="1"/>
    <col min="3346" max="3346" width="61.6640625" style="835" customWidth="1"/>
    <col min="3347" max="3347" width="10.33203125" style="835" customWidth="1"/>
    <col min="3348" max="3359" width="8.6640625" style="835" customWidth="1"/>
    <col min="3360" max="3360" width="11" style="835" customWidth="1"/>
    <col min="3361" max="3362" width="8.6640625" style="835" customWidth="1"/>
    <col min="3363" max="3363" width="21" style="835" customWidth="1"/>
    <col min="3364" max="3364" width="31.88671875" style="835" customWidth="1"/>
    <col min="3365" max="3599" width="9.109375" style="835"/>
    <col min="3600" max="3600" width="8.5546875" style="835" customWidth="1"/>
    <col min="3601" max="3601" width="45.21875" style="835" customWidth="1"/>
    <col min="3602" max="3602" width="61.6640625" style="835" customWidth="1"/>
    <col min="3603" max="3603" width="10.33203125" style="835" customWidth="1"/>
    <col min="3604" max="3615" width="8.6640625" style="835" customWidth="1"/>
    <col min="3616" max="3616" width="11" style="835" customWidth="1"/>
    <col min="3617" max="3618" width="8.6640625" style="835" customWidth="1"/>
    <col min="3619" max="3619" width="21" style="835" customWidth="1"/>
    <col min="3620" max="3620" width="31.88671875" style="835" customWidth="1"/>
    <col min="3621" max="3855" width="9.109375" style="835"/>
    <col min="3856" max="3856" width="8.5546875" style="835" customWidth="1"/>
    <col min="3857" max="3857" width="45.21875" style="835" customWidth="1"/>
    <col min="3858" max="3858" width="61.6640625" style="835" customWidth="1"/>
    <col min="3859" max="3859" width="10.33203125" style="835" customWidth="1"/>
    <col min="3860" max="3871" width="8.6640625" style="835" customWidth="1"/>
    <col min="3872" max="3872" width="11" style="835" customWidth="1"/>
    <col min="3873" max="3874" width="8.6640625" style="835" customWidth="1"/>
    <col min="3875" max="3875" width="21" style="835" customWidth="1"/>
    <col min="3876" max="3876" width="31.88671875" style="835" customWidth="1"/>
    <col min="3877" max="4111" width="9.109375" style="835"/>
    <col min="4112" max="4112" width="8.5546875" style="835" customWidth="1"/>
    <col min="4113" max="4113" width="45.21875" style="835" customWidth="1"/>
    <col min="4114" max="4114" width="61.6640625" style="835" customWidth="1"/>
    <col min="4115" max="4115" width="10.33203125" style="835" customWidth="1"/>
    <col min="4116" max="4127" width="8.6640625" style="835" customWidth="1"/>
    <col min="4128" max="4128" width="11" style="835" customWidth="1"/>
    <col min="4129" max="4130" width="8.6640625" style="835" customWidth="1"/>
    <col min="4131" max="4131" width="21" style="835" customWidth="1"/>
    <col min="4132" max="4132" width="31.88671875" style="835" customWidth="1"/>
    <col min="4133" max="4367" width="9.109375" style="835"/>
    <col min="4368" max="4368" width="8.5546875" style="835" customWidth="1"/>
    <col min="4369" max="4369" width="45.21875" style="835" customWidth="1"/>
    <col min="4370" max="4370" width="61.6640625" style="835" customWidth="1"/>
    <col min="4371" max="4371" width="10.33203125" style="835" customWidth="1"/>
    <col min="4372" max="4383" width="8.6640625" style="835" customWidth="1"/>
    <col min="4384" max="4384" width="11" style="835" customWidth="1"/>
    <col min="4385" max="4386" width="8.6640625" style="835" customWidth="1"/>
    <col min="4387" max="4387" width="21" style="835" customWidth="1"/>
    <col min="4388" max="4388" width="31.88671875" style="835" customWidth="1"/>
    <col min="4389" max="4623" width="9.109375" style="835"/>
    <col min="4624" max="4624" width="8.5546875" style="835" customWidth="1"/>
    <col min="4625" max="4625" width="45.21875" style="835" customWidth="1"/>
    <col min="4626" max="4626" width="61.6640625" style="835" customWidth="1"/>
    <col min="4627" max="4627" width="10.33203125" style="835" customWidth="1"/>
    <col min="4628" max="4639" width="8.6640625" style="835" customWidth="1"/>
    <col min="4640" max="4640" width="11" style="835" customWidth="1"/>
    <col min="4641" max="4642" width="8.6640625" style="835" customWidth="1"/>
    <col min="4643" max="4643" width="21" style="835" customWidth="1"/>
    <col min="4644" max="4644" width="31.88671875" style="835" customWidth="1"/>
    <col min="4645" max="4879" width="9.109375" style="835"/>
    <col min="4880" max="4880" width="8.5546875" style="835" customWidth="1"/>
    <col min="4881" max="4881" width="45.21875" style="835" customWidth="1"/>
    <col min="4882" max="4882" width="61.6640625" style="835" customWidth="1"/>
    <col min="4883" max="4883" width="10.33203125" style="835" customWidth="1"/>
    <col min="4884" max="4895" width="8.6640625" style="835" customWidth="1"/>
    <col min="4896" max="4896" width="11" style="835" customWidth="1"/>
    <col min="4897" max="4898" width="8.6640625" style="835" customWidth="1"/>
    <col min="4899" max="4899" width="21" style="835" customWidth="1"/>
    <col min="4900" max="4900" width="31.88671875" style="835" customWidth="1"/>
    <col min="4901" max="5135" width="9.109375" style="835"/>
    <col min="5136" max="5136" width="8.5546875" style="835" customWidth="1"/>
    <col min="5137" max="5137" width="45.21875" style="835" customWidth="1"/>
    <col min="5138" max="5138" width="61.6640625" style="835" customWidth="1"/>
    <col min="5139" max="5139" width="10.33203125" style="835" customWidth="1"/>
    <col min="5140" max="5151" width="8.6640625" style="835" customWidth="1"/>
    <col min="5152" max="5152" width="11" style="835" customWidth="1"/>
    <col min="5153" max="5154" width="8.6640625" style="835" customWidth="1"/>
    <col min="5155" max="5155" width="21" style="835" customWidth="1"/>
    <col min="5156" max="5156" width="31.88671875" style="835" customWidth="1"/>
    <col min="5157" max="5391" width="9.109375" style="835"/>
    <col min="5392" max="5392" width="8.5546875" style="835" customWidth="1"/>
    <col min="5393" max="5393" width="45.21875" style="835" customWidth="1"/>
    <col min="5394" max="5394" width="61.6640625" style="835" customWidth="1"/>
    <col min="5395" max="5395" width="10.33203125" style="835" customWidth="1"/>
    <col min="5396" max="5407" width="8.6640625" style="835" customWidth="1"/>
    <col min="5408" max="5408" width="11" style="835" customWidth="1"/>
    <col min="5409" max="5410" width="8.6640625" style="835" customWidth="1"/>
    <col min="5411" max="5411" width="21" style="835" customWidth="1"/>
    <col min="5412" max="5412" width="31.88671875" style="835" customWidth="1"/>
    <col min="5413" max="5647" width="9.109375" style="835"/>
    <col min="5648" max="5648" width="8.5546875" style="835" customWidth="1"/>
    <col min="5649" max="5649" width="45.21875" style="835" customWidth="1"/>
    <col min="5650" max="5650" width="61.6640625" style="835" customWidth="1"/>
    <col min="5651" max="5651" width="10.33203125" style="835" customWidth="1"/>
    <col min="5652" max="5663" width="8.6640625" style="835" customWidth="1"/>
    <col min="5664" max="5664" width="11" style="835" customWidth="1"/>
    <col min="5665" max="5666" width="8.6640625" style="835" customWidth="1"/>
    <col min="5667" max="5667" width="21" style="835" customWidth="1"/>
    <col min="5668" max="5668" width="31.88671875" style="835" customWidth="1"/>
    <col min="5669" max="5903" width="9.109375" style="835"/>
    <col min="5904" max="5904" width="8.5546875" style="835" customWidth="1"/>
    <col min="5905" max="5905" width="45.21875" style="835" customWidth="1"/>
    <col min="5906" max="5906" width="61.6640625" style="835" customWidth="1"/>
    <col min="5907" max="5907" width="10.33203125" style="835" customWidth="1"/>
    <col min="5908" max="5919" width="8.6640625" style="835" customWidth="1"/>
    <col min="5920" max="5920" width="11" style="835" customWidth="1"/>
    <col min="5921" max="5922" width="8.6640625" style="835" customWidth="1"/>
    <col min="5923" max="5923" width="21" style="835" customWidth="1"/>
    <col min="5924" max="5924" width="31.88671875" style="835" customWidth="1"/>
    <col min="5925" max="6159" width="9.109375" style="835"/>
    <col min="6160" max="6160" width="8.5546875" style="835" customWidth="1"/>
    <col min="6161" max="6161" width="45.21875" style="835" customWidth="1"/>
    <col min="6162" max="6162" width="61.6640625" style="835" customWidth="1"/>
    <col min="6163" max="6163" width="10.33203125" style="835" customWidth="1"/>
    <col min="6164" max="6175" width="8.6640625" style="835" customWidth="1"/>
    <col min="6176" max="6176" width="11" style="835" customWidth="1"/>
    <col min="6177" max="6178" width="8.6640625" style="835" customWidth="1"/>
    <col min="6179" max="6179" width="21" style="835" customWidth="1"/>
    <col min="6180" max="6180" width="31.88671875" style="835" customWidth="1"/>
    <col min="6181" max="6415" width="9.109375" style="835"/>
    <col min="6416" max="6416" width="8.5546875" style="835" customWidth="1"/>
    <col min="6417" max="6417" width="45.21875" style="835" customWidth="1"/>
    <col min="6418" max="6418" width="61.6640625" style="835" customWidth="1"/>
    <col min="6419" max="6419" width="10.33203125" style="835" customWidth="1"/>
    <col min="6420" max="6431" width="8.6640625" style="835" customWidth="1"/>
    <col min="6432" max="6432" width="11" style="835" customWidth="1"/>
    <col min="6433" max="6434" width="8.6640625" style="835" customWidth="1"/>
    <col min="6435" max="6435" width="21" style="835" customWidth="1"/>
    <col min="6436" max="6436" width="31.88671875" style="835" customWidth="1"/>
    <col min="6437" max="6671" width="9.109375" style="835"/>
    <col min="6672" max="6672" width="8.5546875" style="835" customWidth="1"/>
    <col min="6673" max="6673" width="45.21875" style="835" customWidth="1"/>
    <col min="6674" max="6674" width="61.6640625" style="835" customWidth="1"/>
    <col min="6675" max="6675" width="10.33203125" style="835" customWidth="1"/>
    <col min="6676" max="6687" width="8.6640625" style="835" customWidth="1"/>
    <col min="6688" max="6688" width="11" style="835" customWidth="1"/>
    <col min="6689" max="6690" width="8.6640625" style="835" customWidth="1"/>
    <col min="6691" max="6691" width="21" style="835" customWidth="1"/>
    <col min="6692" max="6692" width="31.88671875" style="835" customWidth="1"/>
    <col min="6693" max="6927" width="9.109375" style="835"/>
    <col min="6928" max="6928" width="8.5546875" style="835" customWidth="1"/>
    <col min="6929" max="6929" width="45.21875" style="835" customWidth="1"/>
    <col min="6930" max="6930" width="61.6640625" style="835" customWidth="1"/>
    <col min="6931" max="6931" width="10.33203125" style="835" customWidth="1"/>
    <col min="6932" max="6943" width="8.6640625" style="835" customWidth="1"/>
    <col min="6944" max="6944" width="11" style="835" customWidth="1"/>
    <col min="6945" max="6946" width="8.6640625" style="835" customWidth="1"/>
    <col min="6947" max="6947" width="21" style="835" customWidth="1"/>
    <col min="6948" max="6948" width="31.88671875" style="835" customWidth="1"/>
    <col min="6949" max="7183" width="9.109375" style="835"/>
    <col min="7184" max="7184" width="8.5546875" style="835" customWidth="1"/>
    <col min="7185" max="7185" width="45.21875" style="835" customWidth="1"/>
    <col min="7186" max="7186" width="61.6640625" style="835" customWidth="1"/>
    <col min="7187" max="7187" width="10.33203125" style="835" customWidth="1"/>
    <col min="7188" max="7199" width="8.6640625" style="835" customWidth="1"/>
    <col min="7200" max="7200" width="11" style="835" customWidth="1"/>
    <col min="7201" max="7202" width="8.6640625" style="835" customWidth="1"/>
    <col min="7203" max="7203" width="21" style="835" customWidth="1"/>
    <col min="7204" max="7204" width="31.88671875" style="835" customWidth="1"/>
    <col min="7205" max="7439" width="9.109375" style="835"/>
    <col min="7440" max="7440" width="8.5546875" style="835" customWidth="1"/>
    <col min="7441" max="7441" width="45.21875" style="835" customWidth="1"/>
    <col min="7442" max="7442" width="61.6640625" style="835" customWidth="1"/>
    <col min="7443" max="7443" width="10.33203125" style="835" customWidth="1"/>
    <col min="7444" max="7455" width="8.6640625" style="835" customWidth="1"/>
    <col min="7456" max="7456" width="11" style="835" customWidth="1"/>
    <col min="7457" max="7458" width="8.6640625" style="835" customWidth="1"/>
    <col min="7459" max="7459" width="21" style="835" customWidth="1"/>
    <col min="7460" max="7460" width="31.88671875" style="835" customWidth="1"/>
    <col min="7461" max="7695" width="9.109375" style="835"/>
    <col min="7696" max="7696" width="8.5546875" style="835" customWidth="1"/>
    <col min="7697" max="7697" width="45.21875" style="835" customWidth="1"/>
    <col min="7698" max="7698" width="61.6640625" style="835" customWidth="1"/>
    <col min="7699" max="7699" width="10.33203125" style="835" customWidth="1"/>
    <col min="7700" max="7711" width="8.6640625" style="835" customWidth="1"/>
    <col min="7712" max="7712" width="11" style="835" customWidth="1"/>
    <col min="7713" max="7714" width="8.6640625" style="835" customWidth="1"/>
    <col min="7715" max="7715" width="21" style="835" customWidth="1"/>
    <col min="7716" max="7716" width="31.88671875" style="835" customWidth="1"/>
    <col min="7717" max="7951" width="9.109375" style="835"/>
    <col min="7952" max="7952" width="8.5546875" style="835" customWidth="1"/>
    <col min="7953" max="7953" width="45.21875" style="835" customWidth="1"/>
    <col min="7954" max="7954" width="61.6640625" style="835" customWidth="1"/>
    <col min="7955" max="7955" width="10.33203125" style="835" customWidth="1"/>
    <col min="7956" max="7967" width="8.6640625" style="835" customWidth="1"/>
    <col min="7968" max="7968" width="11" style="835" customWidth="1"/>
    <col min="7969" max="7970" width="8.6640625" style="835" customWidth="1"/>
    <col min="7971" max="7971" width="21" style="835" customWidth="1"/>
    <col min="7972" max="7972" width="31.88671875" style="835" customWidth="1"/>
    <col min="7973" max="8207" width="9.109375" style="835"/>
    <col min="8208" max="8208" width="8.5546875" style="835" customWidth="1"/>
    <col min="8209" max="8209" width="45.21875" style="835" customWidth="1"/>
    <col min="8210" max="8210" width="61.6640625" style="835" customWidth="1"/>
    <col min="8211" max="8211" width="10.33203125" style="835" customWidth="1"/>
    <col min="8212" max="8223" width="8.6640625" style="835" customWidth="1"/>
    <col min="8224" max="8224" width="11" style="835" customWidth="1"/>
    <col min="8225" max="8226" width="8.6640625" style="835" customWidth="1"/>
    <col min="8227" max="8227" width="21" style="835" customWidth="1"/>
    <col min="8228" max="8228" width="31.88671875" style="835" customWidth="1"/>
    <col min="8229" max="8463" width="9.109375" style="835"/>
    <col min="8464" max="8464" width="8.5546875" style="835" customWidth="1"/>
    <col min="8465" max="8465" width="45.21875" style="835" customWidth="1"/>
    <col min="8466" max="8466" width="61.6640625" style="835" customWidth="1"/>
    <col min="8467" max="8467" width="10.33203125" style="835" customWidth="1"/>
    <col min="8468" max="8479" width="8.6640625" style="835" customWidth="1"/>
    <col min="8480" max="8480" width="11" style="835" customWidth="1"/>
    <col min="8481" max="8482" width="8.6640625" style="835" customWidth="1"/>
    <col min="8483" max="8483" width="21" style="835" customWidth="1"/>
    <col min="8484" max="8484" width="31.88671875" style="835" customWidth="1"/>
    <col min="8485" max="8719" width="9.109375" style="835"/>
    <col min="8720" max="8720" width="8.5546875" style="835" customWidth="1"/>
    <col min="8721" max="8721" width="45.21875" style="835" customWidth="1"/>
    <col min="8722" max="8722" width="61.6640625" style="835" customWidth="1"/>
    <col min="8723" max="8723" width="10.33203125" style="835" customWidth="1"/>
    <col min="8724" max="8735" width="8.6640625" style="835" customWidth="1"/>
    <col min="8736" max="8736" width="11" style="835" customWidth="1"/>
    <col min="8737" max="8738" width="8.6640625" style="835" customWidth="1"/>
    <col min="8739" max="8739" width="21" style="835" customWidth="1"/>
    <col min="8740" max="8740" width="31.88671875" style="835" customWidth="1"/>
    <col min="8741" max="8975" width="9.109375" style="835"/>
    <col min="8976" max="8976" width="8.5546875" style="835" customWidth="1"/>
    <col min="8977" max="8977" width="45.21875" style="835" customWidth="1"/>
    <col min="8978" max="8978" width="61.6640625" style="835" customWidth="1"/>
    <col min="8979" max="8979" width="10.33203125" style="835" customWidth="1"/>
    <col min="8980" max="8991" width="8.6640625" style="835" customWidth="1"/>
    <col min="8992" max="8992" width="11" style="835" customWidth="1"/>
    <col min="8993" max="8994" width="8.6640625" style="835" customWidth="1"/>
    <col min="8995" max="8995" width="21" style="835" customWidth="1"/>
    <col min="8996" max="8996" width="31.88671875" style="835" customWidth="1"/>
    <col min="8997" max="9231" width="9.109375" style="835"/>
    <col min="9232" max="9232" width="8.5546875" style="835" customWidth="1"/>
    <col min="9233" max="9233" width="45.21875" style="835" customWidth="1"/>
    <col min="9234" max="9234" width="61.6640625" style="835" customWidth="1"/>
    <col min="9235" max="9235" width="10.33203125" style="835" customWidth="1"/>
    <col min="9236" max="9247" width="8.6640625" style="835" customWidth="1"/>
    <col min="9248" max="9248" width="11" style="835" customWidth="1"/>
    <col min="9249" max="9250" width="8.6640625" style="835" customWidth="1"/>
    <col min="9251" max="9251" width="21" style="835" customWidth="1"/>
    <col min="9252" max="9252" width="31.88671875" style="835" customWidth="1"/>
    <col min="9253" max="9487" width="9.109375" style="835"/>
    <col min="9488" max="9488" width="8.5546875" style="835" customWidth="1"/>
    <col min="9489" max="9489" width="45.21875" style="835" customWidth="1"/>
    <col min="9490" max="9490" width="61.6640625" style="835" customWidth="1"/>
    <col min="9491" max="9491" width="10.33203125" style="835" customWidth="1"/>
    <col min="9492" max="9503" width="8.6640625" style="835" customWidth="1"/>
    <col min="9504" max="9504" width="11" style="835" customWidth="1"/>
    <col min="9505" max="9506" width="8.6640625" style="835" customWidth="1"/>
    <col min="9507" max="9507" width="21" style="835" customWidth="1"/>
    <col min="9508" max="9508" width="31.88671875" style="835" customWidth="1"/>
    <col min="9509" max="9743" width="9.109375" style="835"/>
    <col min="9744" max="9744" width="8.5546875" style="835" customWidth="1"/>
    <col min="9745" max="9745" width="45.21875" style="835" customWidth="1"/>
    <col min="9746" max="9746" width="61.6640625" style="835" customWidth="1"/>
    <col min="9747" max="9747" width="10.33203125" style="835" customWidth="1"/>
    <col min="9748" max="9759" width="8.6640625" style="835" customWidth="1"/>
    <col min="9760" max="9760" width="11" style="835" customWidth="1"/>
    <col min="9761" max="9762" width="8.6640625" style="835" customWidth="1"/>
    <col min="9763" max="9763" width="21" style="835" customWidth="1"/>
    <col min="9764" max="9764" width="31.88671875" style="835" customWidth="1"/>
    <col min="9765" max="9999" width="9.109375" style="835"/>
    <col min="10000" max="10000" width="8.5546875" style="835" customWidth="1"/>
    <col min="10001" max="10001" width="45.21875" style="835" customWidth="1"/>
    <col min="10002" max="10002" width="61.6640625" style="835" customWidth="1"/>
    <col min="10003" max="10003" width="10.33203125" style="835" customWidth="1"/>
    <col min="10004" max="10015" width="8.6640625" style="835" customWidth="1"/>
    <col min="10016" max="10016" width="11" style="835" customWidth="1"/>
    <col min="10017" max="10018" width="8.6640625" style="835" customWidth="1"/>
    <col min="10019" max="10019" width="21" style="835" customWidth="1"/>
    <col min="10020" max="10020" width="31.88671875" style="835" customWidth="1"/>
    <col min="10021" max="10255" width="9.109375" style="835"/>
    <col min="10256" max="10256" width="8.5546875" style="835" customWidth="1"/>
    <col min="10257" max="10257" width="45.21875" style="835" customWidth="1"/>
    <col min="10258" max="10258" width="61.6640625" style="835" customWidth="1"/>
    <col min="10259" max="10259" width="10.33203125" style="835" customWidth="1"/>
    <col min="10260" max="10271" width="8.6640625" style="835" customWidth="1"/>
    <col min="10272" max="10272" width="11" style="835" customWidth="1"/>
    <col min="10273" max="10274" width="8.6640625" style="835" customWidth="1"/>
    <col min="10275" max="10275" width="21" style="835" customWidth="1"/>
    <col min="10276" max="10276" width="31.88671875" style="835" customWidth="1"/>
    <col min="10277" max="10511" width="9.109375" style="835"/>
    <col min="10512" max="10512" width="8.5546875" style="835" customWidth="1"/>
    <col min="10513" max="10513" width="45.21875" style="835" customWidth="1"/>
    <col min="10514" max="10514" width="61.6640625" style="835" customWidth="1"/>
    <col min="10515" max="10515" width="10.33203125" style="835" customWidth="1"/>
    <col min="10516" max="10527" width="8.6640625" style="835" customWidth="1"/>
    <col min="10528" max="10528" width="11" style="835" customWidth="1"/>
    <col min="10529" max="10530" width="8.6640625" style="835" customWidth="1"/>
    <col min="10531" max="10531" width="21" style="835" customWidth="1"/>
    <col min="10532" max="10532" width="31.88671875" style="835" customWidth="1"/>
    <col min="10533" max="10767" width="9.109375" style="835"/>
    <col min="10768" max="10768" width="8.5546875" style="835" customWidth="1"/>
    <col min="10769" max="10769" width="45.21875" style="835" customWidth="1"/>
    <col min="10770" max="10770" width="61.6640625" style="835" customWidth="1"/>
    <col min="10771" max="10771" width="10.33203125" style="835" customWidth="1"/>
    <col min="10772" max="10783" width="8.6640625" style="835" customWidth="1"/>
    <col min="10784" max="10784" width="11" style="835" customWidth="1"/>
    <col min="10785" max="10786" width="8.6640625" style="835" customWidth="1"/>
    <col min="10787" max="10787" width="21" style="835" customWidth="1"/>
    <col min="10788" max="10788" width="31.88671875" style="835" customWidth="1"/>
    <col min="10789" max="11023" width="9.109375" style="835"/>
    <col min="11024" max="11024" width="8.5546875" style="835" customWidth="1"/>
    <col min="11025" max="11025" width="45.21875" style="835" customWidth="1"/>
    <col min="11026" max="11026" width="61.6640625" style="835" customWidth="1"/>
    <col min="11027" max="11027" width="10.33203125" style="835" customWidth="1"/>
    <col min="11028" max="11039" width="8.6640625" style="835" customWidth="1"/>
    <col min="11040" max="11040" width="11" style="835" customWidth="1"/>
    <col min="11041" max="11042" width="8.6640625" style="835" customWidth="1"/>
    <col min="11043" max="11043" width="21" style="835" customWidth="1"/>
    <col min="11044" max="11044" width="31.88671875" style="835" customWidth="1"/>
    <col min="11045" max="11279" width="9.109375" style="835"/>
    <col min="11280" max="11280" width="8.5546875" style="835" customWidth="1"/>
    <col min="11281" max="11281" width="45.21875" style="835" customWidth="1"/>
    <col min="11282" max="11282" width="61.6640625" style="835" customWidth="1"/>
    <col min="11283" max="11283" width="10.33203125" style="835" customWidth="1"/>
    <col min="11284" max="11295" width="8.6640625" style="835" customWidth="1"/>
    <col min="11296" max="11296" width="11" style="835" customWidth="1"/>
    <col min="11297" max="11298" width="8.6640625" style="835" customWidth="1"/>
    <col min="11299" max="11299" width="21" style="835" customWidth="1"/>
    <col min="11300" max="11300" width="31.88671875" style="835" customWidth="1"/>
    <col min="11301" max="11535" width="9.109375" style="835"/>
    <col min="11536" max="11536" width="8.5546875" style="835" customWidth="1"/>
    <col min="11537" max="11537" width="45.21875" style="835" customWidth="1"/>
    <col min="11538" max="11538" width="61.6640625" style="835" customWidth="1"/>
    <col min="11539" max="11539" width="10.33203125" style="835" customWidth="1"/>
    <col min="11540" max="11551" width="8.6640625" style="835" customWidth="1"/>
    <col min="11552" max="11552" width="11" style="835" customWidth="1"/>
    <col min="11553" max="11554" width="8.6640625" style="835" customWidth="1"/>
    <col min="11555" max="11555" width="21" style="835" customWidth="1"/>
    <col min="11556" max="11556" width="31.88671875" style="835" customWidth="1"/>
    <col min="11557" max="11791" width="9.109375" style="835"/>
    <col min="11792" max="11792" width="8.5546875" style="835" customWidth="1"/>
    <col min="11793" max="11793" width="45.21875" style="835" customWidth="1"/>
    <col min="11794" max="11794" width="61.6640625" style="835" customWidth="1"/>
    <col min="11795" max="11795" width="10.33203125" style="835" customWidth="1"/>
    <col min="11796" max="11807" width="8.6640625" style="835" customWidth="1"/>
    <col min="11808" max="11808" width="11" style="835" customWidth="1"/>
    <col min="11809" max="11810" width="8.6640625" style="835" customWidth="1"/>
    <col min="11811" max="11811" width="21" style="835" customWidth="1"/>
    <col min="11812" max="11812" width="31.88671875" style="835" customWidth="1"/>
    <col min="11813" max="12047" width="9.109375" style="835"/>
    <col min="12048" max="12048" width="8.5546875" style="835" customWidth="1"/>
    <col min="12049" max="12049" width="45.21875" style="835" customWidth="1"/>
    <col min="12050" max="12050" width="61.6640625" style="835" customWidth="1"/>
    <col min="12051" max="12051" width="10.33203125" style="835" customWidth="1"/>
    <col min="12052" max="12063" width="8.6640625" style="835" customWidth="1"/>
    <col min="12064" max="12064" width="11" style="835" customWidth="1"/>
    <col min="12065" max="12066" width="8.6640625" style="835" customWidth="1"/>
    <col min="12067" max="12067" width="21" style="835" customWidth="1"/>
    <col min="12068" max="12068" width="31.88671875" style="835" customWidth="1"/>
    <col min="12069" max="12303" width="9.109375" style="835"/>
    <col min="12304" max="12304" width="8.5546875" style="835" customWidth="1"/>
    <col min="12305" max="12305" width="45.21875" style="835" customWidth="1"/>
    <col min="12306" max="12306" width="61.6640625" style="835" customWidth="1"/>
    <col min="12307" max="12307" width="10.33203125" style="835" customWidth="1"/>
    <col min="12308" max="12319" width="8.6640625" style="835" customWidth="1"/>
    <col min="12320" max="12320" width="11" style="835" customWidth="1"/>
    <col min="12321" max="12322" width="8.6640625" style="835" customWidth="1"/>
    <col min="12323" max="12323" width="21" style="835" customWidth="1"/>
    <col min="12324" max="12324" width="31.88671875" style="835" customWidth="1"/>
    <col min="12325" max="12559" width="9.109375" style="835"/>
    <col min="12560" max="12560" width="8.5546875" style="835" customWidth="1"/>
    <col min="12561" max="12561" width="45.21875" style="835" customWidth="1"/>
    <col min="12562" max="12562" width="61.6640625" style="835" customWidth="1"/>
    <col min="12563" max="12563" width="10.33203125" style="835" customWidth="1"/>
    <col min="12564" max="12575" width="8.6640625" style="835" customWidth="1"/>
    <col min="12576" max="12576" width="11" style="835" customWidth="1"/>
    <col min="12577" max="12578" width="8.6640625" style="835" customWidth="1"/>
    <col min="12579" max="12579" width="21" style="835" customWidth="1"/>
    <col min="12580" max="12580" width="31.88671875" style="835" customWidth="1"/>
    <col min="12581" max="12815" width="9.109375" style="835"/>
    <col min="12816" max="12816" width="8.5546875" style="835" customWidth="1"/>
    <col min="12817" max="12817" width="45.21875" style="835" customWidth="1"/>
    <col min="12818" max="12818" width="61.6640625" style="835" customWidth="1"/>
    <col min="12819" max="12819" width="10.33203125" style="835" customWidth="1"/>
    <col min="12820" max="12831" width="8.6640625" style="835" customWidth="1"/>
    <col min="12832" max="12832" width="11" style="835" customWidth="1"/>
    <col min="12833" max="12834" width="8.6640625" style="835" customWidth="1"/>
    <col min="12835" max="12835" width="21" style="835" customWidth="1"/>
    <col min="12836" max="12836" width="31.88671875" style="835" customWidth="1"/>
    <col min="12837" max="13071" width="9.109375" style="835"/>
    <col min="13072" max="13072" width="8.5546875" style="835" customWidth="1"/>
    <col min="13073" max="13073" width="45.21875" style="835" customWidth="1"/>
    <col min="13074" max="13074" width="61.6640625" style="835" customWidth="1"/>
    <col min="13075" max="13075" width="10.33203125" style="835" customWidth="1"/>
    <col min="13076" max="13087" width="8.6640625" style="835" customWidth="1"/>
    <col min="13088" max="13088" width="11" style="835" customWidth="1"/>
    <col min="13089" max="13090" width="8.6640625" style="835" customWidth="1"/>
    <col min="13091" max="13091" width="21" style="835" customWidth="1"/>
    <col min="13092" max="13092" width="31.88671875" style="835" customWidth="1"/>
    <col min="13093" max="13327" width="9.109375" style="835"/>
    <col min="13328" max="13328" width="8.5546875" style="835" customWidth="1"/>
    <col min="13329" max="13329" width="45.21875" style="835" customWidth="1"/>
    <col min="13330" max="13330" width="61.6640625" style="835" customWidth="1"/>
    <col min="13331" max="13331" width="10.33203125" style="835" customWidth="1"/>
    <col min="13332" max="13343" width="8.6640625" style="835" customWidth="1"/>
    <col min="13344" max="13344" width="11" style="835" customWidth="1"/>
    <col min="13345" max="13346" width="8.6640625" style="835" customWidth="1"/>
    <col min="13347" max="13347" width="21" style="835" customWidth="1"/>
    <col min="13348" max="13348" width="31.88671875" style="835" customWidth="1"/>
    <col min="13349" max="13583" width="9.109375" style="835"/>
    <col min="13584" max="13584" width="8.5546875" style="835" customWidth="1"/>
    <col min="13585" max="13585" width="45.21875" style="835" customWidth="1"/>
    <col min="13586" max="13586" width="61.6640625" style="835" customWidth="1"/>
    <col min="13587" max="13587" width="10.33203125" style="835" customWidth="1"/>
    <col min="13588" max="13599" width="8.6640625" style="835" customWidth="1"/>
    <col min="13600" max="13600" width="11" style="835" customWidth="1"/>
    <col min="13601" max="13602" width="8.6640625" style="835" customWidth="1"/>
    <col min="13603" max="13603" width="21" style="835" customWidth="1"/>
    <col min="13604" max="13604" width="31.88671875" style="835" customWidth="1"/>
    <col min="13605" max="13839" width="9.109375" style="835"/>
    <col min="13840" max="13840" width="8.5546875" style="835" customWidth="1"/>
    <col min="13841" max="13841" width="45.21875" style="835" customWidth="1"/>
    <col min="13842" max="13842" width="61.6640625" style="835" customWidth="1"/>
    <col min="13843" max="13843" width="10.33203125" style="835" customWidth="1"/>
    <col min="13844" max="13855" width="8.6640625" style="835" customWidth="1"/>
    <col min="13856" max="13856" width="11" style="835" customWidth="1"/>
    <col min="13857" max="13858" width="8.6640625" style="835" customWidth="1"/>
    <col min="13859" max="13859" width="21" style="835" customWidth="1"/>
    <col min="13860" max="13860" width="31.88671875" style="835" customWidth="1"/>
    <col min="13861" max="14095" width="9.109375" style="835"/>
    <col min="14096" max="14096" width="8.5546875" style="835" customWidth="1"/>
    <col min="14097" max="14097" width="45.21875" style="835" customWidth="1"/>
    <col min="14098" max="14098" width="61.6640625" style="835" customWidth="1"/>
    <col min="14099" max="14099" width="10.33203125" style="835" customWidth="1"/>
    <col min="14100" max="14111" width="8.6640625" style="835" customWidth="1"/>
    <col min="14112" max="14112" width="11" style="835" customWidth="1"/>
    <col min="14113" max="14114" width="8.6640625" style="835" customWidth="1"/>
    <col min="14115" max="14115" width="21" style="835" customWidth="1"/>
    <col min="14116" max="14116" width="31.88671875" style="835" customWidth="1"/>
    <col min="14117" max="14351" width="9.109375" style="835"/>
    <col min="14352" max="14352" width="8.5546875" style="835" customWidth="1"/>
    <col min="14353" max="14353" width="45.21875" style="835" customWidth="1"/>
    <col min="14354" max="14354" width="61.6640625" style="835" customWidth="1"/>
    <col min="14355" max="14355" width="10.33203125" style="835" customWidth="1"/>
    <col min="14356" max="14367" width="8.6640625" style="835" customWidth="1"/>
    <col min="14368" max="14368" width="11" style="835" customWidth="1"/>
    <col min="14369" max="14370" width="8.6640625" style="835" customWidth="1"/>
    <col min="14371" max="14371" width="21" style="835" customWidth="1"/>
    <col min="14372" max="14372" width="31.88671875" style="835" customWidth="1"/>
    <col min="14373" max="14607" width="9.109375" style="835"/>
    <col min="14608" max="14608" width="8.5546875" style="835" customWidth="1"/>
    <col min="14609" max="14609" width="45.21875" style="835" customWidth="1"/>
    <col min="14610" max="14610" width="61.6640625" style="835" customWidth="1"/>
    <col min="14611" max="14611" width="10.33203125" style="835" customWidth="1"/>
    <col min="14612" max="14623" width="8.6640625" style="835" customWidth="1"/>
    <col min="14624" max="14624" width="11" style="835" customWidth="1"/>
    <col min="14625" max="14626" width="8.6640625" style="835" customWidth="1"/>
    <col min="14627" max="14627" width="21" style="835" customWidth="1"/>
    <col min="14628" max="14628" width="31.88671875" style="835" customWidth="1"/>
    <col min="14629" max="14863" width="9.109375" style="835"/>
    <col min="14864" max="14864" width="8.5546875" style="835" customWidth="1"/>
    <col min="14865" max="14865" width="45.21875" style="835" customWidth="1"/>
    <col min="14866" max="14866" width="61.6640625" style="835" customWidth="1"/>
    <col min="14867" max="14867" width="10.33203125" style="835" customWidth="1"/>
    <col min="14868" max="14879" width="8.6640625" style="835" customWidth="1"/>
    <col min="14880" max="14880" width="11" style="835" customWidth="1"/>
    <col min="14881" max="14882" width="8.6640625" style="835" customWidth="1"/>
    <col min="14883" max="14883" width="21" style="835" customWidth="1"/>
    <col min="14884" max="14884" width="31.88671875" style="835" customWidth="1"/>
    <col min="14885" max="15119" width="9.109375" style="835"/>
    <col min="15120" max="15120" width="8.5546875" style="835" customWidth="1"/>
    <col min="15121" max="15121" width="45.21875" style="835" customWidth="1"/>
    <col min="15122" max="15122" width="61.6640625" style="835" customWidth="1"/>
    <col min="15123" max="15123" width="10.33203125" style="835" customWidth="1"/>
    <col min="15124" max="15135" width="8.6640625" style="835" customWidth="1"/>
    <col min="15136" max="15136" width="11" style="835" customWidth="1"/>
    <col min="15137" max="15138" width="8.6640625" style="835" customWidth="1"/>
    <col min="15139" max="15139" width="21" style="835" customWidth="1"/>
    <col min="15140" max="15140" width="31.88671875" style="835" customWidth="1"/>
    <col min="15141" max="15375" width="9.109375" style="835"/>
    <col min="15376" max="15376" width="8.5546875" style="835" customWidth="1"/>
    <col min="15377" max="15377" width="45.21875" style="835" customWidth="1"/>
    <col min="15378" max="15378" width="61.6640625" style="835" customWidth="1"/>
    <col min="15379" max="15379" width="10.33203125" style="835" customWidth="1"/>
    <col min="15380" max="15391" width="8.6640625" style="835" customWidth="1"/>
    <col min="15392" max="15392" width="11" style="835" customWidth="1"/>
    <col min="15393" max="15394" width="8.6640625" style="835" customWidth="1"/>
    <col min="15395" max="15395" width="21" style="835" customWidth="1"/>
    <col min="15396" max="15396" width="31.88671875" style="835" customWidth="1"/>
    <col min="15397" max="15631" width="9.109375" style="835"/>
    <col min="15632" max="15632" width="8.5546875" style="835" customWidth="1"/>
    <col min="15633" max="15633" width="45.21875" style="835" customWidth="1"/>
    <col min="15634" max="15634" width="61.6640625" style="835" customWidth="1"/>
    <col min="15635" max="15635" width="10.33203125" style="835" customWidth="1"/>
    <col min="15636" max="15647" width="8.6640625" style="835" customWidth="1"/>
    <col min="15648" max="15648" width="11" style="835" customWidth="1"/>
    <col min="15649" max="15650" width="8.6640625" style="835" customWidth="1"/>
    <col min="15651" max="15651" width="21" style="835" customWidth="1"/>
    <col min="15652" max="15652" width="31.88671875" style="835" customWidth="1"/>
    <col min="15653" max="15887" width="9.109375" style="835"/>
    <col min="15888" max="15888" width="8.5546875" style="835" customWidth="1"/>
    <col min="15889" max="15889" width="45.21875" style="835" customWidth="1"/>
    <col min="15890" max="15890" width="61.6640625" style="835" customWidth="1"/>
    <col min="15891" max="15891" width="10.33203125" style="835" customWidth="1"/>
    <col min="15892" max="15903" width="8.6640625" style="835" customWidth="1"/>
    <col min="15904" max="15904" width="11" style="835" customWidth="1"/>
    <col min="15905" max="15906" width="8.6640625" style="835" customWidth="1"/>
    <col min="15907" max="15907" width="21" style="835" customWidth="1"/>
    <col min="15908" max="15908" width="31.88671875" style="835" customWidth="1"/>
    <col min="15909" max="16143" width="9.109375" style="835"/>
    <col min="16144" max="16144" width="8.5546875" style="835" customWidth="1"/>
    <col min="16145" max="16145" width="45.21875" style="835" customWidth="1"/>
    <col min="16146" max="16146" width="61.6640625" style="835" customWidth="1"/>
    <col min="16147" max="16147" width="10.33203125" style="835" customWidth="1"/>
    <col min="16148" max="16159" width="8.6640625" style="835" customWidth="1"/>
    <col min="16160" max="16160" width="11" style="835" customWidth="1"/>
    <col min="16161" max="16162" width="8.6640625" style="835" customWidth="1"/>
    <col min="16163" max="16163" width="21" style="835" customWidth="1"/>
    <col min="16164" max="16164" width="31.88671875" style="835" customWidth="1"/>
    <col min="16165" max="16384" width="9.109375" style="835"/>
  </cols>
  <sheetData>
    <row r="1" spans="1:36" s="803" customFormat="1" ht="24" customHeight="1">
      <c r="A1" s="1259" t="s">
        <v>591</v>
      </c>
      <c r="B1" s="1259"/>
      <c r="C1" s="1259"/>
      <c r="D1" s="949"/>
      <c r="R1" s="804"/>
      <c r="AG1" s="804"/>
      <c r="AI1" s="958"/>
    </row>
    <row r="2" spans="1:36" s="803" customFormat="1" ht="24" customHeight="1" thickBot="1">
      <c r="A2" s="805" t="s">
        <v>592</v>
      </c>
      <c r="B2" s="805"/>
      <c r="C2" s="805"/>
      <c r="D2" s="950"/>
      <c r="R2" s="804"/>
      <c r="AG2" s="804"/>
      <c r="AI2" s="958"/>
    </row>
    <row r="3" spans="1:36" s="803" customFormat="1" ht="24" customHeight="1" thickBot="1">
      <c r="A3" s="1285" t="s">
        <v>37</v>
      </c>
      <c r="B3" s="1262" t="s">
        <v>593</v>
      </c>
      <c r="C3" s="1264" t="s">
        <v>523</v>
      </c>
      <c r="D3" s="1277" t="s">
        <v>42</v>
      </c>
      <c r="E3" s="1287" t="s">
        <v>840</v>
      </c>
      <c r="F3" s="1288"/>
      <c r="G3" s="1288"/>
      <c r="H3" s="1288"/>
      <c r="I3" s="1288"/>
      <c r="J3" s="1288"/>
      <c r="K3" s="1288"/>
      <c r="L3" s="1288"/>
      <c r="M3" s="1288"/>
      <c r="N3" s="1288"/>
      <c r="O3" s="1288"/>
      <c r="P3" s="1288"/>
      <c r="Q3" s="1288"/>
      <c r="R3" s="1288"/>
      <c r="S3" s="1289"/>
      <c r="T3" s="1268" t="s">
        <v>594</v>
      </c>
      <c r="U3" s="1269"/>
      <c r="V3" s="1269"/>
      <c r="W3" s="1269"/>
      <c r="X3" s="1269"/>
      <c r="Y3" s="1269"/>
      <c r="Z3" s="1269"/>
      <c r="AA3" s="1269"/>
      <c r="AB3" s="1269"/>
      <c r="AC3" s="1269"/>
      <c r="AD3" s="1269"/>
      <c r="AE3" s="1269"/>
      <c r="AF3" s="1269"/>
      <c r="AG3" s="1269"/>
      <c r="AH3" s="1270"/>
      <c r="AI3" s="1271" t="s">
        <v>677</v>
      </c>
      <c r="AJ3" s="1257" t="s">
        <v>595</v>
      </c>
    </row>
    <row r="4" spans="1:36" s="803" customFormat="1" ht="24" customHeight="1" thickBot="1">
      <c r="A4" s="1286"/>
      <c r="B4" s="1263"/>
      <c r="C4" s="1265"/>
      <c r="D4" s="1267"/>
      <c r="E4" s="806" t="s">
        <v>596</v>
      </c>
      <c r="F4" s="807" t="s">
        <v>597</v>
      </c>
      <c r="G4" s="807" t="s">
        <v>598</v>
      </c>
      <c r="H4" s="807" t="s">
        <v>599</v>
      </c>
      <c r="I4" s="808" t="s">
        <v>600</v>
      </c>
      <c r="J4" s="807" t="s">
        <v>601</v>
      </c>
      <c r="K4" s="809" t="s">
        <v>602</v>
      </c>
      <c r="L4" s="810" t="s">
        <v>603</v>
      </c>
      <c r="M4" s="810" t="s">
        <v>604</v>
      </c>
      <c r="N4" s="810" t="s">
        <v>605</v>
      </c>
      <c r="O4" s="810" t="s">
        <v>606</v>
      </c>
      <c r="P4" s="811" t="s">
        <v>607</v>
      </c>
      <c r="Q4" s="812" t="s">
        <v>608</v>
      </c>
      <c r="R4" s="813" t="s">
        <v>609</v>
      </c>
      <c r="S4" s="814" t="s">
        <v>610</v>
      </c>
      <c r="T4" s="806" t="s">
        <v>596</v>
      </c>
      <c r="U4" s="807" t="s">
        <v>597</v>
      </c>
      <c r="V4" s="807" t="s">
        <v>598</v>
      </c>
      <c r="W4" s="807" t="s">
        <v>599</v>
      </c>
      <c r="X4" s="808" t="s">
        <v>600</v>
      </c>
      <c r="Y4" s="807" t="s">
        <v>601</v>
      </c>
      <c r="Z4" s="809" t="s">
        <v>602</v>
      </c>
      <c r="AA4" s="810" t="s">
        <v>603</v>
      </c>
      <c r="AB4" s="810" t="s">
        <v>604</v>
      </c>
      <c r="AC4" s="810" t="s">
        <v>605</v>
      </c>
      <c r="AD4" s="810" t="s">
        <v>606</v>
      </c>
      <c r="AE4" s="811" t="s">
        <v>607</v>
      </c>
      <c r="AF4" s="812" t="s">
        <v>608</v>
      </c>
      <c r="AG4" s="813" t="s">
        <v>609</v>
      </c>
      <c r="AH4" s="814" t="s">
        <v>610</v>
      </c>
      <c r="AI4" s="1272"/>
      <c r="AJ4" s="1258"/>
    </row>
    <row r="5" spans="1:36" s="803" customFormat="1" ht="24" customHeight="1">
      <c r="A5" s="1023"/>
      <c r="B5" s="815"/>
      <c r="C5" s="815"/>
      <c r="D5" s="951"/>
      <c r="E5" s="816"/>
      <c r="F5" s="817"/>
      <c r="G5" s="817"/>
      <c r="H5" s="817"/>
      <c r="I5" s="818"/>
      <c r="J5" s="817"/>
      <c r="K5" s="818"/>
      <c r="L5" s="817"/>
      <c r="M5" s="817"/>
      <c r="N5" s="818"/>
      <c r="O5" s="817"/>
      <c r="P5" s="819"/>
      <c r="Q5" s="820"/>
      <c r="R5" s="821"/>
      <c r="S5" s="819"/>
      <c r="T5" s="816"/>
      <c r="U5" s="817"/>
      <c r="V5" s="817"/>
      <c r="W5" s="817"/>
      <c r="X5" s="818"/>
      <c r="Y5" s="817"/>
      <c r="Z5" s="818"/>
      <c r="AA5" s="817"/>
      <c r="AB5" s="817"/>
      <c r="AC5" s="818"/>
      <c r="AD5" s="817"/>
      <c r="AE5" s="819"/>
      <c r="AF5" s="820"/>
      <c r="AG5" s="821"/>
      <c r="AH5" s="819"/>
      <c r="AI5" s="959"/>
      <c r="AJ5" s="819"/>
    </row>
    <row r="6" spans="1:36" s="826" customFormat="1" ht="24" customHeight="1">
      <c r="A6" s="822">
        <v>1</v>
      </c>
      <c r="B6" s="1024" t="s">
        <v>841</v>
      </c>
      <c r="C6" s="1025" t="s">
        <v>842</v>
      </c>
      <c r="D6" s="946" t="s">
        <v>611</v>
      </c>
      <c r="E6" s="1026"/>
      <c r="F6" s="1027"/>
      <c r="G6" s="1027"/>
      <c r="H6" s="1027"/>
      <c r="I6" s="1028"/>
      <c r="J6" s="1027"/>
      <c r="K6" s="1028"/>
      <c r="L6" s="1027"/>
      <c r="M6" s="1027"/>
      <c r="N6" s="1028"/>
      <c r="O6" s="1027"/>
      <c r="P6" s="824"/>
      <c r="Q6" s="1026"/>
      <c r="R6" s="825"/>
      <c r="S6" s="824"/>
      <c r="T6" s="1026"/>
      <c r="U6" s="1027"/>
      <c r="V6" s="1027"/>
      <c r="W6" s="1027"/>
      <c r="X6" s="1028"/>
      <c r="Y6" s="1027"/>
      <c r="Z6" s="1028"/>
      <c r="AA6" s="1027"/>
      <c r="AB6" s="1027"/>
      <c r="AC6" s="1028"/>
      <c r="AD6" s="1027"/>
      <c r="AE6" s="824"/>
      <c r="AF6" s="1026"/>
      <c r="AG6" s="825"/>
      <c r="AH6" s="824"/>
      <c r="AI6" s="960"/>
      <c r="AJ6" s="824"/>
    </row>
    <row r="7" spans="1:36" ht="24" customHeight="1">
      <c r="A7" s="822"/>
      <c r="B7" s="1029" t="s">
        <v>843</v>
      </c>
      <c r="C7" s="1030" t="s">
        <v>612</v>
      </c>
      <c r="D7" s="952"/>
      <c r="E7" s="829"/>
      <c r="F7" s="830"/>
      <c r="G7" s="830"/>
      <c r="H7" s="830"/>
      <c r="I7" s="831"/>
      <c r="J7" s="830"/>
      <c r="K7" s="831"/>
      <c r="L7" s="830"/>
      <c r="M7" s="830"/>
      <c r="N7" s="831"/>
      <c r="O7" s="830"/>
      <c r="P7" s="832"/>
      <c r="Q7" s="829"/>
      <c r="R7" s="833"/>
      <c r="S7" s="832"/>
      <c r="T7" s="829"/>
      <c r="U7" s="830"/>
      <c r="V7" s="830"/>
      <c r="W7" s="830"/>
      <c r="X7" s="831"/>
      <c r="Y7" s="830"/>
      <c r="Z7" s="831"/>
      <c r="AA7" s="830"/>
      <c r="AB7" s="830"/>
      <c r="AC7" s="831"/>
      <c r="AD7" s="830"/>
      <c r="AE7" s="832"/>
      <c r="AF7" s="829"/>
      <c r="AG7" s="833"/>
      <c r="AH7" s="832"/>
      <c r="AI7" s="846"/>
      <c r="AJ7" s="834"/>
    </row>
    <row r="8" spans="1:36" ht="24" customHeight="1">
      <c r="A8" s="974"/>
      <c r="B8" s="1029" t="s">
        <v>844</v>
      </c>
      <c r="C8" s="1030" t="s">
        <v>845</v>
      </c>
      <c r="D8" s="952"/>
      <c r="E8" s="829"/>
      <c r="F8" s="830"/>
      <c r="G8" s="830"/>
      <c r="H8" s="830"/>
      <c r="I8" s="831"/>
      <c r="J8" s="830"/>
      <c r="K8" s="831"/>
      <c r="L8" s="830"/>
      <c r="M8" s="830"/>
      <c r="N8" s="831"/>
      <c r="O8" s="830"/>
      <c r="P8" s="832"/>
      <c r="Q8" s="829">
        <f>SUM(K8:P8)</f>
        <v>0</v>
      </c>
      <c r="R8" s="833"/>
      <c r="S8" s="832">
        <f>Q8*R8</f>
        <v>0</v>
      </c>
      <c r="T8" s="829"/>
      <c r="U8" s="830"/>
      <c r="V8" s="830"/>
      <c r="W8" s="830"/>
      <c r="X8" s="831"/>
      <c r="Y8" s="830"/>
      <c r="Z8" s="831"/>
      <c r="AA8" s="830"/>
      <c r="AB8" s="830"/>
      <c r="AC8" s="831"/>
      <c r="AD8" s="830"/>
      <c r="AE8" s="832"/>
      <c r="AF8" s="829">
        <f>SUM(Z8:AE8)</f>
        <v>0</v>
      </c>
      <c r="AG8" s="833"/>
      <c r="AH8" s="832">
        <f>AF8*AG8</f>
        <v>0</v>
      </c>
      <c r="AI8" s="846"/>
      <c r="AJ8" s="834"/>
    </row>
    <row r="9" spans="1:36" ht="24" customHeight="1">
      <c r="A9" s="974"/>
      <c r="B9" s="1029"/>
      <c r="C9" s="1031"/>
      <c r="D9" s="1032"/>
      <c r="E9" s="829"/>
      <c r="F9" s="830"/>
      <c r="G9" s="830"/>
      <c r="H9" s="830"/>
      <c r="I9" s="831"/>
      <c r="J9" s="830"/>
      <c r="K9" s="831"/>
      <c r="L9" s="830"/>
      <c r="M9" s="830"/>
      <c r="N9" s="831"/>
      <c r="O9" s="830"/>
      <c r="P9" s="832"/>
      <c r="Q9" s="829">
        <f>SUM(K9:P9)</f>
        <v>0</v>
      </c>
      <c r="R9" s="833"/>
      <c r="S9" s="832">
        <f>Q9*R9</f>
        <v>0</v>
      </c>
      <c r="T9" s="829"/>
      <c r="U9" s="830"/>
      <c r="V9" s="830"/>
      <c r="W9" s="830"/>
      <c r="X9" s="831"/>
      <c r="Y9" s="830"/>
      <c r="Z9" s="831"/>
      <c r="AA9" s="830"/>
      <c r="AB9" s="830"/>
      <c r="AC9" s="831"/>
      <c r="AD9" s="830"/>
      <c r="AE9" s="832"/>
      <c r="AF9" s="829">
        <f>SUM(Z9:AE9)</f>
        <v>0</v>
      </c>
      <c r="AG9" s="833"/>
      <c r="AH9" s="832">
        <f>AF9*AG9</f>
        <v>0</v>
      </c>
      <c r="AI9" s="846"/>
      <c r="AJ9" s="834"/>
    </row>
    <row r="10" spans="1:36" s="826" customFormat="1" ht="24" customHeight="1">
      <c r="A10" s="836">
        <v>2</v>
      </c>
      <c r="B10" s="1024" t="s">
        <v>846</v>
      </c>
      <c r="C10" s="1033" t="s">
        <v>847</v>
      </c>
      <c r="D10" s="946" t="s">
        <v>619</v>
      </c>
      <c r="E10" s="841"/>
      <c r="F10" s="842"/>
      <c r="G10" s="842"/>
      <c r="H10" s="842"/>
      <c r="I10" s="842"/>
      <c r="J10" s="842"/>
      <c r="K10" s="843"/>
      <c r="L10" s="842"/>
      <c r="M10" s="842"/>
      <c r="N10" s="843"/>
      <c r="O10" s="842"/>
      <c r="P10" s="844"/>
      <c r="Q10" s="841">
        <f>SUM(K10:P10)</f>
        <v>0</v>
      </c>
      <c r="R10" s="825"/>
      <c r="S10" s="844">
        <f>Q10*R10</f>
        <v>0</v>
      </c>
      <c r="T10" s="841"/>
      <c r="U10" s="842"/>
      <c r="V10" s="842"/>
      <c r="W10" s="842"/>
      <c r="X10" s="842"/>
      <c r="Y10" s="842"/>
      <c r="Z10" s="843"/>
      <c r="AA10" s="842"/>
      <c r="AB10" s="842"/>
      <c r="AC10" s="843"/>
      <c r="AD10" s="842"/>
      <c r="AE10" s="844"/>
      <c r="AF10" s="841">
        <f>SUM(Z10:AE10)</f>
        <v>0</v>
      </c>
      <c r="AG10" s="825"/>
      <c r="AH10" s="844">
        <f>AF10*AG10</f>
        <v>0</v>
      </c>
      <c r="AI10" s="960"/>
      <c r="AJ10" s="824"/>
    </row>
    <row r="11" spans="1:36" ht="24" customHeight="1">
      <c r="A11" s="836"/>
      <c r="B11" s="1034"/>
      <c r="C11" s="1030" t="s">
        <v>612</v>
      </c>
      <c r="D11" s="953"/>
      <c r="E11" s="829"/>
      <c r="F11" s="830"/>
      <c r="G11" s="830"/>
      <c r="H11" s="830"/>
      <c r="I11" s="830"/>
      <c r="J11" s="830"/>
      <c r="K11" s="831"/>
      <c r="L11" s="830"/>
      <c r="M11" s="830"/>
      <c r="N11" s="831"/>
      <c r="O11" s="830"/>
      <c r="P11" s="832"/>
      <c r="Q11" s="829">
        <f>SUM(K11:P11)</f>
        <v>0</v>
      </c>
      <c r="R11" s="833"/>
      <c r="S11" s="832">
        <f>Q11*R11</f>
        <v>0</v>
      </c>
      <c r="T11" s="829"/>
      <c r="U11" s="830"/>
      <c r="V11" s="830"/>
      <c r="W11" s="830"/>
      <c r="X11" s="830"/>
      <c r="Y11" s="830"/>
      <c r="Z11" s="831"/>
      <c r="AA11" s="830"/>
      <c r="AB11" s="830"/>
      <c r="AC11" s="831"/>
      <c r="AD11" s="830"/>
      <c r="AE11" s="832"/>
      <c r="AF11" s="829">
        <f>SUM(Z11:AE11)</f>
        <v>0</v>
      </c>
      <c r="AG11" s="833"/>
      <c r="AH11" s="832">
        <f>AF11*AG11</f>
        <v>0</v>
      </c>
      <c r="AI11" s="846"/>
      <c r="AJ11" s="834"/>
    </row>
    <row r="12" spans="1:36" s="826" customFormat="1" ht="24" customHeight="1">
      <c r="A12" s="836">
        <v>3</v>
      </c>
      <c r="B12" s="1035" t="s">
        <v>848</v>
      </c>
      <c r="C12" s="1033" t="s">
        <v>849</v>
      </c>
      <c r="D12" s="946" t="s">
        <v>619</v>
      </c>
      <c r="E12" s="841"/>
      <c r="F12" s="842"/>
      <c r="G12" s="842"/>
      <c r="H12" s="842"/>
      <c r="I12" s="842"/>
      <c r="J12" s="842"/>
      <c r="K12" s="843"/>
      <c r="L12" s="842"/>
      <c r="M12" s="842"/>
      <c r="N12" s="843"/>
      <c r="O12" s="842"/>
      <c r="P12" s="844"/>
      <c r="Q12" s="841"/>
      <c r="R12" s="825"/>
      <c r="S12" s="844"/>
      <c r="T12" s="841"/>
      <c r="U12" s="842"/>
      <c r="V12" s="842"/>
      <c r="W12" s="842"/>
      <c r="X12" s="842"/>
      <c r="Y12" s="842"/>
      <c r="Z12" s="843"/>
      <c r="AA12" s="842"/>
      <c r="AB12" s="842"/>
      <c r="AC12" s="843"/>
      <c r="AD12" s="842"/>
      <c r="AE12" s="844"/>
      <c r="AF12" s="841"/>
      <c r="AG12" s="825"/>
      <c r="AH12" s="844"/>
      <c r="AI12" s="960"/>
      <c r="AJ12" s="824"/>
    </row>
    <row r="13" spans="1:36" ht="24" customHeight="1">
      <c r="A13" s="974"/>
      <c r="B13" s="1029"/>
      <c r="C13" s="1030" t="s">
        <v>612</v>
      </c>
      <c r="D13" s="952"/>
      <c r="E13" s="829"/>
      <c r="F13" s="830"/>
      <c r="G13" s="830"/>
      <c r="H13" s="830"/>
      <c r="I13" s="830"/>
      <c r="J13" s="830"/>
      <c r="K13" s="831"/>
      <c r="L13" s="830"/>
      <c r="M13" s="830"/>
      <c r="N13" s="831"/>
      <c r="O13" s="830"/>
      <c r="P13" s="832"/>
      <c r="Q13" s="829">
        <f>SUM(K13:P13)</f>
        <v>0</v>
      </c>
      <c r="R13" s="833"/>
      <c r="S13" s="832">
        <f>Q13*R13</f>
        <v>0</v>
      </c>
      <c r="T13" s="829"/>
      <c r="U13" s="830"/>
      <c r="V13" s="830"/>
      <c r="W13" s="830"/>
      <c r="X13" s="830"/>
      <c r="Y13" s="830"/>
      <c r="Z13" s="831"/>
      <c r="AA13" s="830"/>
      <c r="AB13" s="830"/>
      <c r="AC13" s="831"/>
      <c r="AD13" s="830"/>
      <c r="AE13" s="832"/>
      <c r="AF13" s="829">
        <f>SUM(Z13:AE13)</f>
        <v>0</v>
      </c>
      <c r="AG13" s="833"/>
      <c r="AH13" s="832">
        <f>AF13*AG13</f>
        <v>0</v>
      </c>
      <c r="AI13" s="846"/>
      <c r="AJ13" s="834"/>
    </row>
    <row r="14" spans="1:36" ht="24" customHeight="1">
      <c r="A14" s="836"/>
      <c r="B14" s="1036"/>
      <c r="C14" s="1030" t="s">
        <v>850</v>
      </c>
      <c r="D14" s="954"/>
      <c r="E14" s="829"/>
      <c r="F14" s="830"/>
      <c r="G14" s="830"/>
      <c r="H14" s="830"/>
      <c r="I14" s="830"/>
      <c r="J14" s="830"/>
      <c r="K14" s="831"/>
      <c r="L14" s="830"/>
      <c r="M14" s="830"/>
      <c r="N14" s="831"/>
      <c r="O14" s="830"/>
      <c r="P14" s="832"/>
      <c r="Q14" s="829">
        <f>SUM(K14:P14)</f>
        <v>0</v>
      </c>
      <c r="R14" s="833"/>
      <c r="S14" s="832">
        <f>Q14*R14</f>
        <v>0</v>
      </c>
      <c r="T14" s="829"/>
      <c r="U14" s="830"/>
      <c r="V14" s="830"/>
      <c r="W14" s="830"/>
      <c r="X14" s="830"/>
      <c r="Y14" s="830"/>
      <c r="Z14" s="831"/>
      <c r="AA14" s="830"/>
      <c r="AB14" s="830"/>
      <c r="AC14" s="831"/>
      <c r="AD14" s="830"/>
      <c r="AE14" s="832"/>
      <c r="AF14" s="829">
        <f>SUM(Z14:AE14)</f>
        <v>0</v>
      </c>
      <c r="AG14" s="833"/>
      <c r="AH14" s="832">
        <f>AF14*AG14</f>
        <v>0</v>
      </c>
      <c r="AI14" s="846"/>
      <c r="AJ14" s="834"/>
    </row>
    <row r="15" spans="1:36" ht="24" customHeight="1">
      <c r="A15" s="836"/>
      <c r="B15" s="1036"/>
      <c r="C15" s="1037"/>
      <c r="D15" s="954"/>
      <c r="E15" s="829"/>
      <c r="F15" s="830"/>
      <c r="G15" s="830"/>
      <c r="H15" s="830"/>
      <c r="I15" s="830"/>
      <c r="J15" s="830"/>
      <c r="K15" s="831"/>
      <c r="L15" s="830"/>
      <c r="M15" s="830"/>
      <c r="N15" s="831"/>
      <c r="O15" s="830"/>
      <c r="P15" s="832"/>
      <c r="Q15" s="829">
        <f>SUM(K15:P15)</f>
        <v>0</v>
      </c>
      <c r="R15" s="833"/>
      <c r="S15" s="832">
        <f>Q15*R15</f>
        <v>0</v>
      </c>
      <c r="T15" s="829"/>
      <c r="U15" s="830"/>
      <c r="V15" s="830"/>
      <c r="W15" s="830"/>
      <c r="X15" s="830"/>
      <c r="Y15" s="830"/>
      <c r="Z15" s="831"/>
      <c r="AA15" s="830"/>
      <c r="AB15" s="830"/>
      <c r="AC15" s="831"/>
      <c r="AD15" s="830"/>
      <c r="AE15" s="832"/>
      <c r="AF15" s="829">
        <f>SUM(Z15:AE15)</f>
        <v>0</v>
      </c>
      <c r="AG15" s="833"/>
      <c r="AH15" s="832">
        <f>AF15*AG15</f>
        <v>0</v>
      </c>
      <c r="AI15" s="846"/>
      <c r="AJ15" s="834"/>
    </row>
    <row r="16" spans="1:36" s="826" customFormat="1" ht="24" customHeight="1">
      <c r="A16" s="836">
        <v>4</v>
      </c>
      <c r="B16" s="1024" t="s">
        <v>851</v>
      </c>
      <c r="C16" s="1033" t="s">
        <v>852</v>
      </c>
      <c r="D16" s="946" t="s">
        <v>619</v>
      </c>
      <c r="E16" s="841"/>
      <c r="F16" s="842"/>
      <c r="G16" s="842"/>
      <c r="H16" s="842"/>
      <c r="I16" s="842"/>
      <c r="J16" s="842"/>
      <c r="K16" s="843"/>
      <c r="L16" s="842"/>
      <c r="M16" s="842"/>
      <c r="N16" s="843"/>
      <c r="O16" s="842"/>
      <c r="P16" s="844"/>
      <c r="Q16" s="841">
        <f>SUM(K16:P16)</f>
        <v>0</v>
      </c>
      <c r="R16" s="825"/>
      <c r="S16" s="844">
        <f>Q16*R16</f>
        <v>0</v>
      </c>
      <c r="T16" s="841"/>
      <c r="U16" s="842"/>
      <c r="V16" s="842"/>
      <c r="W16" s="842"/>
      <c r="X16" s="842"/>
      <c r="Y16" s="842"/>
      <c r="Z16" s="843"/>
      <c r="AA16" s="842"/>
      <c r="AB16" s="842"/>
      <c r="AC16" s="843"/>
      <c r="AD16" s="842"/>
      <c r="AE16" s="844"/>
      <c r="AF16" s="841">
        <f>SUM(Z16:AE16)</f>
        <v>0</v>
      </c>
      <c r="AG16" s="825"/>
      <c r="AH16" s="844">
        <f>AF16*AG16</f>
        <v>0</v>
      </c>
      <c r="AI16" s="960"/>
      <c r="AJ16" s="824"/>
    </row>
    <row r="17" spans="1:36" ht="24" customHeight="1">
      <c r="A17" s="836"/>
      <c r="B17" s="1034" t="s">
        <v>853</v>
      </c>
      <c r="C17" s="1030" t="s">
        <v>612</v>
      </c>
      <c r="D17" s="953"/>
      <c r="E17" s="829"/>
      <c r="F17" s="830"/>
      <c r="G17" s="830"/>
      <c r="H17" s="830"/>
      <c r="I17" s="830"/>
      <c r="J17" s="830"/>
      <c r="K17" s="831"/>
      <c r="L17" s="830"/>
      <c r="M17" s="830"/>
      <c r="N17" s="831"/>
      <c r="O17" s="830"/>
      <c r="P17" s="832"/>
      <c r="Q17" s="829">
        <f>SUM(K17:P17)</f>
        <v>0</v>
      </c>
      <c r="R17" s="833"/>
      <c r="S17" s="832">
        <f>Q17*R17</f>
        <v>0</v>
      </c>
      <c r="T17" s="829"/>
      <c r="U17" s="830"/>
      <c r="V17" s="830"/>
      <c r="W17" s="830"/>
      <c r="X17" s="830"/>
      <c r="Y17" s="830"/>
      <c r="Z17" s="831"/>
      <c r="AA17" s="830"/>
      <c r="AB17" s="830"/>
      <c r="AC17" s="831"/>
      <c r="AD17" s="830"/>
      <c r="AE17" s="832"/>
      <c r="AF17" s="829">
        <f>SUM(Z17:AE17)</f>
        <v>0</v>
      </c>
      <c r="AG17" s="833"/>
      <c r="AH17" s="832">
        <f>AF17*AG17</f>
        <v>0</v>
      </c>
      <c r="AI17" s="846"/>
      <c r="AJ17" s="834"/>
    </row>
    <row r="18" spans="1:36">
      <c r="A18" s="836">
        <v>5</v>
      </c>
      <c r="B18" s="1024" t="s">
        <v>625</v>
      </c>
      <c r="C18" s="1033" t="s">
        <v>854</v>
      </c>
      <c r="D18" s="947"/>
      <c r="E18" s="829"/>
      <c r="F18" s="830"/>
      <c r="G18" s="830"/>
      <c r="H18" s="830"/>
      <c r="I18" s="830"/>
      <c r="J18" s="830"/>
      <c r="K18" s="831"/>
      <c r="L18" s="830"/>
      <c r="M18" s="830"/>
      <c r="N18" s="831"/>
      <c r="O18" s="830"/>
      <c r="P18" s="832"/>
      <c r="Q18" s="829"/>
      <c r="R18" s="833"/>
      <c r="S18" s="832"/>
      <c r="T18" s="829"/>
      <c r="U18" s="830"/>
      <c r="V18" s="830"/>
      <c r="W18" s="830"/>
      <c r="X18" s="830"/>
      <c r="Y18" s="830"/>
      <c r="Z18" s="831"/>
      <c r="AA18" s="830"/>
      <c r="AB18" s="830"/>
      <c r="AC18" s="831"/>
      <c r="AD18" s="830"/>
      <c r="AE18" s="832"/>
      <c r="AF18" s="829"/>
      <c r="AG18" s="833"/>
      <c r="AH18" s="832"/>
      <c r="AI18" s="846"/>
      <c r="AJ18" s="834"/>
    </row>
    <row r="19" spans="1:36">
      <c r="A19" s="836"/>
      <c r="B19" s="823" t="s">
        <v>626</v>
      </c>
      <c r="C19" s="1038" t="s">
        <v>615</v>
      </c>
      <c r="D19" s="954"/>
      <c r="E19" s="829"/>
      <c r="F19" s="830"/>
      <c r="G19" s="830"/>
      <c r="H19" s="830"/>
      <c r="I19" s="830"/>
      <c r="J19" s="830"/>
      <c r="K19" s="831"/>
      <c r="L19" s="830"/>
      <c r="M19" s="830"/>
      <c r="N19" s="831"/>
      <c r="O19" s="830"/>
      <c r="P19" s="832"/>
      <c r="Q19" s="829"/>
      <c r="R19" s="833"/>
      <c r="S19" s="832"/>
      <c r="T19" s="829"/>
      <c r="U19" s="830"/>
      <c r="V19" s="830"/>
      <c r="W19" s="830"/>
      <c r="X19" s="830"/>
      <c r="Y19" s="830"/>
      <c r="Z19" s="831"/>
      <c r="AA19" s="830"/>
      <c r="AB19" s="830"/>
      <c r="AC19" s="831"/>
      <c r="AD19" s="830"/>
      <c r="AE19" s="832"/>
      <c r="AF19" s="829"/>
      <c r="AG19" s="833"/>
      <c r="AH19" s="832"/>
      <c r="AI19" s="846"/>
      <c r="AJ19" s="834"/>
    </row>
    <row r="20" spans="1:36">
      <c r="A20" s="836"/>
      <c r="B20" s="823" t="s">
        <v>855</v>
      </c>
      <c r="C20" s="1038"/>
      <c r="D20" s="954"/>
      <c r="E20" s="829"/>
      <c r="F20" s="830"/>
      <c r="G20" s="830"/>
      <c r="H20" s="830"/>
      <c r="I20" s="830"/>
      <c r="J20" s="830"/>
      <c r="K20" s="831"/>
      <c r="L20" s="830"/>
      <c r="M20" s="830"/>
      <c r="N20" s="831"/>
      <c r="O20" s="830"/>
      <c r="P20" s="832"/>
      <c r="Q20" s="829"/>
      <c r="R20" s="833"/>
      <c r="S20" s="832"/>
      <c r="T20" s="829"/>
      <c r="U20" s="830"/>
      <c r="V20" s="830"/>
      <c r="W20" s="830"/>
      <c r="X20" s="830"/>
      <c r="Y20" s="830"/>
      <c r="Z20" s="831"/>
      <c r="AA20" s="830"/>
      <c r="AB20" s="830"/>
      <c r="AC20" s="831"/>
      <c r="AD20" s="830"/>
      <c r="AE20" s="832"/>
      <c r="AF20" s="829"/>
      <c r="AG20" s="833"/>
      <c r="AH20" s="832"/>
      <c r="AI20" s="846"/>
      <c r="AJ20" s="834"/>
    </row>
    <row r="21" spans="1:36">
      <c r="A21" s="836">
        <v>6</v>
      </c>
      <c r="B21" s="1024" t="s">
        <v>856</v>
      </c>
      <c r="C21" s="1033" t="s">
        <v>857</v>
      </c>
      <c r="D21" s="947" t="s">
        <v>663</v>
      </c>
      <c r="E21" s="829"/>
      <c r="F21" s="830"/>
      <c r="G21" s="830"/>
      <c r="H21" s="830"/>
      <c r="I21" s="830"/>
      <c r="J21" s="830"/>
      <c r="K21" s="831"/>
      <c r="L21" s="830"/>
      <c r="M21" s="830"/>
      <c r="N21" s="831"/>
      <c r="O21" s="830"/>
      <c r="P21" s="832">
        <v>5.5</v>
      </c>
      <c r="Q21" s="829">
        <v>5.5</v>
      </c>
      <c r="R21" s="833">
        <v>0.7</v>
      </c>
      <c r="S21" s="832">
        <f>Q21*R21</f>
        <v>3.8499999999999996</v>
      </c>
      <c r="T21" s="829"/>
      <c r="U21" s="830"/>
      <c r="V21" s="830"/>
      <c r="W21" s="830"/>
      <c r="X21" s="830"/>
      <c r="Y21" s="830"/>
      <c r="Z21" s="831"/>
      <c r="AA21" s="830"/>
      <c r="AB21" s="830"/>
      <c r="AC21" s="831"/>
      <c r="AD21" s="830"/>
      <c r="AE21" s="832"/>
      <c r="AF21" s="829"/>
      <c r="AG21" s="833"/>
      <c r="AH21" s="832"/>
      <c r="AI21" s="1039"/>
      <c r="AJ21" s="834"/>
    </row>
    <row r="22" spans="1:36">
      <c r="A22" s="836"/>
      <c r="B22" s="823" t="s">
        <v>858</v>
      </c>
      <c r="C22" s="1038" t="s">
        <v>615</v>
      </c>
      <c r="D22" s="954"/>
      <c r="E22" s="829"/>
      <c r="F22" s="830"/>
      <c r="G22" s="830"/>
      <c r="H22" s="830"/>
      <c r="I22" s="830"/>
      <c r="J22" s="830"/>
      <c r="K22" s="831"/>
      <c r="L22" s="830"/>
      <c r="M22" s="830"/>
      <c r="N22" s="831"/>
      <c r="O22" s="830"/>
      <c r="P22" s="832"/>
      <c r="Q22" s="829"/>
      <c r="R22" s="833"/>
      <c r="S22" s="832"/>
      <c r="T22" s="829"/>
      <c r="U22" s="830"/>
      <c r="V22" s="830"/>
      <c r="W22" s="830"/>
      <c r="X22" s="830"/>
      <c r="Y22" s="830"/>
      <c r="Z22" s="831"/>
      <c r="AA22" s="830"/>
      <c r="AB22" s="830"/>
      <c r="AC22" s="831"/>
      <c r="AD22" s="830"/>
      <c r="AE22" s="832"/>
      <c r="AF22" s="829"/>
      <c r="AG22" s="833"/>
      <c r="AH22" s="832"/>
      <c r="AI22" s="1039"/>
      <c r="AJ22" s="834" t="s">
        <v>859</v>
      </c>
    </row>
    <row r="23" spans="1:36">
      <c r="A23" s="836"/>
      <c r="B23" s="1040"/>
      <c r="C23" s="1038"/>
      <c r="D23" s="954"/>
      <c r="E23" s="829"/>
      <c r="F23" s="830"/>
      <c r="G23" s="830"/>
      <c r="H23" s="830"/>
      <c r="I23" s="830"/>
      <c r="J23" s="830"/>
      <c r="K23" s="831"/>
      <c r="L23" s="830"/>
      <c r="M23" s="830"/>
      <c r="N23" s="831"/>
      <c r="O23" s="830"/>
      <c r="P23" s="832"/>
      <c r="Q23" s="829"/>
      <c r="R23" s="833"/>
      <c r="S23" s="832"/>
      <c r="T23" s="829"/>
      <c r="U23" s="830"/>
      <c r="V23" s="830"/>
      <c r="W23" s="830"/>
      <c r="X23" s="830"/>
      <c r="Y23" s="830"/>
      <c r="Z23" s="831"/>
      <c r="AA23" s="830"/>
      <c r="AB23" s="830"/>
      <c r="AC23" s="831"/>
      <c r="AD23" s="830"/>
      <c r="AE23" s="832"/>
      <c r="AF23" s="829"/>
      <c r="AG23" s="833"/>
      <c r="AH23" s="832"/>
      <c r="AI23" s="846"/>
      <c r="AJ23" s="834"/>
    </row>
    <row r="24" spans="1:36">
      <c r="A24" s="836">
        <v>7</v>
      </c>
      <c r="B24" s="1024" t="s">
        <v>860</v>
      </c>
      <c r="C24" s="1033" t="s">
        <v>861</v>
      </c>
      <c r="D24" s="947" t="s">
        <v>663</v>
      </c>
      <c r="E24" s="829"/>
      <c r="F24" s="830"/>
      <c r="G24" s="830"/>
      <c r="H24" s="830"/>
      <c r="I24" s="830"/>
      <c r="J24" s="830"/>
      <c r="K24" s="831"/>
      <c r="L24" s="830"/>
      <c r="M24" s="830"/>
      <c r="N24" s="831"/>
      <c r="O24" s="830"/>
      <c r="P24" s="832"/>
      <c r="Q24" s="829"/>
      <c r="R24" s="833"/>
      <c r="S24" s="832"/>
      <c r="T24" s="829"/>
      <c r="U24" s="830"/>
      <c r="V24" s="830"/>
      <c r="W24" s="830"/>
      <c r="X24" s="830"/>
      <c r="Y24" s="830"/>
      <c r="Z24" s="831"/>
      <c r="AA24" s="830"/>
      <c r="AB24" s="830"/>
      <c r="AC24" s="831"/>
      <c r="AD24" s="830"/>
      <c r="AE24" s="832"/>
      <c r="AF24" s="829"/>
      <c r="AG24" s="833"/>
      <c r="AH24" s="832"/>
      <c r="AI24" s="1039"/>
      <c r="AJ24" s="834"/>
    </row>
    <row r="25" spans="1:36">
      <c r="A25" s="836"/>
      <c r="B25" s="823" t="s">
        <v>858</v>
      </c>
      <c r="C25" s="1038" t="s">
        <v>615</v>
      </c>
      <c r="D25" s="954"/>
      <c r="E25" s="829"/>
      <c r="F25" s="830"/>
      <c r="G25" s="830"/>
      <c r="H25" s="830"/>
      <c r="I25" s="830"/>
      <c r="J25" s="830"/>
      <c r="K25" s="831"/>
      <c r="L25" s="830"/>
      <c r="M25" s="830"/>
      <c r="N25" s="831"/>
      <c r="O25" s="830"/>
      <c r="P25" s="832">
        <v>6</v>
      </c>
      <c r="Q25" s="829">
        <v>6</v>
      </c>
      <c r="R25" s="833">
        <v>0.7</v>
      </c>
      <c r="S25" s="832">
        <f>Q25*R25</f>
        <v>4.1999999999999993</v>
      </c>
      <c r="T25" s="829"/>
      <c r="U25" s="830"/>
      <c r="V25" s="830"/>
      <c r="W25" s="830"/>
      <c r="X25" s="830"/>
      <c r="Y25" s="830"/>
      <c r="Z25" s="831"/>
      <c r="AA25" s="830"/>
      <c r="AB25" s="830"/>
      <c r="AC25" s="831"/>
      <c r="AD25" s="830"/>
      <c r="AE25" s="832"/>
      <c r="AF25" s="829"/>
      <c r="AG25" s="833"/>
      <c r="AH25" s="832"/>
      <c r="AI25" s="1039"/>
      <c r="AJ25" s="834" t="s">
        <v>862</v>
      </c>
    </row>
    <row r="26" spans="1:36">
      <c r="A26" s="836"/>
      <c r="B26" s="1040"/>
      <c r="C26" s="1038"/>
      <c r="D26" s="954"/>
      <c r="E26" s="829"/>
      <c r="F26" s="830"/>
      <c r="G26" s="830"/>
      <c r="H26" s="830"/>
      <c r="I26" s="830"/>
      <c r="J26" s="830"/>
      <c r="K26" s="831"/>
      <c r="L26" s="830"/>
      <c r="M26" s="830"/>
      <c r="N26" s="831"/>
      <c r="O26" s="830"/>
      <c r="P26" s="832"/>
      <c r="Q26" s="829"/>
      <c r="R26" s="833"/>
      <c r="S26" s="832"/>
      <c r="T26" s="829"/>
      <c r="U26" s="830"/>
      <c r="V26" s="830"/>
      <c r="W26" s="830"/>
      <c r="X26" s="830"/>
      <c r="Y26" s="830"/>
      <c r="Z26" s="831"/>
      <c r="AA26" s="830"/>
      <c r="AB26" s="830"/>
      <c r="AC26" s="831"/>
      <c r="AD26" s="830"/>
      <c r="AE26" s="832"/>
      <c r="AF26" s="829"/>
      <c r="AG26" s="833"/>
      <c r="AH26" s="832"/>
      <c r="AI26" s="846"/>
      <c r="AJ26" s="834"/>
    </row>
    <row r="27" spans="1:36">
      <c r="A27" s="836">
        <v>8</v>
      </c>
      <c r="B27" s="1024" t="s">
        <v>863</v>
      </c>
      <c r="C27" s="1033" t="s">
        <v>864</v>
      </c>
      <c r="D27" s="947" t="s">
        <v>663</v>
      </c>
      <c r="E27" s="829"/>
      <c r="F27" s="830"/>
      <c r="G27" s="830"/>
      <c r="H27" s="830"/>
      <c r="I27" s="830"/>
      <c r="J27" s="830"/>
      <c r="K27" s="831"/>
      <c r="L27" s="830"/>
      <c r="M27" s="830"/>
      <c r="N27" s="831"/>
      <c r="O27" s="830"/>
      <c r="P27" s="832"/>
      <c r="Q27" s="829"/>
      <c r="R27" s="833"/>
      <c r="S27" s="832"/>
      <c r="T27" s="829"/>
      <c r="U27" s="830"/>
      <c r="V27" s="830"/>
      <c r="W27" s="830"/>
      <c r="X27" s="830"/>
      <c r="Y27" s="830"/>
      <c r="Z27" s="831"/>
      <c r="AA27" s="830"/>
      <c r="AB27" s="830"/>
      <c r="AC27" s="831"/>
      <c r="AD27" s="830"/>
      <c r="AE27" s="832"/>
      <c r="AF27" s="829"/>
      <c r="AG27" s="833"/>
      <c r="AH27" s="832"/>
      <c r="AI27" s="846"/>
      <c r="AJ27" s="834" t="s">
        <v>865</v>
      </c>
    </row>
    <row r="28" spans="1:36">
      <c r="A28" s="836"/>
      <c r="B28" s="823" t="s">
        <v>866</v>
      </c>
      <c r="C28" s="1038" t="s">
        <v>615</v>
      </c>
      <c r="D28" s="954"/>
      <c r="E28" s="829"/>
      <c r="F28" s="830"/>
      <c r="G28" s="830"/>
      <c r="H28" s="830"/>
      <c r="I28" s="830"/>
      <c r="J28" s="830"/>
      <c r="K28" s="831"/>
      <c r="L28" s="830"/>
      <c r="M28" s="830"/>
      <c r="N28" s="831"/>
      <c r="O28" s="830"/>
      <c r="P28" s="832"/>
      <c r="Q28" s="829"/>
      <c r="R28" s="833"/>
      <c r="S28" s="832"/>
      <c r="T28" s="829"/>
      <c r="U28" s="830"/>
      <c r="V28" s="830"/>
      <c r="W28" s="830"/>
      <c r="X28" s="830"/>
      <c r="Y28" s="830"/>
      <c r="Z28" s="831"/>
      <c r="AA28" s="830"/>
      <c r="AB28" s="830"/>
      <c r="AC28" s="831"/>
      <c r="AD28" s="830"/>
      <c r="AE28" s="832"/>
      <c r="AF28" s="829"/>
      <c r="AG28" s="833"/>
      <c r="AH28" s="832"/>
      <c r="AI28" s="846"/>
      <c r="AJ28" s="834"/>
    </row>
    <row r="29" spans="1:36">
      <c r="A29" s="836"/>
      <c r="B29" s="823" t="s">
        <v>867</v>
      </c>
      <c r="C29" s="1041"/>
      <c r="D29" s="954"/>
      <c r="E29" s="829"/>
      <c r="F29" s="830"/>
      <c r="G29" s="830"/>
      <c r="H29" s="830"/>
      <c r="I29" s="830"/>
      <c r="J29" s="830"/>
      <c r="K29" s="831"/>
      <c r="L29" s="830"/>
      <c r="M29" s="830"/>
      <c r="N29" s="831"/>
      <c r="O29" s="830"/>
      <c r="P29" s="832"/>
      <c r="Q29" s="829"/>
      <c r="R29" s="833"/>
      <c r="S29" s="832"/>
      <c r="T29" s="829"/>
      <c r="U29" s="830"/>
      <c r="V29" s="830"/>
      <c r="W29" s="830"/>
      <c r="X29" s="830"/>
      <c r="Y29" s="830"/>
      <c r="Z29" s="831"/>
      <c r="AA29" s="830"/>
      <c r="AB29" s="830"/>
      <c r="AC29" s="831"/>
      <c r="AD29" s="830"/>
      <c r="AE29" s="832"/>
      <c r="AF29" s="829"/>
      <c r="AG29" s="833"/>
      <c r="AH29" s="832"/>
      <c r="AI29" s="846"/>
      <c r="AJ29" s="834"/>
    </row>
    <row r="30" spans="1:36">
      <c r="A30" s="836"/>
      <c r="B30" s="1042" t="s">
        <v>868</v>
      </c>
      <c r="C30" s="1041"/>
      <c r="D30" s="954"/>
      <c r="E30" s="829"/>
      <c r="F30" s="830"/>
      <c r="G30" s="830"/>
      <c r="H30" s="830"/>
      <c r="I30" s="830"/>
      <c r="J30" s="830"/>
      <c r="K30" s="831"/>
      <c r="L30" s="830"/>
      <c r="M30" s="830"/>
      <c r="N30" s="831"/>
      <c r="O30" s="830"/>
      <c r="P30" s="832"/>
      <c r="Q30" s="829"/>
      <c r="R30" s="833"/>
      <c r="S30" s="832"/>
      <c r="T30" s="829"/>
      <c r="U30" s="830"/>
      <c r="V30" s="830"/>
      <c r="W30" s="830"/>
      <c r="X30" s="830"/>
      <c r="Y30" s="830"/>
      <c r="Z30" s="831"/>
      <c r="AA30" s="830"/>
      <c r="AB30" s="830"/>
      <c r="AC30" s="831"/>
      <c r="AD30" s="830"/>
      <c r="AE30" s="832"/>
      <c r="AF30" s="829"/>
      <c r="AG30" s="833"/>
      <c r="AH30" s="832"/>
      <c r="AI30" s="846"/>
      <c r="AJ30" s="834"/>
    </row>
    <row r="31" spans="1:36">
      <c r="A31" s="836">
        <v>9</v>
      </c>
      <c r="B31" s="1024" t="s">
        <v>869</v>
      </c>
      <c r="C31" s="1033" t="s">
        <v>870</v>
      </c>
      <c r="D31" s="947" t="s">
        <v>663</v>
      </c>
      <c r="E31" s="829"/>
      <c r="F31" s="830"/>
      <c r="G31" s="830"/>
      <c r="H31" s="830"/>
      <c r="I31" s="830"/>
      <c r="J31" s="830"/>
      <c r="K31" s="831"/>
      <c r="L31" s="830"/>
      <c r="M31" s="830"/>
      <c r="N31" s="831"/>
      <c r="O31" s="830"/>
      <c r="P31" s="832"/>
      <c r="Q31" s="829"/>
      <c r="R31" s="833"/>
      <c r="S31" s="832"/>
      <c r="T31" s="829"/>
      <c r="U31" s="830"/>
      <c r="V31" s="830"/>
      <c r="W31" s="830"/>
      <c r="X31" s="830"/>
      <c r="Y31" s="830"/>
      <c r="Z31" s="831"/>
      <c r="AA31" s="830"/>
      <c r="AB31" s="830"/>
      <c r="AC31" s="831"/>
      <c r="AD31" s="830"/>
      <c r="AE31" s="832"/>
      <c r="AF31" s="829"/>
      <c r="AG31" s="833"/>
      <c r="AH31" s="832"/>
      <c r="AI31" s="846"/>
      <c r="AJ31" s="834" t="s">
        <v>871</v>
      </c>
    </row>
    <row r="32" spans="1:36">
      <c r="A32" s="836"/>
      <c r="B32" s="823" t="s">
        <v>872</v>
      </c>
      <c r="C32" s="1038" t="s">
        <v>615</v>
      </c>
      <c r="D32" s="954"/>
      <c r="E32" s="829"/>
      <c r="F32" s="830"/>
      <c r="G32" s="830"/>
      <c r="H32" s="830"/>
      <c r="I32" s="830"/>
      <c r="J32" s="830"/>
      <c r="K32" s="831"/>
      <c r="L32" s="830"/>
      <c r="M32" s="830"/>
      <c r="N32" s="831"/>
      <c r="O32" s="830"/>
      <c r="P32" s="832"/>
      <c r="Q32" s="829"/>
      <c r="R32" s="833"/>
      <c r="S32" s="832"/>
      <c r="T32" s="829"/>
      <c r="U32" s="830"/>
      <c r="V32" s="830"/>
      <c r="W32" s="830"/>
      <c r="X32" s="830"/>
      <c r="Y32" s="830"/>
      <c r="Z32" s="831"/>
      <c r="AA32" s="830"/>
      <c r="AB32" s="830"/>
      <c r="AC32" s="831"/>
      <c r="AD32" s="830"/>
      <c r="AE32" s="832"/>
      <c r="AF32" s="829"/>
      <c r="AG32" s="833"/>
      <c r="AH32" s="832"/>
      <c r="AI32" s="846"/>
      <c r="AJ32" s="834"/>
    </row>
    <row r="33" spans="1:36">
      <c r="A33" s="836"/>
      <c r="B33" s="1042" t="s">
        <v>873</v>
      </c>
      <c r="C33" s="1041"/>
      <c r="D33" s="954"/>
      <c r="E33" s="829"/>
      <c r="F33" s="830"/>
      <c r="G33" s="830"/>
      <c r="H33" s="830"/>
      <c r="I33" s="830"/>
      <c r="J33" s="830"/>
      <c r="K33" s="831"/>
      <c r="L33" s="830"/>
      <c r="M33" s="830"/>
      <c r="N33" s="831"/>
      <c r="O33" s="830"/>
      <c r="P33" s="832"/>
      <c r="Q33" s="829"/>
      <c r="R33" s="833"/>
      <c r="S33" s="832"/>
      <c r="T33" s="829"/>
      <c r="U33" s="830"/>
      <c r="V33" s="830"/>
      <c r="W33" s="830"/>
      <c r="X33" s="830"/>
      <c r="Y33" s="830"/>
      <c r="Z33" s="831"/>
      <c r="AA33" s="830"/>
      <c r="AB33" s="830"/>
      <c r="AC33" s="831"/>
      <c r="AD33" s="830"/>
      <c r="AE33" s="832"/>
      <c r="AF33" s="829"/>
      <c r="AG33" s="833"/>
      <c r="AH33" s="832"/>
      <c r="AI33" s="846"/>
      <c r="AJ33" s="834"/>
    </row>
    <row r="34" spans="1:36">
      <c r="A34" s="836">
        <v>10</v>
      </c>
      <c r="B34" s="1024" t="s">
        <v>668</v>
      </c>
      <c r="C34" s="1033" t="s">
        <v>874</v>
      </c>
      <c r="D34" s="947" t="s">
        <v>611</v>
      </c>
      <c r="E34" s="829"/>
      <c r="F34" s="830"/>
      <c r="G34" s="830"/>
      <c r="H34" s="830"/>
      <c r="I34" s="830"/>
      <c r="J34" s="830"/>
      <c r="K34" s="831"/>
      <c r="L34" s="830"/>
      <c r="M34" s="830"/>
      <c r="N34" s="831"/>
      <c r="O34" s="830"/>
      <c r="P34" s="832"/>
      <c r="Q34" s="829"/>
      <c r="R34" s="833"/>
      <c r="S34" s="832"/>
      <c r="T34" s="829"/>
      <c r="U34" s="830"/>
      <c r="V34" s="830"/>
      <c r="W34" s="830"/>
      <c r="X34" s="830"/>
      <c r="Y34" s="830"/>
      <c r="Z34" s="831"/>
      <c r="AA34" s="830"/>
      <c r="AB34" s="830"/>
      <c r="AC34" s="831"/>
      <c r="AD34" s="830"/>
      <c r="AE34" s="832"/>
      <c r="AF34" s="829"/>
      <c r="AG34" s="833"/>
      <c r="AH34" s="832"/>
      <c r="AI34" s="846"/>
      <c r="AJ34" s="834" t="s">
        <v>875</v>
      </c>
    </row>
    <row r="35" spans="1:36">
      <c r="A35" s="836"/>
      <c r="B35" s="1040" t="s">
        <v>876</v>
      </c>
      <c r="C35" s="1038" t="s">
        <v>615</v>
      </c>
      <c r="D35" s="954"/>
      <c r="E35" s="829"/>
      <c r="F35" s="830"/>
      <c r="G35" s="830"/>
      <c r="H35" s="830"/>
      <c r="I35" s="830"/>
      <c r="J35" s="830"/>
      <c r="K35" s="831"/>
      <c r="L35" s="830"/>
      <c r="M35" s="830"/>
      <c r="N35" s="831"/>
      <c r="O35" s="830"/>
      <c r="P35" s="832"/>
      <c r="Q35" s="829"/>
      <c r="R35" s="833"/>
      <c r="S35" s="832"/>
      <c r="T35" s="829"/>
      <c r="U35" s="830"/>
      <c r="V35" s="830">
        <v>20.399999999999999</v>
      </c>
      <c r="W35" s="830"/>
      <c r="X35" s="830"/>
      <c r="Y35" s="830"/>
      <c r="Z35" s="831"/>
      <c r="AA35" s="830"/>
      <c r="AB35" s="830"/>
      <c r="AC35" s="831"/>
      <c r="AD35" s="830"/>
      <c r="AE35" s="832"/>
      <c r="AF35" s="829">
        <v>20.399999999999999</v>
      </c>
      <c r="AG35" s="833">
        <v>0.3</v>
      </c>
      <c r="AH35" s="832">
        <f>AF35*AG35</f>
        <v>6.1199999999999992</v>
      </c>
      <c r="AI35" s="846"/>
      <c r="AJ35" s="834"/>
    </row>
    <row r="36" spans="1:36">
      <c r="A36" s="836"/>
      <c r="B36" s="1040" t="s">
        <v>877</v>
      </c>
      <c r="C36" s="1038" t="s">
        <v>878</v>
      </c>
      <c r="D36" s="954"/>
      <c r="E36" s="829"/>
      <c r="F36" s="830"/>
      <c r="G36" s="830"/>
      <c r="H36" s="830"/>
      <c r="I36" s="830"/>
      <c r="J36" s="830"/>
      <c r="K36" s="831"/>
      <c r="L36" s="830"/>
      <c r="M36" s="830"/>
      <c r="N36" s="831"/>
      <c r="O36" s="830"/>
      <c r="P36" s="832"/>
      <c r="Q36" s="829"/>
      <c r="R36" s="833"/>
      <c r="S36" s="832"/>
      <c r="T36" s="829"/>
      <c r="U36" s="830"/>
      <c r="V36" s="830"/>
      <c r="W36" s="830"/>
      <c r="X36" s="830"/>
      <c r="Y36" s="830"/>
      <c r="Z36" s="831"/>
      <c r="AA36" s="830"/>
      <c r="AB36" s="830"/>
      <c r="AC36" s="831"/>
      <c r="AD36" s="830"/>
      <c r="AE36" s="832"/>
      <c r="AF36" s="829"/>
      <c r="AG36" s="833"/>
      <c r="AH36" s="832"/>
      <c r="AI36" s="846"/>
      <c r="AJ36" s="834"/>
    </row>
    <row r="37" spans="1:36">
      <c r="A37" s="836"/>
      <c r="B37" s="1043"/>
      <c r="C37" s="1038" t="s">
        <v>879</v>
      </c>
      <c r="D37" s="954"/>
      <c r="E37" s="829"/>
      <c r="F37" s="830"/>
      <c r="G37" s="830"/>
      <c r="H37" s="830"/>
      <c r="I37" s="830"/>
      <c r="J37" s="830"/>
      <c r="K37" s="831"/>
      <c r="L37" s="830"/>
      <c r="M37" s="830"/>
      <c r="N37" s="831"/>
      <c r="O37" s="830"/>
      <c r="P37" s="832"/>
      <c r="Q37" s="829"/>
      <c r="R37" s="833"/>
      <c r="S37" s="832"/>
      <c r="T37" s="829"/>
      <c r="U37" s="830"/>
      <c r="V37" s="830"/>
      <c r="W37" s="830"/>
      <c r="X37" s="830"/>
      <c r="Y37" s="830"/>
      <c r="Z37" s="831"/>
      <c r="AA37" s="830"/>
      <c r="AB37" s="830"/>
      <c r="AC37" s="831"/>
      <c r="AD37" s="830"/>
      <c r="AE37" s="832"/>
      <c r="AF37" s="829"/>
      <c r="AG37" s="833"/>
      <c r="AH37" s="832"/>
      <c r="AI37" s="846"/>
      <c r="AJ37" s="834"/>
    </row>
    <row r="38" spans="1:36">
      <c r="A38" s="1044">
        <v>11</v>
      </c>
      <c r="B38" s="823" t="s">
        <v>880</v>
      </c>
      <c r="C38" s="1041" t="s">
        <v>881</v>
      </c>
      <c r="D38" s="946" t="s">
        <v>663</v>
      </c>
      <c r="E38" s="829"/>
      <c r="F38" s="830"/>
      <c r="G38" s="830"/>
      <c r="H38" s="830"/>
      <c r="I38" s="830"/>
      <c r="J38" s="830"/>
      <c r="K38" s="831"/>
      <c r="L38" s="830"/>
      <c r="M38" s="830"/>
      <c r="N38" s="831"/>
      <c r="O38" s="830"/>
      <c r="P38" s="832"/>
      <c r="Q38" s="829">
        <f>SUM(K38:P38)</f>
        <v>0</v>
      </c>
      <c r="R38" s="833"/>
      <c r="S38" s="832">
        <f>Q38*R38</f>
        <v>0</v>
      </c>
      <c r="T38" s="829"/>
      <c r="U38" s="830"/>
      <c r="V38" s="830"/>
      <c r="W38" s="830"/>
      <c r="X38" s="830"/>
      <c r="Y38" s="830"/>
      <c r="Z38" s="831"/>
      <c r="AA38" s="830"/>
      <c r="AB38" s="830"/>
      <c r="AC38" s="831"/>
      <c r="AD38" s="830"/>
      <c r="AE38" s="832"/>
      <c r="AF38" s="829">
        <f>SUM(Z38:AE38)</f>
        <v>0</v>
      </c>
      <c r="AG38" s="833"/>
      <c r="AH38" s="832">
        <f>AF38*AG38</f>
        <v>0</v>
      </c>
      <c r="AI38" s="846"/>
      <c r="AJ38" s="834" t="s">
        <v>882</v>
      </c>
    </row>
    <row r="39" spans="1:36">
      <c r="A39" s="1044"/>
      <c r="B39" s="837" t="s">
        <v>883</v>
      </c>
      <c r="C39" s="838" t="s">
        <v>615</v>
      </c>
      <c r="D39" s="954"/>
      <c r="E39" s="829"/>
      <c r="F39" s="830"/>
      <c r="G39" s="830"/>
      <c r="H39" s="830"/>
      <c r="I39" s="830"/>
      <c r="J39" s="830"/>
      <c r="K39" s="831"/>
      <c r="L39" s="830"/>
      <c r="M39" s="830"/>
      <c r="N39" s="831"/>
      <c r="O39" s="830"/>
      <c r="P39" s="832"/>
      <c r="Q39" s="829">
        <f>SUM(K39:P39)</f>
        <v>0</v>
      </c>
      <c r="R39" s="833"/>
      <c r="S39" s="832">
        <f>Q39*R39</f>
        <v>0</v>
      </c>
      <c r="T39" s="829"/>
      <c r="U39" s="830"/>
      <c r="V39" s="830"/>
      <c r="W39" s="830"/>
      <c r="X39" s="830"/>
      <c r="Y39" s="830"/>
      <c r="Z39" s="831"/>
      <c r="AA39" s="830"/>
      <c r="AB39" s="830"/>
      <c r="AC39" s="831"/>
      <c r="AD39" s="830"/>
      <c r="AE39" s="832"/>
      <c r="AF39" s="829">
        <v>0.2</v>
      </c>
      <c r="AG39" s="833">
        <v>0.3</v>
      </c>
      <c r="AH39" s="832">
        <f>AF39*AG39</f>
        <v>0.06</v>
      </c>
      <c r="AI39" s="846"/>
      <c r="AJ39" s="834"/>
    </row>
    <row r="40" spans="1:36">
      <c r="A40" s="1044"/>
      <c r="B40" s="869"/>
      <c r="C40" s="838"/>
      <c r="D40" s="954"/>
      <c r="E40" s="829"/>
      <c r="F40" s="830"/>
      <c r="G40" s="830"/>
      <c r="H40" s="830"/>
      <c r="I40" s="830"/>
      <c r="J40" s="830"/>
      <c r="K40" s="831"/>
      <c r="L40" s="830"/>
      <c r="M40" s="830"/>
      <c r="N40" s="831"/>
      <c r="O40" s="830"/>
      <c r="P40" s="832"/>
      <c r="Q40" s="829"/>
      <c r="R40" s="833"/>
      <c r="S40" s="832"/>
      <c r="T40" s="829"/>
      <c r="U40" s="830"/>
      <c r="V40" s="830"/>
      <c r="W40" s="830"/>
      <c r="X40" s="830"/>
      <c r="Y40" s="830"/>
      <c r="Z40" s="831"/>
      <c r="AA40" s="830"/>
      <c r="AB40" s="830"/>
      <c r="AC40" s="831"/>
      <c r="AD40" s="830"/>
      <c r="AE40" s="832"/>
      <c r="AF40" s="829"/>
      <c r="AG40" s="833"/>
      <c r="AH40" s="832"/>
      <c r="AI40" s="846"/>
      <c r="AJ40" s="834"/>
    </row>
    <row r="41" spans="1:36">
      <c r="A41" s="836">
        <v>12</v>
      </c>
      <c r="B41" s="823" t="s">
        <v>625</v>
      </c>
      <c r="C41" s="1041" t="s">
        <v>854</v>
      </c>
      <c r="D41" s="946" t="s">
        <v>663</v>
      </c>
      <c r="E41" s="829"/>
      <c r="F41" s="830"/>
      <c r="G41" s="830"/>
      <c r="H41" s="830"/>
      <c r="I41" s="830"/>
      <c r="J41" s="830"/>
      <c r="K41" s="831"/>
      <c r="L41" s="830"/>
      <c r="M41" s="830"/>
      <c r="N41" s="831"/>
      <c r="O41" s="830"/>
      <c r="P41" s="832"/>
      <c r="Q41" s="829"/>
      <c r="R41" s="833"/>
      <c r="S41" s="832"/>
      <c r="T41" s="829"/>
      <c r="U41" s="830"/>
      <c r="V41" s="830"/>
      <c r="W41" s="830"/>
      <c r="X41" s="830"/>
      <c r="Y41" s="830"/>
      <c r="Z41" s="831"/>
      <c r="AA41" s="830"/>
      <c r="AB41" s="830"/>
      <c r="AC41" s="831"/>
      <c r="AD41" s="830"/>
      <c r="AE41" s="832"/>
      <c r="AF41" s="829"/>
      <c r="AG41" s="833"/>
      <c r="AH41" s="832"/>
      <c r="AI41" s="846"/>
      <c r="AJ41" s="834"/>
    </row>
    <row r="42" spans="1:36">
      <c r="A42" s="836"/>
      <c r="B42" s="823" t="s">
        <v>626</v>
      </c>
      <c r="C42" s="1038" t="s">
        <v>615</v>
      </c>
      <c r="D42" s="954"/>
      <c r="E42" s="829"/>
      <c r="F42" s="830"/>
      <c r="G42" s="830"/>
      <c r="H42" s="830"/>
      <c r="I42" s="830"/>
      <c r="J42" s="830"/>
      <c r="K42" s="831"/>
      <c r="L42" s="830"/>
      <c r="M42" s="830"/>
      <c r="N42" s="831"/>
      <c r="O42" s="830"/>
      <c r="P42" s="832"/>
      <c r="Q42" s="829"/>
      <c r="R42" s="833"/>
      <c r="S42" s="832"/>
      <c r="T42" s="829"/>
      <c r="U42" s="830"/>
      <c r="V42" s="830"/>
      <c r="W42" s="830"/>
      <c r="X42" s="830"/>
      <c r="Y42" s="830"/>
      <c r="Z42" s="831"/>
      <c r="AA42" s="830"/>
      <c r="AB42" s="830"/>
      <c r="AC42" s="831"/>
      <c r="AD42" s="830"/>
      <c r="AE42" s="832"/>
      <c r="AF42" s="829"/>
      <c r="AG42" s="833"/>
      <c r="AH42" s="832"/>
      <c r="AI42" s="846"/>
      <c r="AJ42" s="834"/>
    </row>
    <row r="43" spans="1:36">
      <c r="A43" s="836"/>
      <c r="B43" s="1036" t="s">
        <v>855</v>
      </c>
      <c r="C43" s="1037"/>
      <c r="D43" s="954"/>
      <c r="E43" s="829"/>
      <c r="F43" s="830"/>
      <c r="G43" s="830"/>
      <c r="H43" s="830"/>
      <c r="I43" s="830"/>
      <c r="J43" s="830"/>
      <c r="K43" s="831"/>
      <c r="L43" s="830"/>
      <c r="M43" s="830"/>
      <c r="N43" s="831"/>
      <c r="O43" s="830"/>
      <c r="P43" s="832"/>
      <c r="Q43" s="829"/>
      <c r="R43" s="833"/>
      <c r="S43" s="832"/>
      <c r="T43" s="829"/>
      <c r="U43" s="830"/>
      <c r="V43" s="830"/>
      <c r="W43" s="830"/>
      <c r="X43" s="830"/>
      <c r="Y43" s="830"/>
      <c r="Z43" s="831"/>
      <c r="AA43" s="830"/>
      <c r="AB43" s="830"/>
      <c r="AC43" s="831"/>
      <c r="AD43" s="830"/>
      <c r="AE43" s="832"/>
      <c r="AF43" s="829"/>
      <c r="AG43" s="833"/>
      <c r="AH43" s="832"/>
      <c r="AI43" s="846"/>
      <c r="AJ43" s="834"/>
    </row>
    <row r="44" spans="1:36" ht="21.6" thickBot="1">
      <c r="A44" s="1045"/>
      <c r="B44" s="1046"/>
      <c r="C44" s="1047"/>
      <c r="D44" s="1048"/>
      <c r="E44" s="1049"/>
      <c r="F44" s="1050"/>
      <c r="G44" s="1050"/>
      <c r="H44" s="1050"/>
      <c r="I44" s="1050"/>
      <c r="J44" s="1050"/>
      <c r="K44" s="1051"/>
      <c r="L44" s="1050"/>
      <c r="M44" s="1050"/>
      <c r="N44" s="1051"/>
      <c r="O44" s="1050"/>
      <c r="P44" s="1052"/>
      <c r="Q44" s="1049"/>
      <c r="R44" s="1053"/>
      <c r="S44" s="1052"/>
      <c r="T44" s="1049"/>
      <c r="U44" s="1050"/>
      <c r="V44" s="1050"/>
      <c r="W44" s="1050"/>
      <c r="X44" s="849"/>
      <c r="Y44" s="1050"/>
      <c r="Z44" s="1051"/>
      <c r="AA44" s="1050"/>
      <c r="AB44" s="1050"/>
      <c r="AC44" s="1051"/>
      <c r="AD44" s="1050"/>
      <c r="AE44" s="1052"/>
      <c r="AF44" s="1049"/>
      <c r="AG44" s="1053"/>
      <c r="AH44" s="1052"/>
      <c r="AI44" s="1054"/>
      <c r="AJ44" s="1055"/>
    </row>
    <row r="45" spans="1:36" ht="24" customHeight="1" thickTop="1" thickBot="1">
      <c r="A45" s="850"/>
      <c r="B45" s="1255" t="s">
        <v>608</v>
      </c>
      <c r="C45" s="1256"/>
      <c r="D45" s="955"/>
      <c r="E45" s="851">
        <f t="shared" ref="E45:P45" si="0">SUM(E5:E37)</f>
        <v>0</v>
      </c>
      <c r="F45" s="851">
        <f t="shared" si="0"/>
        <v>0</v>
      </c>
      <c r="G45" s="851">
        <f t="shared" si="0"/>
        <v>0</v>
      </c>
      <c r="H45" s="851">
        <f t="shared" si="0"/>
        <v>0</v>
      </c>
      <c r="I45" s="851">
        <f t="shared" si="0"/>
        <v>0</v>
      </c>
      <c r="J45" s="851">
        <f t="shared" si="0"/>
        <v>0</v>
      </c>
      <c r="K45" s="852">
        <f t="shared" si="0"/>
        <v>0</v>
      </c>
      <c r="L45" s="853">
        <f t="shared" si="0"/>
        <v>0</v>
      </c>
      <c r="M45" s="853">
        <f t="shared" si="0"/>
        <v>0</v>
      </c>
      <c r="N45" s="852">
        <f t="shared" si="0"/>
        <v>0</v>
      </c>
      <c r="O45" s="853">
        <f t="shared" si="0"/>
        <v>0</v>
      </c>
      <c r="P45" s="853">
        <f t="shared" si="0"/>
        <v>11.5</v>
      </c>
      <c r="Q45" s="854">
        <f>SUM(Q6:Q37)</f>
        <v>11.5</v>
      </c>
      <c r="R45" s="855">
        <f>S45/Q45</f>
        <v>0.7</v>
      </c>
      <c r="S45" s="852">
        <f>SUM(S5:S37)</f>
        <v>8.0499999999999989</v>
      </c>
      <c r="T45" s="851"/>
      <c r="U45" s="851">
        <f t="shared" ref="U45:AE45" si="1">SUM(U5:U37)</f>
        <v>0</v>
      </c>
      <c r="V45" s="851">
        <f t="shared" si="1"/>
        <v>20.399999999999999</v>
      </c>
      <c r="W45" s="851">
        <f t="shared" si="1"/>
        <v>0</v>
      </c>
      <c r="X45" s="851">
        <f t="shared" si="1"/>
        <v>0</v>
      </c>
      <c r="Y45" s="851">
        <f t="shared" si="1"/>
        <v>0</v>
      </c>
      <c r="Z45" s="852">
        <f t="shared" si="1"/>
        <v>0</v>
      </c>
      <c r="AA45" s="853">
        <f t="shared" si="1"/>
        <v>0</v>
      </c>
      <c r="AB45" s="853">
        <f t="shared" si="1"/>
        <v>0</v>
      </c>
      <c r="AC45" s="852">
        <f t="shared" si="1"/>
        <v>0</v>
      </c>
      <c r="AD45" s="853">
        <f t="shared" si="1"/>
        <v>0</v>
      </c>
      <c r="AE45" s="853">
        <f t="shared" si="1"/>
        <v>0</v>
      </c>
      <c r="AF45" s="854">
        <f>SUM(AF6:AF37)</f>
        <v>20.399999999999999</v>
      </c>
      <c r="AG45" s="855">
        <f>AVERAGE(AG5:AG37)</f>
        <v>0.3</v>
      </c>
      <c r="AH45" s="852">
        <f>SUM(AH5:AH37)</f>
        <v>6.1199999999999992</v>
      </c>
      <c r="AI45" s="961">
        <f>SUM(AI6:AI37)</f>
        <v>0</v>
      </c>
      <c r="AJ45" s="856"/>
    </row>
    <row r="46" spans="1:36" ht="24" customHeight="1" thickBot="1"/>
    <row r="47" spans="1:36" ht="24" customHeight="1">
      <c r="C47" s="803"/>
      <c r="D47" s="803"/>
      <c r="E47" s="803"/>
      <c r="F47" s="803"/>
      <c r="G47" s="803"/>
      <c r="H47" s="803"/>
      <c r="I47" s="803"/>
      <c r="J47" s="803"/>
      <c r="K47" s="803"/>
      <c r="P47" s="859"/>
      <c r="Q47" s="860" t="s">
        <v>637</v>
      </c>
      <c r="R47" s="861">
        <v>12</v>
      </c>
      <c r="AE47" s="859"/>
      <c r="AF47" s="860" t="s">
        <v>637</v>
      </c>
      <c r="AG47" s="861">
        <v>12</v>
      </c>
    </row>
    <row r="48" spans="1:36" ht="24" customHeight="1">
      <c r="D48" s="835"/>
      <c r="P48" s="859"/>
      <c r="Q48" s="862" t="s">
        <v>638</v>
      </c>
      <c r="R48" s="863">
        <f>S45</f>
        <v>8.0499999999999989</v>
      </c>
      <c r="AE48" s="859"/>
      <c r="AF48" s="862" t="s">
        <v>638</v>
      </c>
      <c r="AG48" s="863">
        <f>AH45</f>
        <v>6.1199999999999992</v>
      </c>
    </row>
    <row r="49" spans="3:33" ht="24" customHeight="1">
      <c r="D49" s="835"/>
      <c r="P49" s="859"/>
      <c r="Q49" s="862" t="s">
        <v>639</v>
      </c>
      <c r="R49" s="864"/>
      <c r="AE49" s="859"/>
      <c r="AF49" s="862" t="s">
        <v>639</v>
      </c>
      <c r="AG49" s="864"/>
    </row>
    <row r="50" spans="3:33" ht="24" customHeight="1" thickBot="1">
      <c r="D50" s="835"/>
      <c r="P50" s="865"/>
      <c r="Q50" s="866" t="s">
        <v>640</v>
      </c>
      <c r="R50" s="867">
        <f>R49/R47</f>
        <v>0</v>
      </c>
      <c r="AE50" s="865"/>
      <c r="AF50" s="866" t="s">
        <v>640</v>
      </c>
      <c r="AG50" s="867">
        <f>AG49/AG47</f>
        <v>0</v>
      </c>
    </row>
    <row r="51" spans="3:33" ht="24" customHeight="1">
      <c r="D51" s="835"/>
    </row>
    <row r="52" spans="3:33" ht="24" customHeight="1">
      <c r="C52" s="868"/>
      <c r="D52" s="835"/>
      <c r="E52" s="868"/>
      <c r="F52" s="868"/>
      <c r="G52" s="868"/>
      <c r="H52" s="868"/>
      <c r="I52" s="868"/>
      <c r="J52" s="868"/>
      <c r="K52" s="868"/>
      <c r="L52" s="868"/>
      <c r="M52" s="868"/>
      <c r="N52" s="868"/>
    </row>
    <row r="53" spans="3:33" ht="24" customHeight="1">
      <c r="C53" s="868"/>
      <c r="D53" s="835"/>
      <c r="E53" s="868"/>
      <c r="F53" s="868"/>
      <c r="G53" s="868"/>
      <c r="H53" s="868"/>
      <c r="I53" s="868"/>
      <c r="J53" s="868"/>
      <c r="K53" s="868"/>
      <c r="L53" s="868"/>
      <c r="M53" s="868"/>
    </row>
    <row r="54" spans="3:33" ht="24" customHeight="1">
      <c r="C54" s="868"/>
      <c r="D54" s="868"/>
      <c r="E54" s="868"/>
      <c r="F54" s="868"/>
      <c r="G54" s="868"/>
      <c r="H54" s="868"/>
      <c r="I54" s="868"/>
      <c r="J54" s="868"/>
      <c r="K54" s="868"/>
      <c r="L54" s="868"/>
      <c r="M54" s="868"/>
      <c r="N54" s="868"/>
    </row>
    <row r="55" spans="3:33" ht="24" customHeight="1">
      <c r="C55" s="868"/>
      <c r="D55" s="868"/>
    </row>
    <row r="56" spans="3:33">
      <c r="D56" s="868"/>
    </row>
    <row r="57" spans="3:33">
      <c r="D57" s="868"/>
    </row>
    <row r="58" spans="3:33">
      <c r="D58" s="868"/>
    </row>
    <row r="59" spans="3:33">
      <c r="D59" s="868"/>
    </row>
    <row r="60" spans="3:33">
      <c r="D60" s="868"/>
    </row>
    <row r="61" spans="3:33">
      <c r="D61" s="868"/>
    </row>
    <row r="62" spans="3:33">
      <c r="D62" s="868"/>
    </row>
    <row r="63" spans="3:33">
      <c r="D63" s="868"/>
    </row>
    <row r="64" spans="3:33">
      <c r="D64" s="868"/>
    </row>
    <row r="65" spans="4:4">
      <c r="D65" s="868"/>
    </row>
    <row r="66" spans="4:4">
      <c r="D66" s="868"/>
    </row>
    <row r="67" spans="4:4">
      <c r="D67" s="868"/>
    </row>
    <row r="68" spans="4:4">
      <c r="D68" s="868"/>
    </row>
    <row r="69" spans="4:4">
      <c r="D69" s="868"/>
    </row>
    <row r="70" spans="4:4">
      <c r="D70" s="868"/>
    </row>
    <row r="71" spans="4:4">
      <c r="D71" s="868"/>
    </row>
    <row r="72" spans="4:4">
      <c r="D72" s="868"/>
    </row>
    <row r="73" spans="4:4">
      <c r="D73" s="868"/>
    </row>
    <row r="74" spans="4:4">
      <c r="D74" s="868"/>
    </row>
    <row r="75" spans="4:4">
      <c r="D75" s="868"/>
    </row>
    <row r="76" spans="4:4">
      <c r="D76" s="868"/>
    </row>
    <row r="77" spans="4:4">
      <c r="D77" s="868"/>
    </row>
    <row r="78" spans="4:4">
      <c r="D78" s="868"/>
    </row>
    <row r="79" spans="4:4">
      <c r="D79" s="868"/>
    </row>
    <row r="80" spans="4:4">
      <c r="D80" s="868"/>
    </row>
    <row r="81" spans="4:4">
      <c r="D81" s="868"/>
    </row>
    <row r="82" spans="4:4">
      <c r="D82" s="868"/>
    </row>
    <row r="83" spans="4:4">
      <c r="D83" s="868"/>
    </row>
    <row r="84" spans="4:4">
      <c r="D84" s="868"/>
    </row>
    <row r="85" spans="4:4">
      <c r="D85" s="868"/>
    </row>
    <row r="86" spans="4:4">
      <c r="D86" s="868"/>
    </row>
    <row r="87" spans="4:4">
      <c r="D87" s="868"/>
    </row>
    <row r="88" spans="4:4">
      <c r="D88" s="868"/>
    </row>
    <row r="89" spans="4:4">
      <c r="D89" s="868"/>
    </row>
    <row r="90" spans="4:4">
      <c r="D90" s="868"/>
    </row>
    <row r="91" spans="4:4">
      <c r="D91" s="868"/>
    </row>
    <row r="92" spans="4:4">
      <c r="D92" s="868"/>
    </row>
    <row r="93" spans="4:4">
      <c r="D93" s="868"/>
    </row>
    <row r="94" spans="4:4">
      <c r="D94" s="868"/>
    </row>
    <row r="95" spans="4:4">
      <c r="D95" s="868"/>
    </row>
    <row r="96" spans="4:4">
      <c r="D96" s="868"/>
    </row>
    <row r="97" spans="4:4">
      <c r="D97" s="868"/>
    </row>
    <row r="98" spans="4:4">
      <c r="D98" s="868"/>
    </row>
    <row r="99" spans="4:4">
      <c r="D99" s="868"/>
    </row>
    <row r="100" spans="4:4">
      <c r="D100" s="868"/>
    </row>
    <row r="101" spans="4:4">
      <c r="D101" s="868"/>
    </row>
    <row r="102" spans="4:4">
      <c r="D102" s="868"/>
    </row>
    <row r="103" spans="4:4">
      <c r="D103" s="868"/>
    </row>
    <row r="104" spans="4:4">
      <c r="D104" s="868"/>
    </row>
    <row r="105" spans="4:4">
      <c r="D105" s="868"/>
    </row>
    <row r="106" spans="4:4">
      <c r="D106" s="868"/>
    </row>
    <row r="107" spans="4:4">
      <c r="D107" s="868"/>
    </row>
    <row r="108" spans="4:4">
      <c r="D108" s="868"/>
    </row>
    <row r="109" spans="4:4">
      <c r="D109" s="868"/>
    </row>
    <row r="110" spans="4:4">
      <c r="D110" s="868"/>
    </row>
    <row r="111" spans="4:4">
      <c r="D111" s="868"/>
    </row>
    <row r="112" spans="4:4">
      <c r="D112" s="868"/>
    </row>
    <row r="113" spans="4:4">
      <c r="D113" s="868"/>
    </row>
    <row r="114" spans="4:4">
      <c r="D114" s="868"/>
    </row>
    <row r="115" spans="4:4">
      <c r="D115" s="868"/>
    </row>
    <row r="116" spans="4:4">
      <c r="D116" s="868"/>
    </row>
    <row r="117" spans="4:4">
      <c r="D117" s="868"/>
    </row>
    <row r="118" spans="4:4">
      <c r="D118" s="868"/>
    </row>
    <row r="119" spans="4:4">
      <c r="D119" s="868"/>
    </row>
    <row r="120" spans="4:4">
      <c r="D120" s="868"/>
    </row>
    <row r="121" spans="4:4">
      <c r="D121" s="868"/>
    </row>
    <row r="122" spans="4:4">
      <c r="D122" s="868"/>
    </row>
    <row r="123" spans="4:4">
      <c r="D123" s="868"/>
    </row>
    <row r="124" spans="4:4">
      <c r="D124" s="868"/>
    </row>
    <row r="125" spans="4:4">
      <c r="D125" s="868"/>
    </row>
    <row r="126" spans="4:4">
      <c r="D126" s="868"/>
    </row>
    <row r="127" spans="4:4">
      <c r="D127" s="868"/>
    </row>
    <row r="128" spans="4:4">
      <c r="D128" s="868"/>
    </row>
    <row r="129" spans="4:4">
      <c r="D129" s="868"/>
    </row>
    <row r="130" spans="4:4">
      <c r="D130" s="868"/>
    </row>
    <row r="131" spans="4:4">
      <c r="D131" s="868"/>
    </row>
    <row r="132" spans="4:4">
      <c r="D132" s="868"/>
    </row>
    <row r="133" spans="4:4">
      <c r="D133" s="868"/>
    </row>
    <row r="134" spans="4:4">
      <c r="D134" s="868"/>
    </row>
    <row r="135" spans="4:4">
      <c r="D135" s="868"/>
    </row>
    <row r="136" spans="4:4">
      <c r="D136" s="868"/>
    </row>
    <row r="137" spans="4:4">
      <c r="D137" s="868"/>
    </row>
    <row r="138" spans="4:4">
      <c r="D138" s="868"/>
    </row>
    <row r="139" spans="4:4">
      <c r="D139" s="868"/>
    </row>
    <row r="140" spans="4:4">
      <c r="D140" s="868"/>
    </row>
    <row r="141" spans="4:4">
      <c r="D141" s="868"/>
    </row>
    <row r="142" spans="4:4">
      <c r="D142" s="868"/>
    </row>
    <row r="143" spans="4:4">
      <c r="D143" s="868"/>
    </row>
    <row r="144" spans="4:4">
      <c r="D144" s="868"/>
    </row>
    <row r="145" spans="4:4">
      <c r="D145" s="868"/>
    </row>
    <row r="146" spans="4:4">
      <c r="D146" s="868"/>
    </row>
    <row r="147" spans="4:4">
      <c r="D147" s="868"/>
    </row>
    <row r="148" spans="4:4">
      <c r="D148" s="868"/>
    </row>
    <row r="149" spans="4:4">
      <c r="D149" s="868"/>
    </row>
    <row r="150" spans="4:4">
      <c r="D150" s="868"/>
    </row>
    <row r="151" spans="4:4">
      <c r="D151" s="868"/>
    </row>
    <row r="152" spans="4:4">
      <c r="D152" s="868"/>
    </row>
    <row r="153" spans="4:4">
      <c r="D153" s="868"/>
    </row>
    <row r="154" spans="4:4">
      <c r="D154" s="868"/>
    </row>
    <row r="155" spans="4:4">
      <c r="D155" s="868"/>
    </row>
    <row r="156" spans="4:4">
      <c r="D156" s="868"/>
    </row>
    <row r="157" spans="4:4">
      <c r="D157" s="868"/>
    </row>
    <row r="158" spans="4:4">
      <c r="D158" s="868"/>
    </row>
    <row r="159" spans="4:4">
      <c r="D159" s="868"/>
    </row>
    <row r="160" spans="4:4">
      <c r="D160" s="868"/>
    </row>
    <row r="161" spans="4:4">
      <c r="D161" s="868"/>
    </row>
    <row r="162" spans="4:4">
      <c r="D162" s="868"/>
    </row>
    <row r="163" spans="4:4">
      <c r="D163" s="868"/>
    </row>
    <row r="164" spans="4:4">
      <c r="D164" s="868"/>
    </row>
    <row r="165" spans="4:4">
      <c r="D165" s="868"/>
    </row>
    <row r="166" spans="4:4">
      <c r="D166" s="868"/>
    </row>
    <row r="167" spans="4:4">
      <c r="D167" s="868"/>
    </row>
    <row r="168" spans="4:4">
      <c r="D168" s="868"/>
    </row>
    <row r="169" spans="4:4">
      <c r="D169" s="868"/>
    </row>
    <row r="170" spans="4:4">
      <c r="D170" s="868"/>
    </row>
    <row r="171" spans="4:4">
      <c r="D171" s="868"/>
    </row>
    <row r="172" spans="4:4">
      <c r="D172" s="868"/>
    </row>
    <row r="173" spans="4:4">
      <c r="D173" s="868"/>
    </row>
    <row r="174" spans="4:4">
      <c r="D174" s="868"/>
    </row>
    <row r="175" spans="4:4">
      <c r="D175" s="868"/>
    </row>
    <row r="176" spans="4:4">
      <c r="D176" s="868"/>
    </row>
    <row r="177" spans="4:4">
      <c r="D177" s="868"/>
    </row>
    <row r="178" spans="4:4">
      <c r="D178" s="868"/>
    </row>
    <row r="179" spans="4:4">
      <c r="D179" s="868"/>
    </row>
    <row r="180" spans="4:4">
      <c r="D180" s="868"/>
    </row>
    <row r="181" spans="4:4">
      <c r="D181" s="868"/>
    </row>
    <row r="182" spans="4:4">
      <c r="D182" s="868"/>
    </row>
    <row r="183" spans="4:4">
      <c r="D183" s="868"/>
    </row>
    <row r="184" spans="4:4">
      <c r="D184" s="868"/>
    </row>
    <row r="185" spans="4:4">
      <c r="D185" s="868"/>
    </row>
    <row r="186" spans="4:4">
      <c r="D186" s="868"/>
    </row>
    <row r="187" spans="4:4">
      <c r="D187" s="868"/>
    </row>
    <row r="188" spans="4:4">
      <c r="D188" s="868"/>
    </row>
    <row r="189" spans="4:4">
      <c r="D189" s="868"/>
    </row>
    <row r="190" spans="4:4">
      <c r="D190" s="868"/>
    </row>
    <row r="191" spans="4:4">
      <c r="D191" s="868"/>
    </row>
    <row r="192" spans="4:4">
      <c r="D192" s="868"/>
    </row>
    <row r="193" spans="4:4">
      <c r="D193" s="868"/>
    </row>
    <row r="194" spans="4:4">
      <c r="D194" s="868"/>
    </row>
    <row r="195" spans="4:4">
      <c r="D195" s="868"/>
    </row>
    <row r="196" spans="4:4">
      <c r="D196" s="868"/>
    </row>
    <row r="197" spans="4:4">
      <c r="D197" s="868"/>
    </row>
    <row r="198" spans="4:4">
      <c r="D198" s="868"/>
    </row>
    <row r="199" spans="4:4">
      <c r="D199" s="868"/>
    </row>
    <row r="200" spans="4:4">
      <c r="D200" s="868"/>
    </row>
    <row r="201" spans="4:4">
      <c r="D201" s="868"/>
    </row>
    <row r="202" spans="4:4">
      <c r="D202" s="868"/>
    </row>
    <row r="203" spans="4:4">
      <c r="D203" s="868"/>
    </row>
    <row r="204" spans="4:4">
      <c r="D204" s="868"/>
    </row>
    <row r="205" spans="4:4">
      <c r="D205" s="868"/>
    </row>
    <row r="206" spans="4:4">
      <c r="D206" s="868"/>
    </row>
    <row r="207" spans="4:4">
      <c r="D207" s="868"/>
    </row>
    <row r="208" spans="4:4">
      <c r="D208" s="868"/>
    </row>
    <row r="209" spans="4:4">
      <c r="D209" s="868"/>
    </row>
    <row r="210" spans="4:4">
      <c r="D210" s="868"/>
    </row>
    <row r="211" spans="4:4">
      <c r="D211" s="868"/>
    </row>
    <row r="212" spans="4:4">
      <c r="D212" s="868"/>
    </row>
    <row r="213" spans="4:4">
      <c r="D213" s="868"/>
    </row>
    <row r="214" spans="4:4">
      <c r="D214" s="868"/>
    </row>
    <row r="215" spans="4:4">
      <c r="D215" s="868"/>
    </row>
    <row r="216" spans="4:4">
      <c r="D216" s="868"/>
    </row>
    <row r="217" spans="4:4">
      <c r="D217" s="868"/>
    </row>
    <row r="218" spans="4:4">
      <c r="D218" s="868"/>
    </row>
    <row r="219" spans="4:4">
      <c r="D219" s="868"/>
    </row>
    <row r="220" spans="4:4">
      <c r="D220" s="868"/>
    </row>
    <row r="221" spans="4:4">
      <c r="D221" s="868"/>
    </row>
    <row r="222" spans="4:4">
      <c r="D222" s="868"/>
    </row>
    <row r="223" spans="4:4">
      <c r="D223" s="868"/>
    </row>
    <row r="224" spans="4:4">
      <c r="D224" s="868"/>
    </row>
    <row r="225" spans="4:4">
      <c r="D225" s="868"/>
    </row>
    <row r="226" spans="4:4">
      <c r="D226" s="868"/>
    </row>
    <row r="227" spans="4:4">
      <c r="D227" s="868"/>
    </row>
    <row r="228" spans="4:4">
      <c r="D228" s="868"/>
    </row>
    <row r="229" spans="4:4">
      <c r="D229" s="868"/>
    </row>
    <row r="230" spans="4:4">
      <c r="D230" s="868"/>
    </row>
    <row r="231" spans="4:4">
      <c r="D231" s="868"/>
    </row>
    <row r="232" spans="4:4">
      <c r="D232" s="868"/>
    </row>
    <row r="233" spans="4:4">
      <c r="D233" s="868"/>
    </row>
    <row r="234" spans="4:4">
      <c r="D234" s="868"/>
    </row>
    <row r="235" spans="4:4">
      <c r="D235" s="868"/>
    </row>
    <row r="236" spans="4:4">
      <c r="D236" s="868"/>
    </row>
    <row r="237" spans="4:4">
      <c r="D237" s="868"/>
    </row>
    <row r="238" spans="4:4">
      <c r="D238" s="868"/>
    </row>
    <row r="239" spans="4:4">
      <c r="D239" s="868"/>
    </row>
    <row r="240" spans="4:4">
      <c r="D240" s="868"/>
    </row>
    <row r="241" spans="4:4">
      <c r="D241" s="868"/>
    </row>
    <row r="242" spans="4:4">
      <c r="D242" s="868"/>
    </row>
    <row r="243" spans="4:4">
      <c r="D243" s="868"/>
    </row>
    <row r="244" spans="4:4">
      <c r="D244" s="868"/>
    </row>
    <row r="245" spans="4:4">
      <c r="D245" s="868"/>
    </row>
    <row r="246" spans="4:4">
      <c r="D246" s="868"/>
    </row>
    <row r="247" spans="4:4">
      <c r="D247" s="868"/>
    </row>
    <row r="248" spans="4:4">
      <c r="D248" s="868"/>
    </row>
    <row r="249" spans="4:4">
      <c r="D249" s="868"/>
    </row>
    <row r="250" spans="4:4">
      <c r="D250" s="868"/>
    </row>
    <row r="251" spans="4:4">
      <c r="D251" s="868"/>
    </row>
    <row r="252" spans="4:4">
      <c r="D252" s="868"/>
    </row>
    <row r="253" spans="4:4">
      <c r="D253" s="868"/>
    </row>
    <row r="254" spans="4:4">
      <c r="D254" s="868"/>
    </row>
    <row r="255" spans="4:4">
      <c r="D255" s="868"/>
    </row>
    <row r="256" spans="4:4">
      <c r="D256" s="868"/>
    </row>
    <row r="257" spans="4:4">
      <c r="D257" s="868"/>
    </row>
    <row r="258" spans="4:4">
      <c r="D258" s="868"/>
    </row>
    <row r="259" spans="4:4">
      <c r="D259" s="868"/>
    </row>
    <row r="260" spans="4:4">
      <c r="D260" s="868"/>
    </row>
    <row r="261" spans="4:4">
      <c r="D261" s="868"/>
    </row>
    <row r="262" spans="4:4">
      <c r="D262" s="868"/>
    </row>
    <row r="263" spans="4:4">
      <c r="D263" s="868"/>
    </row>
    <row r="264" spans="4:4">
      <c r="D264" s="868"/>
    </row>
    <row r="265" spans="4:4">
      <c r="D265" s="868"/>
    </row>
    <row r="266" spans="4:4">
      <c r="D266" s="868"/>
    </row>
    <row r="267" spans="4:4">
      <c r="D267" s="868"/>
    </row>
    <row r="268" spans="4:4">
      <c r="D268" s="868"/>
    </row>
    <row r="269" spans="4:4">
      <c r="D269" s="868"/>
    </row>
    <row r="270" spans="4:4">
      <c r="D270" s="868"/>
    </row>
    <row r="271" spans="4:4">
      <c r="D271" s="868"/>
    </row>
    <row r="272" spans="4:4">
      <c r="D272" s="868"/>
    </row>
    <row r="273" spans="4:4">
      <c r="D273" s="868"/>
    </row>
    <row r="274" spans="4:4">
      <c r="D274" s="868"/>
    </row>
    <row r="275" spans="4:4">
      <c r="D275" s="868"/>
    </row>
    <row r="276" spans="4:4">
      <c r="D276" s="868"/>
    </row>
    <row r="277" spans="4:4">
      <c r="D277" s="868"/>
    </row>
    <row r="278" spans="4:4">
      <c r="D278" s="868"/>
    </row>
    <row r="279" spans="4:4">
      <c r="D279" s="868"/>
    </row>
    <row r="280" spans="4:4">
      <c r="D280" s="868"/>
    </row>
    <row r="281" spans="4:4">
      <c r="D281" s="868"/>
    </row>
    <row r="282" spans="4:4">
      <c r="D282" s="868"/>
    </row>
    <row r="283" spans="4:4">
      <c r="D283" s="868"/>
    </row>
    <row r="284" spans="4:4">
      <c r="D284" s="868"/>
    </row>
    <row r="285" spans="4:4">
      <c r="D285" s="868"/>
    </row>
    <row r="286" spans="4:4">
      <c r="D286" s="868"/>
    </row>
    <row r="287" spans="4:4">
      <c r="D287" s="868"/>
    </row>
    <row r="288" spans="4:4">
      <c r="D288" s="868"/>
    </row>
    <row r="289" spans="4:4">
      <c r="D289" s="868"/>
    </row>
    <row r="290" spans="4:4">
      <c r="D290" s="868"/>
    </row>
    <row r="291" spans="4:4">
      <c r="D291" s="868"/>
    </row>
    <row r="292" spans="4:4">
      <c r="D292" s="868"/>
    </row>
    <row r="293" spans="4:4">
      <c r="D293" s="868"/>
    </row>
    <row r="294" spans="4:4">
      <c r="D294" s="868"/>
    </row>
    <row r="295" spans="4:4">
      <c r="D295" s="868"/>
    </row>
    <row r="296" spans="4:4">
      <c r="D296" s="868"/>
    </row>
    <row r="297" spans="4:4">
      <c r="D297" s="868"/>
    </row>
    <row r="298" spans="4:4">
      <c r="D298" s="868"/>
    </row>
    <row r="299" spans="4:4">
      <c r="D299" s="868"/>
    </row>
    <row r="300" spans="4:4">
      <c r="D300" s="868"/>
    </row>
    <row r="301" spans="4:4">
      <c r="D301" s="868"/>
    </row>
    <row r="302" spans="4:4">
      <c r="D302" s="868"/>
    </row>
    <row r="303" spans="4:4">
      <c r="D303" s="868"/>
    </row>
    <row r="304" spans="4:4">
      <c r="D304" s="868"/>
    </row>
    <row r="305" spans="4:4">
      <c r="D305" s="868"/>
    </row>
    <row r="306" spans="4:4">
      <c r="D306" s="868"/>
    </row>
    <row r="307" spans="4:4">
      <c r="D307" s="868"/>
    </row>
    <row r="308" spans="4:4">
      <c r="D308" s="868"/>
    </row>
    <row r="309" spans="4:4">
      <c r="D309" s="868"/>
    </row>
    <row r="310" spans="4:4">
      <c r="D310" s="868"/>
    </row>
    <row r="311" spans="4:4">
      <c r="D311" s="868"/>
    </row>
    <row r="312" spans="4:4">
      <c r="D312" s="868"/>
    </row>
    <row r="313" spans="4:4">
      <c r="D313" s="868"/>
    </row>
    <row r="314" spans="4:4">
      <c r="D314" s="868"/>
    </row>
    <row r="315" spans="4:4">
      <c r="D315" s="868"/>
    </row>
    <row r="316" spans="4:4">
      <c r="D316" s="868"/>
    </row>
    <row r="317" spans="4:4">
      <c r="D317" s="868"/>
    </row>
    <row r="318" spans="4:4">
      <c r="D318" s="868"/>
    </row>
    <row r="319" spans="4:4">
      <c r="D319" s="868"/>
    </row>
    <row r="320" spans="4:4">
      <c r="D320" s="868"/>
    </row>
    <row r="321" spans="4:4">
      <c r="D321" s="868"/>
    </row>
    <row r="322" spans="4:4">
      <c r="D322" s="868"/>
    </row>
    <row r="323" spans="4:4">
      <c r="D323" s="868"/>
    </row>
    <row r="324" spans="4:4">
      <c r="D324" s="868"/>
    </row>
    <row r="325" spans="4:4">
      <c r="D325" s="868"/>
    </row>
    <row r="326" spans="4:4">
      <c r="D326" s="868"/>
    </row>
    <row r="327" spans="4:4">
      <c r="D327" s="868"/>
    </row>
    <row r="328" spans="4:4">
      <c r="D328" s="868"/>
    </row>
    <row r="329" spans="4:4">
      <c r="D329" s="868"/>
    </row>
    <row r="330" spans="4:4">
      <c r="D330" s="868"/>
    </row>
    <row r="331" spans="4:4">
      <c r="D331" s="868"/>
    </row>
    <row r="332" spans="4:4">
      <c r="D332" s="868"/>
    </row>
    <row r="333" spans="4:4">
      <c r="D333" s="868"/>
    </row>
    <row r="334" spans="4:4">
      <c r="D334" s="868"/>
    </row>
    <row r="335" spans="4:4">
      <c r="D335" s="868"/>
    </row>
    <row r="336" spans="4:4">
      <c r="D336" s="868"/>
    </row>
    <row r="337" spans="4:4">
      <c r="D337" s="868"/>
    </row>
    <row r="338" spans="4:4">
      <c r="D338" s="868"/>
    </row>
    <row r="339" spans="4:4">
      <c r="D339" s="868"/>
    </row>
    <row r="340" spans="4:4">
      <c r="D340" s="868"/>
    </row>
    <row r="341" spans="4:4">
      <c r="D341" s="868"/>
    </row>
    <row r="342" spans="4:4">
      <c r="D342" s="868"/>
    </row>
    <row r="343" spans="4:4">
      <c r="D343" s="868"/>
    </row>
    <row r="344" spans="4:4">
      <c r="D344" s="868"/>
    </row>
    <row r="345" spans="4:4">
      <c r="D345" s="868"/>
    </row>
    <row r="346" spans="4:4">
      <c r="D346" s="868"/>
    </row>
    <row r="347" spans="4:4">
      <c r="D347" s="868"/>
    </row>
    <row r="348" spans="4:4">
      <c r="D348" s="868"/>
    </row>
    <row r="349" spans="4:4">
      <c r="D349" s="868"/>
    </row>
    <row r="350" spans="4:4">
      <c r="D350" s="868"/>
    </row>
    <row r="351" spans="4:4">
      <c r="D351" s="868"/>
    </row>
    <row r="352" spans="4:4">
      <c r="D352" s="868"/>
    </row>
    <row r="353" spans="4:4">
      <c r="D353" s="868"/>
    </row>
    <row r="354" spans="4:4">
      <c r="D354" s="868"/>
    </row>
    <row r="355" spans="4:4">
      <c r="D355" s="868"/>
    </row>
    <row r="356" spans="4:4">
      <c r="D356" s="868"/>
    </row>
    <row r="357" spans="4:4">
      <c r="D357" s="868"/>
    </row>
    <row r="358" spans="4:4">
      <c r="D358" s="868"/>
    </row>
    <row r="359" spans="4:4">
      <c r="D359" s="868"/>
    </row>
    <row r="360" spans="4:4">
      <c r="D360" s="868"/>
    </row>
    <row r="361" spans="4:4">
      <c r="D361" s="868"/>
    </row>
    <row r="362" spans="4:4">
      <c r="D362" s="868"/>
    </row>
    <row r="363" spans="4:4">
      <c r="D363" s="868"/>
    </row>
    <row r="364" spans="4:4">
      <c r="D364" s="868"/>
    </row>
    <row r="365" spans="4:4">
      <c r="D365" s="868"/>
    </row>
    <row r="366" spans="4:4">
      <c r="D366" s="868"/>
    </row>
    <row r="367" spans="4:4">
      <c r="D367" s="868"/>
    </row>
    <row r="368" spans="4:4">
      <c r="D368" s="868"/>
    </row>
    <row r="369" spans="4:4">
      <c r="D369" s="868"/>
    </row>
    <row r="370" spans="4:4">
      <c r="D370" s="868"/>
    </row>
    <row r="371" spans="4:4">
      <c r="D371" s="868"/>
    </row>
    <row r="372" spans="4:4">
      <c r="D372" s="868"/>
    </row>
    <row r="373" spans="4:4">
      <c r="D373" s="868"/>
    </row>
    <row r="374" spans="4:4">
      <c r="D374" s="868"/>
    </row>
    <row r="375" spans="4:4">
      <c r="D375" s="868"/>
    </row>
    <row r="376" spans="4:4">
      <c r="D376" s="868"/>
    </row>
    <row r="377" spans="4:4">
      <c r="D377" s="868"/>
    </row>
    <row r="378" spans="4:4">
      <c r="D378" s="868"/>
    </row>
    <row r="379" spans="4:4">
      <c r="D379" s="868"/>
    </row>
    <row r="380" spans="4:4">
      <c r="D380" s="868"/>
    </row>
    <row r="381" spans="4:4">
      <c r="D381" s="868"/>
    </row>
    <row r="382" spans="4:4">
      <c r="D382" s="868"/>
    </row>
    <row r="383" spans="4:4">
      <c r="D383" s="868"/>
    </row>
    <row r="384" spans="4:4">
      <c r="D384" s="868"/>
    </row>
    <row r="385" spans="4:4">
      <c r="D385" s="868"/>
    </row>
    <row r="386" spans="4:4">
      <c r="D386" s="868"/>
    </row>
    <row r="387" spans="4:4">
      <c r="D387" s="868"/>
    </row>
    <row r="388" spans="4:4">
      <c r="D388" s="868"/>
    </row>
    <row r="389" spans="4:4">
      <c r="D389" s="868"/>
    </row>
    <row r="390" spans="4:4">
      <c r="D390" s="868"/>
    </row>
    <row r="391" spans="4:4">
      <c r="D391" s="868"/>
    </row>
    <row r="392" spans="4:4">
      <c r="D392" s="868"/>
    </row>
    <row r="393" spans="4:4">
      <c r="D393" s="868"/>
    </row>
    <row r="394" spans="4:4">
      <c r="D394" s="868"/>
    </row>
    <row r="395" spans="4:4">
      <c r="D395" s="868"/>
    </row>
    <row r="396" spans="4:4">
      <c r="D396" s="868"/>
    </row>
    <row r="397" spans="4:4">
      <c r="D397" s="868"/>
    </row>
    <row r="398" spans="4:4">
      <c r="D398" s="868"/>
    </row>
    <row r="399" spans="4:4">
      <c r="D399" s="868"/>
    </row>
    <row r="400" spans="4:4">
      <c r="D400" s="868"/>
    </row>
    <row r="401" spans="4:4">
      <c r="D401" s="868"/>
    </row>
    <row r="402" spans="4:4">
      <c r="D402" s="868"/>
    </row>
    <row r="403" spans="4:4">
      <c r="D403" s="868"/>
    </row>
    <row r="404" spans="4:4">
      <c r="D404" s="868"/>
    </row>
    <row r="405" spans="4:4">
      <c r="D405" s="868"/>
    </row>
    <row r="406" spans="4:4">
      <c r="D406" s="868"/>
    </row>
    <row r="407" spans="4:4">
      <c r="D407" s="868"/>
    </row>
    <row r="408" spans="4:4">
      <c r="D408" s="868"/>
    </row>
    <row r="409" spans="4:4">
      <c r="D409" s="868"/>
    </row>
    <row r="410" spans="4:4">
      <c r="D410" s="868"/>
    </row>
    <row r="411" spans="4:4">
      <c r="D411" s="868"/>
    </row>
    <row r="412" spans="4:4">
      <c r="D412" s="868"/>
    </row>
    <row r="413" spans="4:4">
      <c r="D413" s="868"/>
    </row>
    <row r="414" spans="4:4">
      <c r="D414" s="868"/>
    </row>
    <row r="415" spans="4:4">
      <c r="D415" s="868"/>
    </row>
    <row r="416" spans="4:4">
      <c r="D416" s="868"/>
    </row>
    <row r="417" spans="4:4">
      <c r="D417" s="868"/>
    </row>
    <row r="418" spans="4:4">
      <c r="D418" s="868"/>
    </row>
    <row r="419" spans="4:4">
      <c r="D419" s="868"/>
    </row>
    <row r="420" spans="4:4">
      <c r="D420" s="868"/>
    </row>
    <row r="421" spans="4:4">
      <c r="D421" s="868"/>
    </row>
    <row r="422" spans="4:4">
      <c r="D422" s="868"/>
    </row>
    <row r="423" spans="4:4">
      <c r="D423" s="868"/>
    </row>
    <row r="424" spans="4:4">
      <c r="D424" s="868"/>
    </row>
    <row r="425" spans="4:4">
      <c r="D425" s="868"/>
    </row>
    <row r="426" spans="4:4">
      <c r="D426" s="868"/>
    </row>
    <row r="427" spans="4:4">
      <c r="D427" s="868"/>
    </row>
    <row r="428" spans="4:4">
      <c r="D428" s="868"/>
    </row>
    <row r="429" spans="4:4">
      <c r="D429" s="868"/>
    </row>
    <row r="430" spans="4:4">
      <c r="D430" s="868"/>
    </row>
    <row r="431" spans="4:4">
      <c r="D431" s="868"/>
    </row>
    <row r="432" spans="4:4">
      <c r="D432" s="868"/>
    </row>
    <row r="433" spans="4:4">
      <c r="D433" s="868"/>
    </row>
    <row r="434" spans="4:4">
      <c r="D434" s="868"/>
    </row>
    <row r="435" spans="4:4">
      <c r="D435" s="868"/>
    </row>
    <row r="436" spans="4:4">
      <c r="D436" s="868"/>
    </row>
    <row r="437" spans="4:4">
      <c r="D437" s="868"/>
    </row>
    <row r="438" spans="4:4">
      <c r="D438" s="868"/>
    </row>
    <row r="439" spans="4:4">
      <c r="D439" s="868"/>
    </row>
    <row r="440" spans="4:4">
      <c r="D440" s="868"/>
    </row>
    <row r="441" spans="4:4">
      <c r="D441" s="868"/>
    </row>
    <row r="442" spans="4:4">
      <c r="D442" s="868"/>
    </row>
    <row r="443" spans="4:4">
      <c r="D443" s="868"/>
    </row>
    <row r="444" spans="4:4">
      <c r="D444" s="868"/>
    </row>
    <row r="445" spans="4:4">
      <c r="D445" s="868"/>
    </row>
    <row r="446" spans="4:4">
      <c r="D446" s="868"/>
    </row>
    <row r="447" spans="4:4">
      <c r="D447" s="868"/>
    </row>
    <row r="448" spans="4:4">
      <c r="D448" s="868"/>
    </row>
    <row r="449" spans="4:4">
      <c r="D449" s="868"/>
    </row>
    <row r="450" spans="4:4">
      <c r="D450" s="868"/>
    </row>
    <row r="451" spans="4:4">
      <c r="D451" s="868"/>
    </row>
    <row r="452" spans="4:4">
      <c r="D452" s="868"/>
    </row>
    <row r="453" spans="4:4">
      <c r="D453" s="868"/>
    </row>
    <row r="454" spans="4:4">
      <c r="D454" s="868"/>
    </row>
    <row r="455" spans="4:4">
      <c r="D455" s="868"/>
    </row>
    <row r="456" spans="4:4">
      <c r="D456" s="868"/>
    </row>
    <row r="457" spans="4:4">
      <c r="D457" s="868"/>
    </row>
    <row r="458" spans="4:4">
      <c r="D458" s="868"/>
    </row>
    <row r="459" spans="4:4">
      <c r="D459" s="868"/>
    </row>
    <row r="460" spans="4:4">
      <c r="D460" s="868"/>
    </row>
    <row r="461" spans="4:4">
      <c r="D461" s="868"/>
    </row>
    <row r="462" spans="4:4">
      <c r="D462" s="868"/>
    </row>
    <row r="463" spans="4:4">
      <c r="D463" s="868"/>
    </row>
    <row r="464" spans="4:4">
      <c r="D464" s="868"/>
    </row>
    <row r="465" spans="4:4">
      <c r="D465" s="868"/>
    </row>
    <row r="466" spans="4:4">
      <c r="D466" s="868"/>
    </row>
    <row r="467" spans="4:4">
      <c r="D467" s="868"/>
    </row>
    <row r="468" spans="4:4">
      <c r="D468" s="868"/>
    </row>
    <row r="469" spans="4:4">
      <c r="D469" s="868"/>
    </row>
    <row r="470" spans="4:4">
      <c r="D470" s="868"/>
    </row>
    <row r="471" spans="4:4">
      <c r="D471" s="868"/>
    </row>
    <row r="472" spans="4:4">
      <c r="D472" s="868"/>
    </row>
    <row r="473" spans="4:4">
      <c r="D473" s="868"/>
    </row>
    <row r="474" spans="4:4">
      <c r="D474" s="868"/>
    </row>
    <row r="475" spans="4:4">
      <c r="D475" s="868"/>
    </row>
    <row r="476" spans="4:4">
      <c r="D476" s="868"/>
    </row>
    <row r="477" spans="4:4">
      <c r="D477" s="868"/>
    </row>
    <row r="478" spans="4:4">
      <c r="D478" s="868"/>
    </row>
    <row r="479" spans="4:4">
      <c r="D479" s="868"/>
    </row>
    <row r="480" spans="4:4">
      <c r="D480" s="868"/>
    </row>
    <row r="481" spans="4:4">
      <c r="D481" s="868"/>
    </row>
    <row r="482" spans="4:4">
      <c r="D482" s="868"/>
    </row>
    <row r="483" spans="4:4">
      <c r="D483" s="868"/>
    </row>
    <row r="484" spans="4:4">
      <c r="D484" s="868"/>
    </row>
    <row r="485" spans="4:4">
      <c r="D485" s="868"/>
    </row>
    <row r="486" spans="4:4">
      <c r="D486" s="868"/>
    </row>
    <row r="487" spans="4:4">
      <c r="D487" s="868"/>
    </row>
    <row r="488" spans="4:4">
      <c r="D488" s="868"/>
    </row>
    <row r="489" spans="4:4">
      <c r="D489" s="868"/>
    </row>
    <row r="490" spans="4:4">
      <c r="D490" s="868"/>
    </row>
    <row r="491" spans="4:4">
      <c r="D491" s="868"/>
    </row>
    <row r="492" spans="4:4">
      <c r="D492" s="868"/>
    </row>
    <row r="493" spans="4:4">
      <c r="D493" s="868"/>
    </row>
    <row r="494" spans="4:4">
      <c r="D494" s="868"/>
    </row>
    <row r="495" spans="4:4">
      <c r="D495" s="868"/>
    </row>
    <row r="496" spans="4:4">
      <c r="D496" s="868"/>
    </row>
    <row r="497" spans="4:4">
      <c r="D497" s="868"/>
    </row>
    <row r="498" spans="4:4">
      <c r="D498" s="868"/>
    </row>
    <row r="499" spans="4:4">
      <c r="D499" s="868"/>
    </row>
    <row r="500" spans="4:4">
      <c r="D500" s="868"/>
    </row>
    <row r="501" spans="4:4">
      <c r="D501" s="868"/>
    </row>
    <row r="502" spans="4:4">
      <c r="D502" s="868"/>
    </row>
    <row r="503" spans="4:4">
      <c r="D503" s="868"/>
    </row>
    <row r="504" spans="4:4">
      <c r="D504" s="868"/>
    </row>
    <row r="505" spans="4:4">
      <c r="D505" s="868"/>
    </row>
    <row r="506" spans="4:4">
      <c r="D506" s="868"/>
    </row>
    <row r="507" spans="4:4">
      <c r="D507" s="868"/>
    </row>
    <row r="508" spans="4:4">
      <c r="D508" s="868"/>
    </row>
    <row r="509" spans="4:4">
      <c r="D509" s="868"/>
    </row>
    <row r="510" spans="4:4">
      <c r="D510" s="868"/>
    </row>
    <row r="511" spans="4:4">
      <c r="D511" s="868"/>
    </row>
    <row r="512" spans="4:4">
      <c r="D512" s="868"/>
    </row>
    <row r="513" spans="4:4">
      <c r="D513" s="868"/>
    </row>
    <row r="514" spans="4:4">
      <c r="D514" s="868"/>
    </row>
    <row r="515" spans="4:4">
      <c r="D515" s="868"/>
    </row>
    <row r="516" spans="4:4">
      <c r="D516" s="868"/>
    </row>
    <row r="517" spans="4:4">
      <c r="D517" s="868"/>
    </row>
    <row r="518" spans="4:4">
      <c r="D518" s="868"/>
    </row>
    <row r="519" spans="4:4">
      <c r="D519" s="868"/>
    </row>
    <row r="520" spans="4:4">
      <c r="D520" s="868"/>
    </row>
    <row r="521" spans="4:4">
      <c r="D521" s="868"/>
    </row>
    <row r="522" spans="4:4">
      <c r="D522" s="868"/>
    </row>
    <row r="523" spans="4:4">
      <c r="D523" s="868"/>
    </row>
    <row r="524" spans="4:4">
      <c r="D524" s="868"/>
    </row>
    <row r="525" spans="4:4">
      <c r="D525" s="868"/>
    </row>
    <row r="526" spans="4:4">
      <c r="D526" s="868"/>
    </row>
    <row r="527" spans="4:4">
      <c r="D527" s="868"/>
    </row>
    <row r="528" spans="4:4">
      <c r="D528" s="868"/>
    </row>
    <row r="529" spans="4:4">
      <c r="D529" s="868"/>
    </row>
    <row r="530" spans="4:4">
      <c r="D530" s="868"/>
    </row>
    <row r="531" spans="4:4">
      <c r="D531" s="868"/>
    </row>
    <row r="532" spans="4:4">
      <c r="D532" s="868"/>
    </row>
    <row r="533" spans="4:4">
      <c r="D533" s="868"/>
    </row>
    <row r="534" spans="4:4">
      <c r="D534" s="868"/>
    </row>
    <row r="535" spans="4:4">
      <c r="D535" s="868"/>
    </row>
    <row r="536" spans="4:4">
      <c r="D536" s="868"/>
    </row>
    <row r="537" spans="4:4">
      <c r="D537" s="868"/>
    </row>
    <row r="538" spans="4:4">
      <c r="D538" s="868"/>
    </row>
    <row r="539" spans="4:4">
      <c r="D539" s="868"/>
    </row>
    <row r="540" spans="4:4">
      <c r="D540" s="868"/>
    </row>
    <row r="541" spans="4:4">
      <c r="D541" s="868"/>
    </row>
    <row r="542" spans="4:4">
      <c r="D542" s="868"/>
    </row>
    <row r="543" spans="4:4">
      <c r="D543" s="868"/>
    </row>
    <row r="544" spans="4:4">
      <c r="D544" s="868"/>
    </row>
    <row r="545" spans="4:4">
      <c r="D545" s="868"/>
    </row>
    <row r="546" spans="4:4">
      <c r="D546" s="868"/>
    </row>
    <row r="547" spans="4:4">
      <c r="D547" s="868"/>
    </row>
    <row r="548" spans="4:4">
      <c r="D548" s="868"/>
    </row>
    <row r="549" spans="4:4">
      <c r="D549" s="868"/>
    </row>
    <row r="550" spans="4:4">
      <c r="D550" s="868"/>
    </row>
    <row r="551" spans="4:4">
      <c r="D551" s="868"/>
    </row>
    <row r="552" spans="4:4">
      <c r="D552" s="868"/>
    </row>
    <row r="553" spans="4:4">
      <c r="D553" s="868"/>
    </row>
    <row r="554" spans="4:4">
      <c r="D554" s="868"/>
    </row>
    <row r="555" spans="4:4">
      <c r="D555" s="868"/>
    </row>
    <row r="556" spans="4:4">
      <c r="D556" s="868"/>
    </row>
    <row r="557" spans="4:4">
      <c r="D557" s="868"/>
    </row>
    <row r="558" spans="4:4">
      <c r="D558" s="868"/>
    </row>
    <row r="559" spans="4:4">
      <c r="D559" s="868"/>
    </row>
    <row r="560" spans="4:4">
      <c r="D560" s="868"/>
    </row>
    <row r="561" spans="4:4">
      <c r="D561" s="868"/>
    </row>
    <row r="562" spans="4:4">
      <c r="D562" s="868"/>
    </row>
    <row r="563" spans="4:4">
      <c r="D563" s="868"/>
    </row>
    <row r="564" spans="4:4">
      <c r="D564" s="868"/>
    </row>
    <row r="565" spans="4:4">
      <c r="D565" s="868"/>
    </row>
    <row r="566" spans="4:4">
      <c r="D566" s="868"/>
    </row>
    <row r="567" spans="4:4">
      <c r="D567" s="868"/>
    </row>
    <row r="568" spans="4:4">
      <c r="D568" s="868"/>
    </row>
    <row r="569" spans="4:4">
      <c r="D569" s="868"/>
    </row>
    <row r="570" spans="4:4">
      <c r="D570" s="868"/>
    </row>
    <row r="571" spans="4:4">
      <c r="D571" s="868"/>
    </row>
    <row r="572" spans="4:4">
      <c r="D572" s="868"/>
    </row>
    <row r="573" spans="4:4">
      <c r="D573" s="868"/>
    </row>
    <row r="574" spans="4:4">
      <c r="D574" s="868"/>
    </row>
    <row r="575" spans="4:4">
      <c r="D575" s="868"/>
    </row>
    <row r="576" spans="4:4">
      <c r="D576" s="868"/>
    </row>
    <row r="577" spans="4:4">
      <c r="D577" s="868"/>
    </row>
    <row r="578" spans="4:4">
      <c r="D578" s="868"/>
    </row>
    <row r="579" spans="4:4">
      <c r="D579" s="868"/>
    </row>
    <row r="580" spans="4:4">
      <c r="D580" s="868"/>
    </row>
    <row r="581" spans="4:4">
      <c r="D581" s="868"/>
    </row>
    <row r="582" spans="4:4">
      <c r="D582" s="868"/>
    </row>
    <row r="583" spans="4:4">
      <c r="D583" s="868"/>
    </row>
    <row r="584" spans="4:4">
      <c r="D584" s="868"/>
    </row>
    <row r="585" spans="4:4">
      <c r="D585" s="868"/>
    </row>
    <row r="586" spans="4:4">
      <c r="D586" s="868"/>
    </row>
    <row r="587" spans="4:4">
      <c r="D587" s="868"/>
    </row>
    <row r="588" spans="4:4">
      <c r="D588" s="868"/>
    </row>
    <row r="589" spans="4:4">
      <c r="D589" s="868"/>
    </row>
    <row r="590" spans="4:4">
      <c r="D590" s="868"/>
    </row>
    <row r="591" spans="4:4">
      <c r="D591" s="868"/>
    </row>
    <row r="592" spans="4:4">
      <c r="D592" s="868"/>
    </row>
    <row r="593" spans="4:4">
      <c r="D593" s="868"/>
    </row>
    <row r="594" spans="4:4">
      <c r="D594" s="868"/>
    </row>
    <row r="595" spans="4:4">
      <c r="D595" s="868"/>
    </row>
    <row r="596" spans="4:4">
      <c r="D596" s="868"/>
    </row>
    <row r="597" spans="4:4">
      <c r="D597" s="868"/>
    </row>
    <row r="598" spans="4:4">
      <c r="D598" s="868"/>
    </row>
    <row r="599" spans="4:4">
      <c r="D599" s="868"/>
    </row>
    <row r="600" spans="4:4">
      <c r="D600" s="868"/>
    </row>
    <row r="601" spans="4:4">
      <c r="D601" s="868"/>
    </row>
    <row r="602" spans="4:4">
      <c r="D602" s="868"/>
    </row>
    <row r="603" spans="4:4">
      <c r="D603" s="868"/>
    </row>
    <row r="604" spans="4:4">
      <c r="D604" s="868"/>
    </row>
    <row r="605" spans="4:4">
      <c r="D605" s="868"/>
    </row>
    <row r="606" spans="4:4">
      <c r="D606" s="868"/>
    </row>
    <row r="607" spans="4:4">
      <c r="D607" s="868"/>
    </row>
    <row r="608" spans="4:4">
      <c r="D608" s="868"/>
    </row>
    <row r="609" spans="4:4">
      <c r="D609" s="868"/>
    </row>
    <row r="610" spans="4:4">
      <c r="D610" s="868"/>
    </row>
    <row r="611" spans="4:4">
      <c r="D611" s="868"/>
    </row>
    <row r="612" spans="4:4">
      <c r="D612" s="868"/>
    </row>
    <row r="613" spans="4:4">
      <c r="D613" s="868"/>
    </row>
    <row r="614" spans="4:4">
      <c r="D614" s="868"/>
    </row>
    <row r="615" spans="4:4">
      <c r="D615" s="868"/>
    </row>
    <row r="616" spans="4:4">
      <c r="D616" s="868"/>
    </row>
    <row r="617" spans="4:4">
      <c r="D617" s="868"/>
    </row>
    <row r="618" spans="4:4">
      <c r="D618" s="868"/>
    </row>
    <row r="619" spans="4:4">
      <c r="D619" s="868"/>
    </row>
    <row r="620" spans="4:4">
      <c r="D620" s="868"/>
    </row>
    <row r="621" spans="4:4">
      <c r="D621" s="868"/>
    </row>
    <row r="622" spans="4:4">
      <c r="D622" s="868"/>
    </row>
    <row r="623" spans="4:4">
      <c r="D623" s="868"/>
    </row>
    <row r="624" spans="4:4">
      <c r="D624" s="868"/>
    </row>
    <row r="625" spans="4:4">
      <c r="D625" s="868"/>
    </row>
    <row r="626" spans="4:4">
      <c r="D626" s="868"/>
    </row>
    <row r="627" spans="4:4">
      <c r="D627" s="868"/>
    </row>
    <row r="628" spans="4:4">
      <c r="D628" s="868"/>
    </row>
    <row r="629" spans="4:4">
      <c r="D629" s="868"/>
    </row>
    <row r="630" spans="4:4">
      <c r="D630" s="868"/>
    </row>
    <row r="631" spans="4:4">
      <c r="D631" s="868"/>
    </row>
    <row r="632" spans="4:4">
      <c r="D632" s="868"/>
    </row>
    <row r="633" spans="4:4">
      <c r="D633" s="868"/>
    </row>
    <row r="634" spans="4:4">
      <c r="D634" s="868"/>
    </row>
    <row r="635" spans="4:4">
      <c r="D635" s="868"/>
    </row>
    <row r="636" spans="4:4">
      <c r="D636" s="868"/>
    </row>
    <row r="637" spans="4:4">
      <c r="D637" s="868"/>
    </row>
  </sheetData>
  <mergeCells count="10">
    <mergeCell ref="T3:AH3"/>
    <mergeCell ref="AI3:AI4"/>
    <mergeCell ref="AJ3:AJ4"/>
    <mergeCell ref="B45:C45"/>
    <mergeCell ref="A1:C1"/>
    <mergeCell ref="A3:A4"/>
    <mergeCell ref="B3:B4"/>
    <mergeCell ref="C3:C4"/>
    <mergeCell ref="D3:D4"/>
    <mergeCell ref="E3: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18</vt:i4>
      </vt:variant>
    </vt:vector>
  </HeadingPairs>
  <TitlesOfParts>
    <vt:vector size="18" baseType="lpstr">
      <vt:lpstr>Kridjirat F.</vt:lpstr>
      <vt:lpstr>DEC</vt:lpstr>
      <vt:lpstr>NOV</vt:lpstr>
      <vt:lpstr>OCT</vt:lpstr>
      <vt:lpstr>SEP</vt:lpstr>
      <vt:lpstr>AUG</vt:lpstr>
      <vt:lpstr>JUL</vt:lpstr>
      <vt:lpstr>INV</vt:lpstr>
      <vt:lpstr>Pj.</vt:lpstr>
      <vt:lpstr>Detail_Pj.</vt:lpstr>
      <vt:lpstr>Visit</vt:lpstr>
      <vt:lpstr>PO</vt:lpstr>
      <vt:lpstr>Forecast</vt:lpstr>
      <vt:lpstr>Forcash_Update 23-03-26</vt:lpstr>
      <vt:lpstr>Sheet1</vt:lpstr>
      <vt:lpstr>Forcash_Old</vt:lpstr>
      <vt:lpstr>Report M&amp;E Contractor List</vt:lpstr>
      <vt:lpstr>Lost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Kridjirat Fangpong</dc:creator>
  <cp:lastModifiedBy>Kridjirat Fangpong</cp:lastModifiedBy>
  <dcterms:created xsi:type="dcterms:W3CDTF">2025-06-12T09:58:33Z</dcterms:created>
  <dcterms:modified xsi:type="dcterms:W3CDTF">2026-03-24T09:40:30Z</dcterms:modified>
</cp:coreProperties>
</file>